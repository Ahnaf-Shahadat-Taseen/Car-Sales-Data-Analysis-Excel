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ata202\EXCEL DATA ANALYSIS\"/>
    </mc:Choice>
  </mc:AlternateContent>
  <xr:revisionPtr revIDLastSave="0" documentId="13_ncr:1_{29483393-FACD-4CA5-AFD6-C51FAF342F4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alculation" sheetId="4" r:id="rId1"/>
    <sheet name="DashBoard" sheetId="6" r:id="rId2"/>
    <sheet name="car_price_prediction_" sheetId="2" r:id="rId3"/>
  </sheets>
  <definedNames>
    <definedName name="ExternalData_1" localSheetId="2" hidden="1">'car_price_prediction_'!$A$1:$N$2501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G13" i="4"/>
  <c r="G11" i="4"/>
  <c r="G8" i="4"/>
  <c r="G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3D05D6-27F5-4B84-ADCC-37210D7677BE}" keepAlive="1" name="Query - car_price_prediction_" description="Connection to the 'car_price_prediction_' query in the workbook." type="5" refreshedVersion="8" background="1" saveData="1">
    <dbPr connection="Provider=Microsoft.Mashup.OleDb.1;Data Source=$Workbook$;Location=car_price_prediction_;Extended Properties=&quot;&quot;" command="SELECT * FROM [car_price_prediction_]"/>
  </connection>
</connections>
</file>

<file path=xl/sharedStrings.xml><?xml version="1.0" encoding="utf-8"?>
<sst xmlns="http://schemas.openxmlformats.org/spreadsheetml/2006/main" count="17592" uniqueCount="75">
  <si>
    <t>Car ID</t>
  </si>
  <si>
    <t>Brand</t>
  </si>
  <si>
    <t>Year</t>
  </si>
  <si>
    <t>Engine Size</t>
  </si>
  <si>
    <t>Transmission</t>
  </si>
  <si>
    <t>Mileage</t>
  </si>
  <si>
    <t>Condition</t>
  </si>
  <si>
    <t>Price</t>
  </si>
  <si>
    <t>Model</t>
  </si>
  <si>
    <t>Fuel Type</t>
  </si>
  <si>
    <t>Mileage Category</t>
  </si>
  <si>
    <t>Age of Vehicle</t>
  </si>
  <si>
    <t>Price Per Kilometer</t>
  </si>
  <si>
    <t>Brand Grouping</t>
  </si>
  <si>
    <t>Tesla</t>
  </si>
  <si>
    <t>Manual</t>
  </si>
  <si>
    <t>New</t>
  </si>
  <si>
    <t>Model X</t>
  </si>
  <si>
    <t>Electric</t>
  </si>
  <si>
    <t>Medium</t>
  </si>
  <si>
    <t>Luxury</t>
  </si>
  <si>
    <t>BMW</t>
  </si>
  <si>
    <t>Used</t>
  </si>
  <si>
    <t>5 Series</t>
  </si>
  <si>
    <t>Audi</t>
  </si>
  <si>
    <t>A4</t>
  </si>
  <si>
    <t>High</t>
  </si>
  <si>
    <t>Automatic</t>
  </si>
  <si>
    <t>Model Y</t>
  </si>
  <si>
    <t>Ford</t>
  </si>
  <si>
    <t>Like New</t>
  </si>
  <si>
    <t>Mustang</t>
  </si>
  <si>
    <t>Diesel</t>
  </si>
  <si>
    <t>Economy</t>
  </si>
  <si>
    <t>Q7</t>
  </si>
  <si>
    <t>Q5</t>
  </si>
  <si>
    <t>Honda</t>
  </si>
  <si>
    <t>Civic</t>
  </si>
  <si>
    <t>Explorer</t>
  </si>
  <si>
    <t>Model 3</t>
  </si>
  <si>
    <t>Fiesta</t>
  </si>
  <si>
    <t>Petrol</t>
  </si>
  <si>
    <t>X3</t>
  </si>
  <si>
    <t>Mercedes</t>
  </si>
  <si>
    <t>GLA</t>
  </si>
  <si>
    <t>A3</t>
  </si>
  <si>
    <t>Hybrid</t>
  </si>
  <si>
    <t>X5</t>
  </si>
  <si>
    <t>C-Class</t>
  </si>
  <si>
    <t>E-Class</t>
  </si>
  <si>
    <t>Low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</si>
  <si>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</si>
  <si>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</si>
  <si>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</si>
  <si>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</si>
  <si>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</si>
  <si>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</si>
  <si>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</si>
  <si>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</si>
  <si>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</si>
  <si>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</si>
  <si>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</si>
  <si>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</si>
  <si>
    <t>Row Labels</t>
  </si>
  <si>
    <t>Grand Total</t>
  </si>
  <si>
    <t>Sum of Price</t>
  </si>
  <si>
    <t>Average of Price</t>
  </si>
  <si>
    <t>Total Inventory Value</t>
  </si>
  <si>
    <t>Average Market Price</t>
  </si>
  <si>
    <t>Average of Age of Vehicle</t>
  </si>
  <si>
    <t>Average Vehicle Age</t>
  </si>
  <si>
    <t>Average of Price Per Kilometer</t>
  </si>
  <si>
    <t>Value Leader</t>
  </si>
  <si>
    <t>Count of Car 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</si>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</sst>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2" borderId="0" xfId="0" applyFill="1"/>
  </cellXfs>
  <cellStyles count="2">
    <cellStyle name="Currency" xfId="1" builtinId="4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</a:t>
            </a:r>
            <a:r>
              <a:rPr lang="en-US" baseline="0"/>
              <a:t> Age Vs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Calculation!$A$12:$A$36</c:f>
              <c:strCach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</c:strCache>
            </c:strRef>
          </c:cat>
          <c:val>
            <c:numRef>
              <c:f>Calculation!$B$12:$B$36</c:f>
              <c:numCache>
                <c:formatCode>"$"#,##0</c:formatCode>
                <c:ptCount val="24"/>
                <c:pt idx="0">
                  <c:v>51328.692718446604</c:v>
                </c:pt>
                <c:pt idx="1">
                  <c:v>54656.139553571404</c:v>
                </c:pt>
                <c:pt idx="2">
                  <c:v>48819.715089285724</c:v>
                </c:pt>
                <c:pt idx="3">
                  <c:v>48281.739426229513</c:v>
                </c:pt>
                <c:pt idx="4">
                  <c:v>49848.33902912624</c:v>
                </c:pt>
                <c:pt idx="5">
                  <c:v>52640.94660377362</c:v>
                </c:pt>
                <c:pt idx="6">
                  <c:v>49045.689175257736</c:v>
                </c:pt>
                <c:pt idx="7">
                  <c:v>51977.464067796594</c:v>
                </c:pt>
                <c:pt idx="8">
                  <c:v>51516.460909090907</c:v>
                </c:pt>
                <c:pt idx="9">
                  <c:v>54202.577247706431</c:v>
                </c:pt>
                <c:pt idx="10">
                  <c:v>52495.034736842084</c:v>
                </c:pt>
                <c:pt idx="11">
                  <c:v>57092.138378378353</c:v>
                </c:pt>
                <c:pt idx="12">
                  <c:v>51414.871188118821</c:v>
                </c:pt>
                <c:pt idx="13">
                  <c:v>53650.244631578957</c:v>
                </c:pt>
                <c:pt idx="14">
                  <c:v>52932.735777777772</c:v>
                </c:pt>
                <c:pt idx="15">
                  <c:v>53104.788715596311</c:v>
                </c:pt>
                <c:pt idx="16">
                  <c:v>56464.203545454562</c:v>
                </c:pt>
                <c:pt idx="17">
                  <c:v>53437.59593023255</c:v>
                </c:pt>
                <c:pt idx="18">
                  <c:v>57534.323592232999</c:v>
                </c:pt>
                <c:pt idx="19">
                  <c:v>51517.976899999965</c:v>
                </c:pt>
                <c:pt idx="20">
                  <c:v>52260.187372881352</c:v>
                </c:pt>
                <c:pt idx="21">
                  <c:v>57197.475999999995</c:v>
                </c:pt>
                <c:pt idx="22">
                  <c:v>48944.05770642202</c:v>
                </c:pt>
                <c:pt idx="23">
                  <c:v>53094.163440860189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D-4D82-8A3D-9299B50416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28277247"/>
        <c:axId val="1028277727"/>
      </c:lineChart>
      <c:catAx>
        <c:axId val="102827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77727"/>
        <c:crosses val="autoZero"/>
        <c:auto val="1"/>
        <c:lblAlgn val="ctr"/>
        <c:lblOffset val="100"/>
        <c:noMultiLvlLbl val="0"/>
      </c:catAx>
      <c:valAx>
        <c:axId val="1028277727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7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Calculation!$F$29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56-4BB4-ADF6-244B7B9DBE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56-4BB4-ADF6-244B7B9DBE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56-4BB4-ADF6-244B7B9DBE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56-4BB4-ADF6-244B7B9DBE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Calculation!$E$30:$E$34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Calculation!$F$30:$F$34</c:f>
              <c:numCache>
                <c:formatCode>0.00%</c:formatCode>
                <c:ptCount val="4"/>
                <c:pt idx="0">
                  <c:v>0.2268</c:v>
                </c:pt>
                <c:pt idx="1">
                  <c:v>0.3448</c:v>
                </c:pt>
                <c:pt idx="2">
                  <c:v>0.2064</c:v>
                </c:pt>
                <c:pt idx="3">
                  <c:v>0.222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B-4DD9-ABF9-B612571672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Market Value Comparison: Luxury vs. Economy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9E-4C9F-853F-6E1A9637E9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9E-4C9F-853F-6E1A9637E9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Calculation!$A$4:$A$6</c:f>
              <c:strCache>
                <c:ptCount val="2"/>
                <c:pt idx="0">
                  <c:v>Economy</c:v>
                </c:pt>
                <c:pt idx="1">
                  <c:v>Luxury</c:v>
                </c:pt>
              </c:strCache>
            </c:strRef>
          </c:cat>
          <c:val>
            <c:numRef>
              <c:f>Calculation!$B$4:$B$6</c:f>
              <c:numCache>
                <c:formatCode>"$"#,##0</c:formatCode>
                <c:ptCount val="2"/>
                <c:pt idx="0">
                  <c:v>51912.398630009375</c:v>
                </c:pt>
                <c:pt idx="1">
                  <c:v>53183.638822705041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C9B-8F42-3E1C5F47287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Market Value Analysis: Vehicle Condition vs. Mileage Tiers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Calculation!$Q$48:$Q$49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Calculation!$P$50:$P$53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Calculation!$Q$50:$Q$53</c:f>
              <c:numCache>
                <c:formatCode>"$"#,##0</c:formatCode>
                <c:ptCount val="3"/>
                <c:pt idx="0">
                  <c:v>23170354.300000004</c:v>
                </c:pt>
                <c:pt idx="1">
                  <c:v>19419331.319999993</c:v>
                </c:pt>
                <c:pt idx="2">
                  <c:v>23169283.799999982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1-46C3-A83A-717C90598021}"/>
            </c:ext>
          </c:extLst>
        </c:ser>
        <c:ser>
          <c:idx val="1"/>
          <c:order val="1"/>
          <c:tx>
            <c:strRef>
              <c:f>Calculation!$R$48:$R$49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Calculation!$P$50:$P$53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Calculation!$R$50:$R$53</c:f>
              <c:numCache>
                <c:formatCode>"$"#,##0</c:formatCode>
                <c:ptCount val="3"/>
                <c:pt idx="0">
                  <c:v>6642667.4399999967</c:v>
                </c:pt>
                <c:pt idx="1">
                  <c:v>8012088.3100000042</c:v>
                </c:pt>
                <c:pt idx="2">
                  <c:v>7603820.0600000042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C1-46C3-A83A-717C90598021}"/>
            </c:ext>
          </c:extLst>
        </c:ser>
        <c:ser>
          <c:idx val="2"/>
          <c:order val="2"/>
          <c:tx>
            <c:strRef>
              <c:f>Calculation!$S$48:$S$49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Calculation!$P$50:$P$53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Calculation!$S$50:$S$53</c:f>
              <c:numCache>
                <c:formatCode>"$"#,##0</c:formatCode>
                <c:ptCount val="3"/>
                <c:pt idx="0">
                  <c:v>14928650.230000002</c:v>
                </c:pt>
                <c:pt idx="1">
                  <c:v>14559328.920000007</c:v>
                </c:pt>
                <c:pt idx="2">
                  <c:v>14089531.949999984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C1-46C3-A83A-717C905980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1837616"/>
        <c:axId val="1751835216"/>
      </c:barChart>
      <c:catAx>
        <c:axId val="175183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35216"/>
        <c:crosses val="autoZero"/>
        <c:auto val="1"/>
        <c:lblAlgn val="ctr"/>
        <c:lblOffset val="100"/>
        <c:noMultiLvlLbl val="0"/>
      </c:catAx>
      <c:valAx>
        <c:axId val="1751835216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3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Automatic vs. Manual Car Count by Manufacturer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Calculation!$R$74:$R$75</c:f>
              <c:strCache>
                <c:ptCount val="1"/>
                <c:pt idx="0">
                  <c:v>Automatic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Calculation!$Q$76:$Q$83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Calculation!$R$76:$R$83</c:f>
              <c:numCache>
                <c:formatCode>General</c:formatCode>
                <c:ptCount val="7"/>
                <c:pt idx="0">
                  <c:v>170</c:v>
                </c:pt>
                <c:pt idx="1">
                  <c:v>177</c:v>
                </c:pt>
                <c:pt idx="2">
                  <c:v>159</c:v>
                </c:pt>
                <c:pt idx="3">
                  <c:v>162</c:v>
                </c:pt>
                <c:pt idx="4">
                  <c:v>176</c:v>
                </c:pt>
                <c:pt idx="5">
                  <c:v>161</c:v>
                </c:pt>
                <c:pt idx="6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F-426F-97C9-F3300A93350D}"/>
            </c:ext>
          </c:extLst>
        </c:ser>
        <c:ser>
          <c:idx val="1"/>
          <c:order val="1"/>
          <c:tx>
            <c:strRef>
              <c:f>Calculation!$S$74:$S$75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Calculation!$Q$76:$Q$83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Calculation!$S$76:$S$83</c:f>
              <c:numCache>
                <c:formatCode>General</c:formatCode>
                <c:ptCount val="7"/>
                <c:pt idx="0">
                  <c:v>198</c:v>
                </c:pt>
                <c:pt idx="1">
                  <c:v>181</c:v>
                </c:pt>
                <c:pt idx="2">
                  <c:v>188</c:v>
                </c:pt>
                <c:pt idx="3">
                  <c:v>190</c:v>
                </c:pt>
                <c:pt idx="4">
                  <c:v>177</c:v>
                </c:pt>
                <c:pt idx="5">
                  <c:v>187</c:v>
                </c:pt>
                <c:pt idx="6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FF-426F-97C9-F3300A9335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5241584"/>
        <c:axId val="1935242544"/>
      </c:barChart>
      <c:catAx>
        <c:axId val="193524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242544"/>
        <c:crosses val="autoZero"/>
        <c:auto val="1"/>
        <c:lblAlgn val="ctr"/>
        <c:lblOffset val="100"/>
        <c:noMultiLvlLbl val="0"/>
      </c:catAx>
      <c:valAx>
        <c:axId val="193524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24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Brand Value Analysis: Price Per Kilometer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Calculation!$F$17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Calculation!$E$18:$E$25</c:f>
              <c:strCache>
                <c:ptCount val="7"/>
                <c:pt idx="0">
                  <c:v>Audi</c:v>
                </c:pt>
                <c:pt idx="1">
                  <c:v>Mercedes</c:v>
                </c:pt>
                <c:pt idx="2">
                  <c:v>Toyota</c:v>
                </c:pt>
                <c:pt idx="3">
                  <c:v>BMW</c:v>
                </c:pt>
                <c:pt idx="4">
                  <c:v>Honda</c:v>
                </c:pt>
                <c:pt idx="5">
                  <c:v>Tesla</c:v>
                </c:pt>
                <c:pt idx="6">
                  <c:v>Ford</c:v>
                </c:pt>
              </c:strCache>
            </c:strRef>
          </c:cat>
          <c:val>
            <c:numRef>
              <c:f>Calculation!$F$18:$F$25</c:f>
              <c:numCache>
                <c:formatCode>0.00</c:formatCode>
                <c:ptCount val="7"/>
                <c:pt idx="0">
                  <c:v>9.6251086956521767</c:v>
                </c:pt>
                <c:pt idx="1">
                  <c:v>5.3514164305949024</c:v>
                </c:pt>
                <c:pt idx="2">
                  <c:v>4.5782887700534749</c:v>
                </c:pt>
                <c:pt idx="3">
                  <c:v>2.6068435754189943</c:v>
                </c:pt>
                <c:pt idx="4">
                  <c:v>2.0860795454545458</c:v>
                </c:pt>
                <c:pt idx="5">
                  <c:v>1.2962068965517246</c:v>
                </c:pt>
                <c:pt idx="6">
                  <c:v>1.008443804034582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8-477F-B239-22568EFAF6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8834272"/>
        <c:axId val="1948832352"/>
      </c:barChart>
      <c:catAx>
        <c:axId val="194883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32352"/>
        <c:crosses val="autoZero"/>
        <c:auto val="1"/>
        <c:lblAlgn val="ctr"/>
        <c:lblOffset val="100"/>
        <c:noMultiLvlLbl val="0"/>
      </c:catAx>
      <c:valAx>
        <c:axId val="194883235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3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  <a:latin typeface="Aptos Narrow" panose="020B0004020202020204" pitchFamily="34" charset="0"/>
              </a:rPr>
              <a:t>Market</a:t>
            </a:r>
            <a:r>
              <a:rPr lang="en-US" b="1" baseline="0">
                <a:solidFill>
                  <a:schemeClr val="accent2">
                    <a:lumMod val="75000"/>
                  </a:schemeClr>
                </a:solidFill>
                <a:latin typeface="Aptos Narrow" panose="020B0004020202020204" pitchFamily="34" charset="0"/>
              </a:rPr>
              <a:t> Share</a:t>
            </a:r>
            <a:endParaRPr lang="en-US" b="1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Calculation!$F$29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51-485B-A269-6B67F7E2E3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51-485B-A269-6B67F7E2E3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51-485B-A269-6B67F7E2E3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51-485B-A269-6B67F7E2E3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Calculation!$E$30:$E$34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Calculation!$F$30:$F$34</c:f>
              <c:numCache>
                <c:formatCode>0.00%</c:formatCode>
                <c:ptCount val="4"/>
                <c:pt idx="0">
                  <c:v>0.2268</c:v>
                </c:pt>
                <c:pt idx="1">
                  <c:v>0.3448</c:v>
                </c:pt>
                <c:pt idx="2">
                  <c:v>0.2064</c:v>
                </c:pt>
                <c:pt idx="3">
                  <c:v>0.222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51-485B-A269-6B67F7E2E3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Vehicle</a:t>
            </a:r>
            <a:r>
              <a:rPr lang="en-US" b="1" baseline="0">
                <a:solidFill>
                  <a:schemeClr val="accent2">
                    <a:lumMod val="75000"/>
                  </a:schemeClr>
                </a:solidFill>
              </a:rPr>
              <a:t> Age Vs Price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9245965645118105E-2"/>
              <c:y val="-6.28997436659017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28575" cap="rnd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F7-4862-BB27-27D628CCBB21}"/>
              </c:ext>
            </c:extLst>
          </c:dPt>
          <c:dLbls>
            <c:dLbl>
              <c:idx val="15"/>
              <c:layout>
                <c:manualLayout>
                  <c:x val="-3.9245965645118105E-2"/>
                  <c:y val="-6.28997436659017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F7-4862-BB27-27D628CCBB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Calculation!$A$12:$A$36</c:f>
              <c:strCach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</c:strCache>
            </c:strRef>
          </c:cat>
          <c:val>
            <c:numRef>
              <c:f>Calculation!$B$12:$B$36</c:f>
              <c:numCache>
                <c:formatCode>"$"#,##0</c:formatCode>
                <c:ptCount val="24"/>
                <c:pt idx="0">
                  <c:v>51328.692718446604</c:v>
                </c:pt>
                <c:pt idx="1">
                  <c:v>54656.139553571404</c:v>
                </c:pt>
                <c:pt idx="2">
                  <c:v>48819.715089285724</c:v>
                </c:pt>
                <c:pt idx="3">
                  <c:v>48281.739426229513</c:v>
                </c:pt>
                <c:pt idx="4">
                  <c:v>49848.33902912624</c:v>
                </c:pt>
                <c:pt idx="5">
                  <c:v>52640.94660377362</c:v>
                </c:pt>
                <c:pt idx="6">
                  <c:v>49045.689175257736</c:v>
                </c:pt>
                <c:pt idx="7">
                  <c:v>51977.464067796594</c:v>
                </c:pt>
                <c:pt idx="8">
                  <c:v>51516.460909090907</c:v>
                </c:pt>
                <c:pt idx="9">
                  <c:v>54202.577247706431</c:v>
                </c:pt>
                <c:pt idx="10">
                  <c:v>52495.034736842084</c:v>
                </c:pt>
                <c:pt idx="11">
                  <c:v>57092.138378378353</c:v>
                </c:pt>
                <c:pt idx="12">
                  <c:v>51414.871188118821</c:v>
                </c:pt>
                <c:pt idx="13">
                  <c:v>53650.244631578957</c:v>
                </c:pt>
                <c:pt idx="14">
                  <c:v>52932.735777777772</c:v>
                </c:pt>
                <c:pt idx="15">
                  <c:v>53104.788715596311</c:v>
                </c:pt>
                <c:pt idx="16">
                  <c:v>56464.203545454562</c:v>
                </c:pt>
                <c:pt idx="17">
                  <c:v>53437.59593023255</c:v>
                </c:pt>
                <c:pt idx="18">
                  <c:v>57534.323592232999</c:v>
                </c:pt>
                <c:pt idx="19">
                  <c:v>51517.976899999965</c:v>
                </c:pt>
                <c:pt idx="20">
                  <c:v>52260.187372881352</c:v>
                </c:pt>
                <c:pt idx="21">
                  <c:v>57197.475999999995</c:v>
                </c:pt>
                <c:pt idx="22">
                  <c:v>48944.05770642202</c:v>
                </c:pt>
                <c:pt idx="23">
                  <c:v>53094.163440860189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7-4862-BB27-27D628CCBB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28277247"/>
        <c:axId val="1028277727"/>
      </c:barChart>
      <c:catAx>
        <c:axId val="102827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77727"/>
        <c:crosses val="autoZero"/>
        <c:auto val="1"/>
        <c:lblAlgn val="ctr"/>
        <c:lblOffset val="100"/>
        <c:noMultiLvlLbl val="0"/>
      </c:catAx>
      <c:valAx>
        <c:axId val="1028277727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7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Market Value Comparison: Luxury vs. Economy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38-4E32-87B0-AF8DF7771C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38-4E32-87B0-AF8DF7771C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Calculation!$A$4:$A$6</c:f>
              <c:strCache>
                <c:ptCount val="2"/>
                <c:pt idx="0">
                  <c:v>Economy</c:v>
                </c:pt>
                <c:pt idx="1">
                  <c:v>Luxury</c:v>
                </c:pt>
              </c:strCache>
            </c:strRef>
          </c:cat>
          <c:val>
            <c:numRef>
              <c:f>Calculation!$B$4:$B$6</c:f>
              <c:numCache>
                <c:formatCode>"$"#,##0</c:formatCode>
                <c:ptCount val="2"/>
                <c:pt idx="0">
                  <c:v>51912.398630009375</c:v>
                </c:pt>
                <c:pt idx="1">
                  <c:v>53183.638822705041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38-4E32-87B0-AF8DF7771C6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Market Value Analysis: Vehicle Condition vs. Mileage Tiers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5610102629386896"/>
          <c:y val="2.6755852842809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Calculation!$Q$48:$Q$49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Calculation!$P$50:$P$53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Calculation!$Q$50:$Q$53</c:f>
              <c:numCache>
                <c:formatCode>"$"#,##0</c:formatCode>
                <c:ptCount val="3"/>
                <c:pt idx="0">
                  <c:v>23170354.300000004</c:v>
                </c:pt>
                <c:pt idx="1">
                  <c:v>19419331.319999993</c:v>
                </c:pt>
                <c:pt idx="2">
                  <c:v>23169283.799999982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A-4097-9B58-8C4DB3E52DFD}"/>
            </c:ext>
          </c:extLst>
        </c:ser>
        <c:ser>
          <c:idx val="1"/>
          <c:order val="1"/>
          <c:tx>
            <c:strRef>
              <c:f>Calculation!$R$48:$R$49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Calculation!$P$50:$P$53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Calculation!$R$50:$R$53</c:f>
              <c:numCache>
                <c:formatCode>"$"#,##0</c:formatCode>
                <c:ptCount val="3"/>
                <c:pt idx="0">
                  <c:v>6642667.4399999967</c:v>
                </c:pt>
                <c:pt idx="1">
                  <c:v>8012088.3100000042</c:v>
                </c:pt>
                <c:pt idx="2">
                  <c:v>7603820.0600000042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2A-4097-9B58-8C4DB3E52DFD}"/>
            </c:ext>
          </c:extLst>
        </c:ser>
        <c:ser>
          <c:idx val="2"/>
          <c:order val="2"/>
          <c:tx>
            <c:strRef>
              <c:f>Calculation!$S$48:$S$49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Calculation!$P$50:$P$53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Calculation!$S$50:$S$53</c:f>
              <c:numCache>
                <c:formatCode>"$"#,##0</c:formatCode>
                <c:ptCount val="3"/>
                <c:pt idx="0">
                  <c:v>14928650.230000002</c:v>
                </c:pt>
                <c:pt idx="1">
                  <c:v>14559328.920000007</c:v>
                </c:pt>
                <c:pt idx="2">
                  <c:v>14089531.949999984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2A-4097-9B58-8C4DB3E52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1837616"/>
        <c:axId val="1751835216"/>
      </c:barChart>
      <c:catAx>
        <c:axId val="175183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35216"/>
        <c:crosses val="autoZero"/>
        <c:auto val="1"/>
        <c:lblAlgn val="ctr"/>
        <c:lblOffset val="100"/>
        <c:noMultiLvlLbl val="0"/>
      </c:catAx>
      <c:valAx>
        <c:axId val="1751835216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3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Automatic vs. Manual Car Count by Manufacturer</a:t>
            </a: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Calculation!$R$74:$R$75</c:f>
              <c:strCache>
                <c:ptCount val="1"/>
                <c:pt idx="0">
                  <c:v>Automatic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Calculation!$Q$76:$Q$83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Calculation!$R$76:$R$83</c:f>
              <c:numCache>
                <c:formatCode>General</c:formatCode>
                <c:ptCount val="7"/>
                <c:pt idx="0">
                  <c:v>170</c:v>
                </c:pt>
                <c:pt idx="1">
                  <c:v>177</c:v>
                </c:pt>
                <c:pt idx="2">
                  <c:v>159</c:v>
                </c:pt>
                <c:pt idx="3">
                  <c:v>162</c:v>
                </c:pt>
                <c:pt idx="4">
                  <c:v>176</c:v>
                </c:pt>
                <c:pt idx="5">
                  <c:v>161</c:v>
                </c:pt>
                <c:pt idx="6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B-48C1-8D95-2FB7557374FA}"/>
            </c:ext>
          </c:extLst>
        </c:ser>
        <c:ser>
          <c:idx val="1"/>
          <c:order val="1"/>
          <c:tx>
            <c:strRef>
              <c:f>Calculation!$S$74:$S$75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Calculation!$Q$76:$Q$83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Calculation!$S$76:$S$83</c:f>
              <c:numCache>
                <c:formatCode>General</c:formatCode>
                <c:ptCount val="7"/>
                <c:pt idx="0">
                  <c:v>198</c:v>
                </c:pt>
                <c:pt idx="1">
                  <c:v>181</c:v>
                </c:pt>
                <c:pt idx="2">
                  <c:v>188</c:v>
                </c:pt>
                <c:pt idx="3">
                  <c:v>190</c:v>
                </c:pt>
                <c:pt idx="4">
                  <c:v>177</c:v>
                </c:pt>
                <c:pt idx="5">
                  <c:v>187</c:v>
                </c:pt>
                <c:pt idx="6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B-48C1-8D95-2FB7557374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5241584"/>
        <c:axId val="1935242544"/>
      </c:barChart>
      <c:catAx>
        <c:axId val="193524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242544"/>
        <c:crosses val="autoZero"/>
        <c:auto val="1"/>
        <c:lblAlgn val="ctr"/>
        <c:lblOffset val="100"/>
        <c:noMultiLvlLbl val="0"/>
      </c:catAx>
      <c:valAx>
        <c:axId val="193524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24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[CAR_Price.xlsx]Calculation!PivotTable7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Brand Value Analysis: Price Per Kilometer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70603674540683"/>
          <c:y val="0.19486111111111112"/>
          <c:w val="0.8708495188101487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Calculation!$F$17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Calculation!$E$18:$E$25</c:f>
              <c:strCache>
                <c:ptCount val="7"/>
                <c:pt idx="0">
                  <c:v>Audi</c:v>
                </c:pt>
                <c:pt idx="1">
                  <c:v>Mercedes</c:v>
                </c:pt>
                <c:pt idx="2">
                  <c:v>Toyota</c:v>
                </c:pt>
                <c:pt idx="3">
                  <c:v>BMW</c:v>
                </c:pt>
                <c:pt idx="4">
                  <c:v>Honda</c:v>
                </c:pt>
                <c:pt idx="5">
                  <c:v>Tesla</c:v>
                </c:pt>
                <c:pt idx="6">
                  <c:v>Ford</c:v>
                </c:pt>
              </c:strCache>
            </c:strRef>
          </c:cat>
          <c:val>
            <c:numRef>
              <c:f>Calculation!$F$18:$F$25</c:f>
              <c:numCache>
                <c:formatCode>0.00</c:formatCode>
                <c:ptCount val="7"/>
                <c:pt idx="0">
                  <c:v>9.6251086956521767</c:v>
                </c:pt>
                <c:pt idx="1">
                  <c:v>5.3514164305949024</c:v>
                </c:pt>
                <c:pt idx="2">
                  <c:v>4.5782887700534749</c:v>
                </c:pt>
                <c:pt idx="3">
                  <c:v>2.6068435754189943</c:v>
                </c:pt>
                <c:pt idx="4">
                  <c:v>2.0860795454545458</c:v>
                </c:pt>
                <c:pt idx="5">
                  <c:v>1.2962068965517246</c:v>
                </c:pt>
                <c:pt idx="6">
                  <c:v>1.008443804034582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B-4CC7-A1F8-19A99F86A6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8834272"/>
        <c:axId val="1948832352"/>
      </c:barChart>
      <c:catAx>
        <c:axId val="194883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32352"/>
        <c:crosses val="autoZero"/>
        <c:auto val="1"/>
        <c:lblAlgn val="ctr"/>
        <c:lblOffset val="100"/>
        <c:noMultiLvlLbl val="0"/>
      </c:catAx>
      <c:valAx>
        <c:axId val="194883235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3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1</xdr:row>
      <xdr:rowOff>119061</xdr:rowOff>
    </xdr:from>
    <xdr:to>
      <xdr:col>17</xdr:col>
      <xdr:colOff>285749</xdr:colOff>
      <xdr:row>19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BA75B0-2416-BE5F-84A0-4B0087996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280987</xdr:colOff>
      <xdr:row>16</xdr:row>
      <xdr:rowOff>157162</xdr:rowOff>
    </xdr:from>
    <xdr:to>
      <xdr:col>16</xdr:col>
      <xdr:colOff>928687</xdr:colOff>
      <xdr:row>31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6F4F15-D25E-9FFD-2A39-8260EBEAE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0</xdr:row>
      <xdr:rowOff>85725</xdr:rowOff>
    </xdr:from>
    <xdr:to>
      <xdr:col>16</xdr:col>
      <xdr:colOff>495300</xdr:colOff>
      <xdr:row>14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9D5921-CC4E-EBA3-61F9-2E4B1C25D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533400</xdr:colOff>
      <xdr:row>42</xdr:row>
      <xdr:rowOff>0</xdr:rowOff>
    </xdr:from>
    <xdr:to>
      <xdr:col>14</xdr:col>
      <xdr:colOff>581025</xdr:colOff>
      <xdr:row>56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F698EA-5572-FFC5-21EE-A2E206139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95249</xdr:colOff>
      <xdr:row>69</xdr:row>
      <xdr:rowOff>180975</xdr:rowOff>
    </xdr:from>
    <xdr:to>
      <xdr:col>27</xdr:col>
      <xdr:colOff>247649</xdr:colOff>
      <xdr:row>84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44F8AA-C610-AD88-0223-51BD19EDE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847725</xdr:colOff>
      <xdr:row>11</xdr:row>
      <xdr:rowOff>180975</xdr:rowOff>
    </xdr:from>
    <xdr:to>
      <xdr:col>13</xdr:col>
      <xdr:colOff>180975</xdr:colOff>
      <xdr:row>26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1D211D-77C7-5727-BCE6-181C0286D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0</xdr:row>
      <xdr:rowOff>47625</xdr:rowOff>
    </xdr:from>
    <xdr:to>
      <xdr:col>23</xdr:col>
      <xdr:colOff>85726</xdr:colOff>
      <xdr:row>2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523BB17-31D2-DE1C-1FA1-DE410F7ADB16}"/>
            </a:ext>
          </a:extLst>
        </xdr:cNvPr>
        <xdr:cNvSpPr/>
      </xdr:nvSpPr>
      <xdr:spPr>
        <a:xfrm>
          <a:off x="28576" y="47625"/>
          <a:ext cx="14077950" cy="457200"/>
        </a:xfrm>
        <a:prstGeom prst="roundRect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200025</xdr:colOff>
      <xdr:row>0</xdr:row>
      <xdr:rowOff>38099</xdr:rowOff>
    </xdr:from>
    <xdr:to>
      <xdr:col>15</xdr:col>
      <xdr:colOff>200025</xdr:colOff>
      <xdr:row>2</xdr:row>
      <xdr:rowOff>123824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C42336-5299-D5E2-4438-A9BAC34B4B03}"/>
            </a:ext>
          </a:extLst>
        </xdr:cNvPr>
        <xdr:cNvSpPr txBox="1"/>
      </xdr:nvSpPr>
      <xdr:spPr>
        <a:xfrm>
          <a:off x="4467225" y="38099"/>
          <a:ext cx="487680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accent3"/>
              </a:solidFill>
              <a:latin typeface="Arial Black" panose="020B0A04020102020204" pitchFamily="34" charset="0"/>
            </a:rPr>
            <a:t>CAR SALES DASHBOARD</a:t>
          </a:r>
        </a:p>
      </xdr:txBody>
    </xdr:sp>
    <xdr:clientData/>
  </xdr:twoCellAnchor>
  <xdr:twoCellAnchor>
    <xdr:from>
      <xdr:col>0</xdr:col>
      <xdr:colOff>123825</xdr:colOff>
      <xdr:row>2</xdr:row>
      <xdr:rowOff>152400</xdr:rowOff>
    </xdr:from>
    <xdr:to>
      <xdr:col>22</xdr:col>
      <xdr:colOff>552450</xdr:colOff>
      <xdr:row>7</xdr:row>
      <xdr:rowOff>19050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7561452-3B87-5E2B-D081-BC332AF091A4}"/>
            </a:ext>
          </a:extLst>
        </xdr:cNvPr>
        <xdr:cNvGrpSpPr/>
      </xdr:nvGrpSpPr>
      <xdr:grpSpPr>
        <a:xfrm>
          <a:off x="123825" y="533400"/>
          <a:ext cx="13899696" cy="819150"/>
          <a:chOff x="38100" y="571500"/>
          <a:chExt cx="13839825" cy="819150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23BD5662-0306-C9A2-9BF8-06C125FB4ECF}"/>
              </a:ext>
            </a:extLst>
          </xdr:cNvPr>
          <xdr:cNvSpPr/>
        </xdr:nvSpPr>
        <xdr:spPr>
          <a:xfrm>
            <a:off x="38100" y="571500"/>
            <a:ext cx="2743200" cy="819150"/>
          </a:xfrm>
          <a:prstGeom prst="roundRect">
            <a:avLst/>
          </a:prstGeom>
          <a:ln/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35499243-6EA9-4BDF-AFC4-4FB80161FEAA}"/>
              </a:ext>
            </a:extLst>
          </xdr:cNvPr>
          <xdr:cNvSpPr/>
        </xdr:nvSpPr>
        <xdr:spPr>
          <a:xfrm>
            <a:off x="3514725" y="571500"/>
            <a:ext cx="2743200" cy="819150"/>
          </a:xfrm>
          <a:prstGeom prst="roundRect">
            <a:avLst/>
          </a:prstGeom>
          <a:ln/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6D81AEBE-CCF9-4228-8E5B-B3DB0D1210A9}"/>
              </a:ext>
            </a:extLst>
          </xdr:cNvPr>
          <xdr:cNvSpPr/>
        </xdr:nvSpPr>
        <xdr:spPr>
          <a:xfrm>
            <a:off x="7229475" y="571500"/>
            <a:ext cx="2743200" cy="819150"/>
          </a:xfrm>
          <a:prstGeom prst="roundRect">
            <a:avLst/>
          </a:prstGeom>
          <a:ln/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AB01B3AB-5671-423D-996C-1CF1F5B8A765}"/>
              </a:ext>
            </a:extLst>
          </xdr:cNvPr>
          <xdr:cNvSpPr/>
        </xdr:nvSpPr>
        <xdr:spPr>
          <a:xfrm>
            <a:off x="11134725" y="571500"/>
            <a:ext cx="2743200" cy="819150"/>
          </a:xfrm>
          <a:prstGeom prst="roundRect">
            <a:avLst/>
          </a:prstGeom>
          <a:ln/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247650</xdr:colOff>
      <xdr:row>3</xdr:row>
      <xdr:rowOff>0</xdr:rowOff>
    </xdr:from>
    <xdr:to>
      <xdr:col>4</xdr:col>
      <xdr:colOff>323850</xdr:colOff>
      <xdr:row>4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F630BC-F222-F5AC-FB8E-AE3B28FE8EB2}"/>
            </a:ext>
          </a:extLst>
        </xdr:cNvPr>
        <xdr:cNvSpPr txBox="1"/>
      </xdr:nvSpPr>
      <xdr:spPr>
        <a:xfrm>
          <a:off x="247650" y="571500"/>
          <a:ext cx="2514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Total Inventory Value</a:t>
          </a:r>
        </a:p>
      </xdr:txBody>
    </xdr:sp>
    <xdr:clientData/>
  </xdr:twoCellAnchor>
  <xdr:twoCellAnchor>
    <xdr:from>
      <xdr:col>6</xdr:col>
      <xdr:colOff>9525</xdr:colOff>
      <xdr:row>3</xdr:row>
      <xdr:rowOff>0</xdr:rowOff>
    </xdr:from>
    <xdr:to>
      <xdr:col>10</xdr:col>
      <xdr:colOff>85725</xdr:colOff>
      <xdr:row>4</xdr:row>
      <xdr:rowOff>76200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8E8942C-493C-4268-AA7F-C3B1FC9A474D}"/>
            </a:ext>
          </a:extLst>
        </xdr:cNvPr>
        <xdr:cNvSpPr txBox="1"/>
      </xdr:nvSpPr>
      <xdr:spPr>
        <a:xfrm>
          <a:off x="3667125" y="571500"/>
          <a:ext cx="2514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Average Market Price</a:t>
          </a:r>
        </a:p>
      </xdr:txBody>
    </xdr:sp>
    <xdr:clientData/>
  </xdr:twoCellAnchor>
  <xdr:twoCellAnchor>
    <xdr:from>
      <xdr:col>12</xdr:col>
      <xdr:colOff>190500</xdr:colOff>
      <xdr:row>3</xdr:row>
      <xdr:rowOff>0</xdr:rowOff>
    </xdr:from>
    <xdr:to>
      <xdr:col>16</xdr:col>
      <xdr:colOff>266700</xdr:colOff>
      <xdr:row>4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E08EF63-CBB0-435E-812D-3B3F4366C503}"/>
            </a:ext>
          </a:extLst>
        </xdr:cNvPr>
        <xdr:cNvSpPr txBox="1"/>
      </xdr:nvSpPr>
      <xdr:spPr>
        <a:xfrm>
          <a:off x="7505700" y="571500"/>
          <a:ext cx="2514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Average Vehicle Age</a:t>
          </a:r>
        </a:p>
      </xdr:txBody>
    </xdr:sp>
    <xdr:clientData/>
  </xdr:twoCellAnchor>
  <xdr:twoCellAnchor>
    <xdr:from>
      <xdr:col>18</xdr:col>
      <xdr:colOff>476250</xdr:colOff>
      <xdr:row>2</xdr:row>
      <xdr:rowOff>161925</xdr:rowOff>
    </xdr:from>
    <xdr:to>
      <xdr:col>22</xdr:col>
      <xdr:colOff>552450</xdr:colOff>
      <xdr:row>4</xdr:row>
      <xdr:rowOff>47625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BF3F8C7-71C9-4062-A18B-E492327A03F5}"/>
            </a:ext>
          </a:extLst>
        </xdr:cNvPr>
        <xdr:cNvSpPr txBox="1"/>
      </xdr:nvSpPr>
      <xdr:spPr>
        <a:xfrm>
          <a:off x="11449050" y="542925"/>
          <a:ext cx="2514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</a:rPr>
            <a:t>Value Leader</a:t>
          </a:r>
        </a:p>
      </xdr:txBody>
    </xdr:sp>
    <xdr:clientData/>
  </xdr:twoCellAnchor>
  <xdr:twoCellAnchor>
    <xdr:from>
      <xdr:col>0</xdr:col>
      <xdr:colOff>485775</xdr:colOff>
      <xdr:row>4</xdr:row>
      <xdr:rowOff>142874</xdr:rowOff>
    </xdr:from>
    <xdr:to>
      <xdr:col>4</xdr:col>
      <xdr:colOff>19050</xdr:colOff>
      <xdr:row>6</xdr:row>
      <xdr:rowOff>95249</xdr:rowOff>
    </xdr:to>
    <xdr:sp macro="" textlink="Calculation!G5">
      <xdr:nvSpPr>
        <xdr:cNvPr id="13" name="TextBox 12">
          <a:extLst>
            <a:ext uri="{FF2B5EF4-FFF2-40B4-BE49-F238E27FC236}">
              <a16:creationId xmlns:a16="http://schemas.microsoft.com/office/drawing/2014/main" id="{F512354D-7954-41A0-35FB-F2E72425D438}"/>
            </a:ext>
          </a:extLst>
        </xdr:cNvPr>
        <xdr:cNvSpPr txBox="1"/>
      </xdr:nvSpPr>
      <xdr:spPr>
        <a:xfrm>
          <a:off x="485775" y="904874"/>
          <a:ext cx="19716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A5D1068-8FEE-4DAB-A365-9E30FBF115DA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  <a:cs typeface="Calibri"/>
            </a:rPr>
            <a:pPr algn="ctr"/>
            <a:t> $131,595,056 </a:t>
          </a:fld>
          <a:endParaRPr lang="en-US" sz="1800" b="1">
            <a:solidFill>
              <a:schemeClr val="accent2">
                <a:lumMod val="7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6</xdr:col>
      <xdr:colOff>161925</xdr:colOff>
      <xdr:row>4</xdr:row>
      <xdr:rowOff>142875</xdr:rowOff>
    </xdr:from>
    <xdr:to>
      <xdr:col>9</xdr:col>
      <xdr:colOff>514350</xdr:colOff>
      <xdr:row>6</xdr:row>
      <xdr:rowOff>28575</xdr:rowOff>
    </xdr:to>
    <xdr:sp macro="" textlink="Calculation!G8">
      <xdr:nvSpPr>
        <xdr:cNvPr id="18" name="TextBox 17">
          <a:extLst>
            <a:ext uri="{FF2B5EF4-FFF2-40B4-BE49-F238E27FC236}">
              <a16:creationId xmlns:a16="http://schemas.microsoft.com/office/drawing/2014/main" id="{21A9D149-D5E9-9761-1A0A-ACCD90057C43}"/>
            </a:ext>
          </a:extLst>
        </xdr:cNvPr>
        <xdr:cNvSpPr txBox="1"/>
      </xdr:nvSpPr>
      <xdr:spPr>
        <a:xfrm>
          <a:off x="3819525" y="904875"/>
          <a:ext cx="21812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6F32B08-0353-4E9D-8203-1190034B12A3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  <a:ea typeface="+mn-ea"/>
              <a:cs typeface="Calibri"/>
            </a:rPr>
            <a:pPr marL="0" indent="0" algn="ctr"/>
            <a:t> $52,638 </a:t>
          </a:fld>
          <a:endParaRPr lang="en-US" sz="1800" b="1" i="0" u="none" strike="noStrike">
            <a:solidFill>
              <a:schemeClr val="accent2">
                <a:lumMod val="75000"/>
              </a:schemeClr>
            </a:solidFill>
            <a:latin typeface="Aptos Narrow" panose="020B0004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200025</xdr:colOff>
      <xdr:row>3</xdr:row>
      <xdr:rowOff>161925</xdr:rowOff>
    </xdr:from>
    <xdr:to>
      <xdr:col>15</xdr:col>
      <xdr:colOff>561975</xdr:colOff>
      <xdr:row>7</xdr:row>
      <xdr:rowOff>0</xdr:rowOff>
    </xdr:to>
    <xdr:sp macro="" textlink="Calculation!G11">
      <xdr:nvSpPr>
        <xdr:cNvPr id="19" name="TextBox 18">
          <a:extLst>
            <a:ext uri="{FF2B5EF4-FFF2-40B4-BE49-F238E27FC236}">
              <a16:creationId xmlns:a16="http://schemas.microsoft.com/office/drawing/2014/main" id="{17000602-7A0E-C623-0A04-324624499D90}"/>
            </a:ext>
          </a:extLst>
        </xdr:cNvPr>
        <xdr:cNvSpPr txBox="1"/>
      </xdr:nvSpPr>
      <xdr:spPr>
        <a:xfrm>
          <a:off x="7515225" y="733425"/>
          <a:ext cx="21907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4743804-EF50-41D7-ABEB-039C76D284CD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  <a:ea typeface="+mn-ea"/>
              <a:cs typeface="Calibri"/>
            </a:rPr>
            <a:pPr marL="0" indent="0" algn="ctr"/>
            <a:t>14</a:t>
          </a:fld>
          <a:endParaRPr lang="en-US" sz="1800" b="1" i="0" u="none" strike="noStrike">
            <a:solidFill>
              <a:schemeClr val="accent2">
                <a:lumMod val="75000"/>
              </a:schemeClr>
            </a:solidFill>
            <a:latin typeface="Aptos Narrow" panose="020B0004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18</xdr:col>
      <xdr:colOff>200025</xdr:colOff>
      <xdr:row>3</xdr:row>
      <xdr:rowOff>142875</xdr:rowOff>
    </xdr:from>
    <xdr:to>
      <xdr:col>19</xdr:col>
      <xdr:colOff>228600</xdr:colOff>
      <xdr:row>6</xdr:row>
      <xdr:rowOff>9525</xdr:rowOff>
    </xdr:to>
    <xdr:sp macro="" textlink="Calculation!F13">
      <xdr:nvSpPr>
        <xdr:cNvPr id="20" name="TextBox 19">
          <a:extLst>
            <a:ext uri="{FF2B5EF4-FFF2-40B4-BE49-F238E27FC236}">
              <a16:creationId xmlns:a16="http://schemas.microsoft.com/office/drawing/2014/main" id="{E00B13B1-0164-E74E-81D1-371FAED84301}"/>
            </a:ext>
          </a:extLst>
        </xdr:cNvPr>
        <xdr:cNvSpPr txBox="1"/>
      </xdr:nvSpPr>
      <xdr:spPr>
        <a:xfrm>
          <a:off x="11172825" y="714375"/>
          <a:ext cx="63817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3E2C932-48D8-4733-BB27-CE1513F4D1E6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  <a:ea typeface="+mn-ea"/>
              <a:cs typeface="Calibri"/>
            </a:rPr>
            <a:pPr marL="0" indent="0" algn="ctr"/>
            <a:t>Audi</a:t>
          </a:fld>
          <a:endParaRPr lang="en-US" sz="1800" b="1" i="0" u="none" strike="noStrike">
            <a:solidFill>
              <a:schemeClr val="accent2">
                <a:lumMod val="75000"/>
              </a:schemeClr>
            </a:solidFill>
            <a:latin typeface="Aptos Narrow" panose="020B0004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19</xdr:col>
      <xdr:colOff>28575</xdr:colOff>
      <xdr:row>4</xdr:row>
      <xdr:rowOff>1</xdr:rowOff>
    </xdr:from>
    <xdr:to>
      <xdr:col>20</xdr:col>
      <xdr:colOff>142875</xdr:colOff>
      <xdr:row>5</xdr:row>
      <xdr:rowOff>171451</xdr:rowOff>
    </xdr:to>
    <xdr:sp macro="" textlink="Calculation!G13">
      <xdr:nvSpPr>
        <xdr:cNvPr id="21" name="TextBox 20">
          <a:extLst>
            <a:ext uri="{FF2B5EF4-FFF2-40B4-BE49-F238E27FC236}">
              <a16:creationId xmlns:a16="http://schemas.microsoft.com/office/drawing/2014/main" id="{EC3AA60A-C2EF-5D0E-954F-96514D8E5C06}"/>
            </a:ext>
          </a:extLst>
        </xdr:cNvPr>
        <xdr:cNvSpPr txBox="1"/>
      </xdr:nvSpPr>
      <xdr:spPr>
        <a:xfrm>
          <a:off x="11610975" y="762001"/>
          <a:ext cx="7239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8CC91CF-567F-4BE9-AD10-55C59EACE903}" type="TxLink">
            <a:rPr lang="en-US" sz="1800" b="1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  <a:ea typeface="+mn-ea"/>
              <a:cs typeface="Calibri"/>
            </a:rPr>
            <a:pPr marL="0" indent="0" algn="ctr"/>
            <a:t>9.63</a:t>
          </a:fld>
          <a:endParaRPr lang="en-US" sz="1800" b="1" i="0" u="none" strike="noStrike">
            <a:solidFill>
              <a:schemeClr val="accent2">
                <a:lumMod val="75000"/>
              </a:schemeClr>
            </a:solidFill>
            <a:latin typeface="Aptos Narrow" panose="020B0004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19</xdr:col>
      <xdr:colOff>504824</xdr:colOff>
      <xdr:row>3</xdr:row>
      <xdr:rowOff>19050</xdr:rowOff>
    </xdr:from>
    <xdr:to>
      <xdr:col>23</xdr:col>
      <xdr:colOff>19050</xdr:colOff>
      <xdr:row>6</xdr:row>
      <xdr:rowOff>152400</xdr:rowOff>
    </xdr:to>
    <xdr:sp macro="" textlink="Calculation!H13">
      <xdr:nvSpPr>
        <xdr:cNvPr id="22" name="TextBox 21">
          <a:extLst>
            <a:ext uri="{FF2B5EF4-FFF2-40B4-BE49-F238E27FC236}">
              <a16:creationId xmlns:a16="http://schemas.microsoft.com/office/drawing/2014/main" id="{33B2AC45-B87B-144C-1E1A-4E9BADEA3ECC}"/>
            </a:ext>
          </a:extLst>
        </xdr:cNvPr>
        <xdr:cNvSpPr txBox="1"/>
      </xdr:nvSpPr>
      <xdr:spPr>
        <a:xfrm>
          <a:off x="12087224" y="590550"/>
          <a:ext cx="1952626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9437379-8C6B-4B0B-9B87-603F6345D4AC}" type="TxLink">
            <a:rPr lang="en-US" sz="1600" b="1" i="0" u="none" strike="noStrike">
              <a:solidFill>
                <a:schemeClr val="accent2">
                  <a:lumMod val="75000"/>
                </a:schemeClr>
              </a:solidFill>
              <a:latin typeface="Aptos Narrow" panose="020B0004020202020204" pitchFamily="34" charset="0"/>
              <a:ea typeface="+mn-ea"/>
              <a:cs typeface="Calibri"/>
            </a:rPr>
            <a:pPr marL="0" indent="0" algn="ctr"/>
            <a:t>Price Per Kilometer</a:t>
          </a:fld>
          <a:endParaRPr lang="en-US" sz="1600" b="1" i="0" u="none" strike="noStrike">
            <a:solidFill>
              <a:schemeClr val="accent2">
                <a:lumMod val="75000"/>
              </a:schemeClr>
            </a:solidFill>
            <a:latin typeface="Aptos Narrow" panose="020B0004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27</xdr:row>
      <xdr:rowOff>32544</xdr:rowOff>
    </xdr:from>
    <xdr:to>
      <xdr:col>7</xdr:col>
      <xdr:colOff>302419</xdr:colOff>
      <xdr:row>42</xdr:row>
      <xdr:rowOff>3969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1DD2963F-0656-1F7D-A8EA-7DF8A4588969}"/>
            </a:ext>
          </a:extLst>
        </xdr:cNvPr>
        <xdr:cNvGrpSpPr/>
      </xdr:nvGrpSpPr>
      <xdr:grpSpPr>
        <a:xfrm>
          <a:off x="0" y="5176044"/>
          <a:ext cx="4588669" cy="2828925"/>
          <a:chOff x="8077200" y="1476375"/>
          <a:chExt cx="4533900" cy="4143375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7F941FEC-2B79-499A-AB27-8CD25B511CAD}"/>
              </a:ext>
            </a:extLst>
          </xdr:cNvPr>
          <xdr:cNvSpPr/>
        </xdr:nvSpPr>
        <xdr:spPr>
          <a:xfrm>
            <a:off x="8077200" y="1476375"/>
            <a:ext cx="4533900" cy="4143375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C55C37F9-1527-484D-B586-590786BEB8C2}"/>
              </a:ext>
            </a:extLst>
          </xdr:cNvPr>
          <xdr:cNvGraphicFramePr>
            <a:graphicFrameLocks/>
          </xdr:cNvGraphicFramePr>
        </xdr:nvGraphicFramePr>
        <xdr:xfrm>
          <a:off x="8305799" y="1504950"/>
          <a:ext cx="4124325" cy="3895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16</xdr:col>
      <xdr:colOff>150814</xdr:colOff>
      <xdr:row>26</xdr:row>
      <xdr:rowOff>31750</xdr:rowOff>
    </xdr:from>
    <xdr:to>
      <xdr:col>26</xdr:col>
      <xdr:colOff>190500</xdr:colOff>
      <xdr:row>45</xdr:row>
      <xdr:rowOff>52916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8DE6EA34-549A-FBE8-97EC-B862145A0DA0}"/>
            </a:ext>
          </a:extLst>
        </xdr:cNvPr>
        <xdr:cNvGrpSpPr/>
      </xdr:nvGrpSpPr>
      <xdr:grpSpPr>
        <a:xfrm>
          <a:off x="9947957" y="4984750"/>
          <a:ext cx="6162900" cy="3640666"/>
          <a:chOff x="180975" y="1438275"/>
          <a:chExt cx="7867650" cy="4267200"/>
        </a:xfrm>
      </xdr:grpSpPr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210D3C6E-3BCB-F6C2-B905-5A64FF49EB17}"/>
              </a:ext>
            </a:extLst>
          </xdr:cNvPr>
          <xdr:cNvSpPr/>
        </xdr:nvSpPr>
        <xdr:spPr>
          <a:xfrm>
            <a:off x="180975" y="1438275"/>
            <a:ext cx="7867650" cy="4267200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DBAB5142-3440-419B-965A-84FB3A9CF046}"/>
              </a:ext>
            </a:extLst>
          </xdr:cNvPr>
          <xdr:cNvGraphicFramePr>
            <a:graphicFrameLocks/>
          </xdr:cNvGraphicFramePr>
        </xdr:nvGraphicFramePr>
        <xdr:xfrm>
          <a:off x="228600" y="1485900"/>
          <a:ext cx="7524750" cy="39719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19</xdr:col>
      <xdr:colOff>402432</xdr:colOff>
      <xdr:row>7</xdr:row>
      <xdr:rowOff>178595</xdr:rowOff>
    </xdr:from>
    <xdr:to>
      <xdr:col>25</xdr:col>
      <xdr:colOff>507207</xdr:colOff>
      <xdr:row>25</xdr:row>
      <xdr:rowOff>95250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3E5DAB0A-B83B-DAB2-73D8-F05DAB638E40}"/>
            </a:ext>
          </a:extLst>
        </xdr:cNvPr>
        <xdr:cNvSpPr/>
      </xdr:nvSpPr>
      <xdr:spPr>
        <a:xfrm>
          <a:off x="12065265" y="1512095"/>
          <a:ext cx="3787775" cy="3345655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438414</xdr:colOff>
      <xdr:row>8</xdr:row>
      <xdr:rowOff>49213</xdr:rowOff>
    </xdr:from>
    <xdr:to>
      <xdr:col>25</xdr:col>
      <xdr:colOff>447939</xdr:colOff>
      <xdr:row>23</xdr:row>
      <xdr:rowOff>148167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CFBC1A0-ABE8-4B61-8F64-7119AEF34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74314</xdr:colOff>
      <xdr:row>8</xdr:row>
      <xdr:rowOff>17560</xdr:rowOff>
    </xdr:from>
    <xdr:to>
      <xdr:col>19</xdr:col>
      <xdr:colOff>314327</xdr:colOff>
      <xdr:row>25</xdr:row>
      <xdr:rowOff>190499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3E34415F-DACB-D3B7-692D-947AFEFED18E}"/>
            </a:ext>
          </a:extLst>
        </xdr:cNvPr>
        <xdr:cNvGrpSpPr/>
      </xdr:nvGrpSpPr>
      <xdr:grpSpPr>
        <a:xfrm>
          <a:off x="6197528" y="1541560"/>
          <a:ext cx="5750906" cy="3411439"/>
          <a:chOff x="6870969" y="990016"/>
          <a:chExt cx="4658028" cy="2639677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F487FB92-3FA8-F6E4-A7A7-2F68FB55C0C0}"/>
              </a:ext>
            </a:extLst>
          </xdr:cNvPr>
          <xdr:cNvSpPr/>
        </xdr:nvSpPr>
        <xdr:spPr>
          <a:xfrm>
            <a:off x="6905625" y="1019176"/>
            <a:ext cx="4623372" cy="2610517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4A0420BF-AD50-490F-88FE-50359132986E}"/>
              </a:ext>
            </a:extLst>
          </xdr:cNvPr>
          <xdr:cNvGraphicFramePr>
            <a:graphicFrameLocks/>
          </xdr:cNvGraphicFramePr>
        </xdr:nvGraphicFramePr>
        <xdr:xfrm>
          <a:off x="6870969" y="990016"/>
          <a:ext cx="4497688" cy="26018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7</xdr:col>
      <xdr:colOff>334434</xdr:colOff>
      <xdr:row>26</xdr:row>
      <xdr:rowOff>110332</xdr:rowOff>
    </xdr:from>
    <xdr:to>
      <xdr:col>16</xdr:col>
      <xdr:colOff>101600</xdr:colOff>
      <xdr:row>42</xdr:row>
      <xdr:rowOff>52917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9A56A608-70E3-4C67-0576-01222CE80685}"/>
            </a:ext>
          </a:extLst>
        </xdr:cNvPr>
        <xdr:cNvGrpSpPr/>
      </xdr:nvGrpSpPr>
      <xdr:grpSpPr>
        <a:xfrm>
          <a:off x="4620684" y="5063332"/>
          <a:ext cx="5278059" cy="2990585"/>
          <a:chOff x="4679308" y="5103366"/>
          <a:chExt cx="5153025" cy="3397160"/>
        </a:xfrm>
      </xdr:grpSpPr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CB61BB87-62B3-593C-9E7F-59BB2148C4CF}"/>
              </a:ext>
            </a:extLst>
          </xdr:cNvPr>
          <xdr:cNvSpPr/>
        </xdr:nvSpPr>
        <xdr:spPr>
          <a:xfrm>
            <a:off x="4679308" y="5103366"/>
            <a:ext cx="5153025" cy="3397160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32139751-A37A-4EF2-B8A8-3A6351444FDF}"/>
              </a:ext>
            </a:extLst>
          </xdr:cNvPr>
          <xdr:cNvGraphicFramePr>
            <a:graphicFrameLocks/>
          </xdr:cNvGraphicFramePr>
        </xdr:nvGraphicFramePr>
        <xdr:xfrm>
          <a:off x="4742078" y="5371760"/>
          <a:ext cx="4962525" cy="30431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0</xdr:colOff>
      <xdr:row>8</xdr:row>
      <xdr:rowOff>9525</xdr:rowOff>
    </xdr:from>
    <xdr:to>
      <xdr:col>10</xdr:col>
      <xdr:colOff>66675</xdr:colOff>
      <xdr:row>26</xdr:row>
      <xdr:rowOff>85725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82318F93-E02C-3D41-EA6A-2597064715A5}"/>
            </a:ext>
          </a:extLst>
        </xdr:cNvPr>
        <xdr:cNvGrpSpPr/>
      </xdr:nvGrpSpPr>
      <xdr:grpSpPr>
        <a:xfrm>
          <a:off x="0" y="1533525"/>
          <a:ext cx="6189889" cy="3505200"/>
          <a:chOff x="447675" y="8972550"/>
          <a:chExt cx="5600700" cy="2924175"/>
        </a:xfrm>
      </xdr:grpSpPr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F9A90ADF-5707-214D-5DF1-D9906938EB83}"/>
              </a:ext>
            </a:extLst>
          </xdr:cNvPr>
          <xdr:cNvSpPr/>
        </xdr:nvSpPr>
        <xdr:spPr>
          <a:xfrm>
            <a:off x="447675" y="8972550"/>
            <a:ext cx="5600700" cy="2924175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CCF4B3B0-38B1-4479-B993-01AA9874D024}"/>
              </a:ext>
            </a:extLst>
          </xdr:cNvPr>
          <xdr:cNvGraphicFramePr>
            <a:graphicFrameLocks/>
          </xdr:cNvGraphicFramePr>
        </xdr:nvGraphicFramePr>
        <xdr:xfrm>
          <a:off x="952500" y="90106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0.596740162036" createdVersion="8" refreshedVersion="8" minRefreshableVersion="3" recordCount="2500" xr:uid="{5A17E3A8-2568-427C-BA80-AE1B404D9145}">
  <cacheSource type="worksheet">
    <worksheetSource name="car_price_prediction_"/>
  </cacheSource>
  <cacheFields count="14">
    <cacheField name="Car ID" numFmtId="0">
      <sharedItems containsSemiMixedTypes="0" containsString="0" containsNumber="1" containsInteger="1" minValue="1" maxValue="2500"/>
    </cacheField>
    <cacheField name="Brand" numFmtId="0">
      <sharedItems count="7">
        <s v="Tesla"/>
        <s v="BMW"/>
        <s v="Audi"/>
        <s v="Ford"/>
        <s v="Honda"/>
        <s v="Mercedes"/>
        <s v="Toyota"/>
      </sharedItems>
    </cacheField>
    <cacheField name="Year" numFmtId="0">
      <sharedItems containsSemiMixedTypes="0" containsString="0" containsNumber="1" containsInteger="1" minValue="2000" maxValue="2023"/>
    </cacheField>
    <cacheField name="Engine Size" numFmtId="0">
      <sharedItems containsSemiMixedTypes="0" containsString="0" containsNumber="1" minValue="1" maxValue="6" count="51">
        <n v="2.2999999999999998"/>
        <n v="4.4000000000000004"/>
        <n v="4.5"/>
        <n v="4.0999999999999996"/>
        <n v="2.6"/>
        <n v="2.4"/>
        <n v="4"/>
        <n v="5.3"/>
        <n v="5.7"/>
        <n v="1.5"/>
        <n v="1.8"/>
        <n v="4.7"/>
        <n v="5.4"/>
        <n v="2"/>
        <n v="3.9"/>
        <n v="3"/>
        <n v="1.1000000000000001"/>
        <n v="3.3"/>
        <n v="5.8"/>
        <n v="5.2"/>
        <n v="1.9"/>
        <n v="5.9"/>
        <n v="1"/>
        <n v="3.2"/>
        <n v="5.6"/>
        <n v="4.5999999999999996"/>
        <n v="4.2"/>
        <n v="2.2000000000000002"/>
        <n v="2.1"/>
        <n v="1.3"/>
        <n v="1.4"/>
        <n v="5"/>
        <n v="5.0999999999999996"/>
        <n v="3.7"/>
        <n v="3.6"/>
        <n v="2.9"/>
        <n v="2.8"/>
        <n v="5.5"/>
        <n v="4.3"/>
        <n v="4.9000000000000004"/>
        <n v="3.1"/>
        <n v="2.5"/>
        <n v="3.5"/>
        <n v="4.8"/>
        <n v="1.6"/>
        <n v="3.8"/>
        <n v="2.7"/>
        <n v="1.7"/>
        <n v="3.4"/>
        <n v="6"/>
        <n v="1.2"/>
      </sharedItems>
    </cacheField>
    <cacheField name="Transmission" numFmtId="0">
      <sharedItems count="2">
        <s v="Manual"/>
        <s v="Automatic"/>
      </sharedItems>
    </cacheField>
    <cacheField name="Mileage" numFmtId="0">
      <sharedItems containsSemiMixedTypes="0" containsString="0" containsNumber="1" containsInteger="1" minValue="15" maxValue="299967"/>
    </cacheField>
    <cacheField name="Condition" numFmtId="0">
      <sharedItems count="3">
        <s v="New"/>
        <s v="Used"/>
        <s v="Like New"/>
      </sharedItems>
    </cacheField>
    <cacheField name="Price" numFmtId="0">
      <sharedItems containsSemiMixedTypes="0" containsString="0" containsNumber="1" minValue="5011.2700000000004" maxValue="99982.59"/>
    </cacheField>
    <cacheField name="Model" numFmtId="0">
      <sharedItems/>
    </cacheField>
    <cacheField name="Fuel Type" numFmtId="0">
      <sharedItems count="4">
        <s v="Electric"/>
        <s v="Diesel"/>
        <s v="Petrol"/>
        <s v="Hybrid"/>
      </sharedItems>
    </cacheField>
    <cacheField name="Mileage Category" numFmtId="0">
      <sharedItems count="3">
        <s v="Medium"/>
        <s v="High"/>
        <s v="Low"/>
      </sharedItems>
    </cacheField>
    <cacheField name="Age of Vehicle" numFmtId="0">
      <sharedItems containsSemiMixedTypes="0" containsString="0" containsNumber="1" containsInteger="1" minValue="3" maxValue="26" count="24">
        <n v="10"/>
        <n v="8"/>
        <n v="13"/>
        <n v="15"/>
        <n v="17"/>
        <n v="7"/>
        <n v="6"/>
        <n v="9"/>
        <n v="3"/>
        <n v="16"/>
        <n v="25"/>
        <n v="20"/>
        <n v="12"/>
        <n v="4"/>
        <n v="21"/>
        <n v="14"/>
        <n v="11"/>
        <n v="19"/>
        <n v="26"/>
        <n v="22"/>
        <n v="5"/>
        <n v="23"/>
        <n v="18"/>
        <n v="24"/>
      </sharedItems>
    </cacheField>
    <cacheField name="Price Per Kilometer" numFmtId="0">
      <sharedItems containsSemiMixedTypes="0" containsString="0" containsNumber="1" minValue="0.02" maxValue="2795.51"/>
    </cacheField>
    <cacheField name="Brand Grouping" numFmtId="0">
      <sharedItems count="2">
        <s v="Luxury"/>
        <s v="Econom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x v="0"/>
    <n v="2016"/>
    <x v="0"/>
    <x v="0"/>
    <n v="114832"/>
    <x v="0"/>
    <n v="26613.919999999998"/>
    <s v="Model X"/>
    <x v="0"/>
    <x v="0"/>
    <x v="0"/>
    <n v="0.23"/>
    <x v="0"/>
  </r>
  <r>
    <n v="2"/>
    <x v="1"/>
    <n v="2018"/>
    <x v="1"/>
    <x v="0"/>
    <n v="143190"/>
    <x v="1"/>
    <n v="14679.61"/>
    <s v="5 Series"/>
    <x v="0"/>
    <x v="0"/>
    <x v="1"/>
    <n v="0.1"/>
    <x v="0"/>
  </r>
  <r>
    <n v="3"/>
    <x v="2"/>
    <n v="2013"/>
    <x v="2"/>
    <x v="0"/>
    <n v="181601"/>
    <x v="0"/>
    <n v="44402.61"/>
    <s v="A4"/>
    <x v="0"/>
    <x v="1"/>
    <x v="2"/>
    <n v="0.24"/>
    <x v="0"/>
  </r>
  <r>
    <n v="4"/>
    <x v="0"/>
    <n v="2011"/>
    <x v="3"/>
    <x v="1"/>
    <n v="68682"/>
    <x v="0"/>
    <n v="86374.33"/>
    <s v="Model Y"/>
    <x v="0"/>
    <x v="0"/>
    <x v="3"/>
    <n v="1.26"/>
    <x v="0"/>
  </r>
  <r>
    <n v="5"/>
    <x v="3"/>
    <n v="2009"/>
    <x v="4"/>
    <x v="0"/>
    <n v="223009"/>
    <x v="2"/>
    <n v="73577.100000000006"/>
    <s v="Mustang"/>
    <x v="1"/>
    <x v="1"/>
    <x v="4"/>
    <n v="0.33"/>
    <x v="1"/>
  </r>
  <r>
    <n v="6"/>
    <x v="2"/>
    <n v="2019"/>
    <x v="5"/>
    <x v="1"/>
    <n v="246553"/>
    <x v="2"/>
    <n v="88969.76"/>
    <s v="Q7"/>
    <x v="1"/>
    <x v="1"/>
    <x v="5"/>
    <n v="0.36"/>
    <x v="0"/>
  </r>
  <r>
    <n v="7"/>
    <x v="2"/>
    <n v="2020"/>
    <x v="6"/>
    <x v="1"/>
    <n v="135486"/>
    <x v="1"/>
    <n v="63498.75"/>
    <s v="Q5"/>
    <x v="0"/>
    <x v="0"/>
    <x v="6"/>
    <n v="0.47"/>
    <x v="0"/>
  </r>
  <r>
    <n v="8"/>
    <x v="0"/>
    <n v="2017"/>
    <x v="7"/>
    <x v="1"/>
    <n v="83030"/>
    <x v="0"/>
    <n v="17381.189999999999"/>
    <s v="Model Y"/>
    <x v="0"/>
    <x v="0"/>
    <x v="7"/>
    <n v="0.21"/>
    <x v="0"/>
  </r>
  <r>
    <n v="9"/>
    <x v="4"/>
    <n v="2023"/>
    <x v="8"/>
    <x v="0"/>
    <n v="120360"/>
    <x v="2"/>
    <n v="15905.62"/>
    <s v="Civic"/>
    <x v="0"/>
    <x v="0"/>
    <x v="8"/>
    <n v="0.13"/>
    <x v="1"/>
  </r>
  <r>
    <n v="10"/>
    <x v="3"/>
    <n v="2010"/>
    <x v="9"/>
    <x v="1"/>
    <n v="135009"/>
    <x v="2"/>
    <n v="9560.2199999999993"/>
    <s v="Explorer"/>
    <x v="0"/>
    <x v="0"/>
    <x v="9"/>
    <n v="7.0000000000000007E-2"/>
    <x v="1"/>
  </r>
  <r>
    <n v="11"/>
    <x v="0"/>
    <n v="2001"/>
    <x v="10"/>
    <x v="1"/>
    <n v="298875"/>
    <x v="2"/>
    <n v="58872.6"/>
    <s v="Model 3"/>
    <x v="0"/>
    <x v="1"/>
    <x v="10"/>
    <n v="0.2"/>
    <x v="0"/>
  </r>
  <r>
    <n v="12"/>
    <x v="3"/>
    <n v="2017"/>
    <x v="8"/>
    <x v="1"/>
    <n v="169737"/>
    <x v="1"/>
    <n v="28074.19"/>
    <s v="Mustang"/>
    <x v="0"/>
    <x v="1"/>
    <x v="7"/>
    <n v="0.17"/>
    <x v="1"/>
  </r>
  <r>
    <n v="13"/>
    <x v="3"/>
    <n v="2006"/>
    <x v="11"/>
    <x v="1"/>
    <n v="114360"/>
    <x v="0"/>
    <n v="74766.45"/>
    <s v="Fiesta"/>
    <x v="2"/>
    <x v="0"/>
    <x v="11"/>
    <n v="0.65"/>
    <x v="1"/>
  </r>
  <r>
    <n v="14"/>
    <x v="2"/>
    <n v="2023"/>
    <x v="12"/>
    <x v="1"/>
    <n v="263894"/>
    <x v="2"/>
    <n v="70193.740000000005"/>
    <s v="Q7"/>
    <x v="0"/>
    <x v="1"/>
    <x v="8"/>
    <n v="0.27"/>
    <x v="0"/>
  </r>
  <r>
    <n v="15"/>
    <x v="1"/>
    <n v="2014"/>
    <x v="13"/>
    <x v="1"/>
    <n v="65018"/>
    <x v="0"/>
    <n v="35220.519999999997"/>
    <s v="X3"/>
    <x v="0"/>
    <x v="0"/>
    <x v="12"/>
    <n v="0.54"/>
    <x v="0"/>
  </r>
  <r>
    <n v="16"/>
    <x v="3"/>
    <n v="2010"/>
    <x v="14"/>
    <x v="1"/>
    <n v="240904"/>
    <x v="1"/>
    <n v="21796.16"/>
    <s v="Mustang"/>
    <x v="0"/>
    <x v="1"/>
    <x v="9"/>
    <n v="0.09"/>
    <x v="1"/>
  </r>
  <r>
    <n v="17"/>
    <x v="5"/>
    <n v="2017"/>
    <x v="2"/>
    <x v="1"/>
    <n v="136817"/>
    <x v="0"/>
    <n v="14728.03"/>
    <s v="GLA"/>
    <x v="0"/>
    <x v="0"/>
    <x v="7"/>
    <n v="0.11"/>
    <x v="0"/>
  </r>
  <r>
    <n v="18"/>
    <x v="2"/>
    <n v="2022"/>
    <x v="1"/>
    <x v="1"/>
    <n v="192803"/>
    <x v="2"/>
    <n v="75044.95"/>
    <s v="A3"/>
    <x v="3"/>
    <x v="1"/>
    <x v="13"/>
    <n v="0.39"/>
    <x v="0"/>
  </r>
  <r>
    <n v="19"/>
    <x v="4"/>
    <n v="2011"/>
    <x v="15"/>
    <x v="1"/>
    <n v="86984"/>
    <x v="0"/>
    <n v="47791.89"/>
    <s v="Civic"/>
    <x v="0"/>
    <x v="0"/>
    <x v="3"/>
    <n v="0.55000000000000004"/>
    <x v="1"/>
  </r>
  <r>
    <n v="20"/>
    <x v="1"/>
    <n v="2005"/>
    <x v="16"/>
    <x v="1"/>
    <n v="290595"/>
    <x v="0"/>
    <n v="35735.339999999997"/>
    <s v="X5"/>
    <x v="2"/>
    <x v="1"/>
    <x v="14"/>
    <n v="0.12"/>
    <x v="0"/>
  </r>
  <r>
    <n v="21"/>
    <x v="5"/>
    <n v="2019"/>
    <x v="14"/>
    <x v="1"/>
    <n v="192608"/>
    <x v="1"/>
    <n v="86382.04"/>
    <s v="C-Class"/>
    <x v="2"/>
    <x v="1"/>
    <x v="5"/>
    <n v="0.45"/>
    <x v="0"/>
  </r>
  <r>
    <n v="22"/>
    <x v="5"/>
    <n v="2022"/>
    <x v="0"/>
    <x v="0"/>
    <n v="12150"/>
    <x v="1"/>
    <n v="61393.26"/>
    <s v="E-Class"/>
    <x v="0"/>
    <x v="2"/>
    <x v="13"/>
    <n v="5.05"/>
    <x v="0"/>
  </r>
  <r>
    <n v="23"/>
    <x v="4"/>
    <n v="2012"/>
    <x v="17"/>
    <x v="0"/>
    <n v="275550"/>
    <x v="0"/>
    <n v="54210.22"/>
    <s v="CR-V"/>
    <x v="1"/>
    <x v="1"/>
    <x v="15"/>
    <n v="0.2"/>
    <x v="1"/>
  </r>
  <r>
    <n v="24"/>
    <x v="1"/>
    <n v="2019"/>
    <x v="18"/>
    <x v="1"/>
    <n v="150853"/>
    <x v="0"/>
    <n v="75621.02"/>
    <s v="X5"/>
    <x v="3"/>
    <x v="1"/>
    <x v="5"/>
    <n v="0.5"/>
    <x v="0"/>
  </r>
  <r>
    <n v="25"/>
    <x v="2"/>
    <n v="2015"/>
    <x v="15"/>
    <x v="1"/>
    <n v="188489"/>
    <x v="0"/>
    <n v="82480.399999999994"/>
    <s v="Q5"/>
    <x v="0"/>
    <x v="1"/>
    <x v="16"/>
    <n v="0.44"/>
    <x v="0"/>
  </r>
  <r>
    <n v="26"/>
    <x v="6"/>
    <n v="2017"/>
    <x v="19"/>
    <x v="1"/>
    <n v="18325"/>
    <x v="1"/>
    <n v="70176.95"/>
    <s v="Camry"/>
    <x v="0"/>
    <x v="2"/>
    <x v="7"/>
    <n v="3.83"/>
    <x v="1"/>
  </r>
  <r>
    <n v="27"/>
    <x v="1"/>
    <n v="2009"/>
    <x v="20"/>
    <x v="0"/>
    <n v="199756"/>
    <x v="1"/>
    <n v="46800.6"/>
    <s v="X3"/>
    <x v="0"/>
    <x v="1"/>
    <x v="4"/>
    <n v="0.23"/>
    <x v="0"/>
  </r>
  <r>
    <n v="28"/>
    <x v="4"/>
    <n v="2022"/>
    <x v="1"/>
    <x v="0"/>
    <n v="204541"/>
    <x v="0"/>
    <n v="41033.39"/>
    <s v="Accord"/>
    <x v="1"/>
    <x v="1"/>
    <x v="13"/>
    <n v="0.2"/>
    <x v="1"/>
  </r>
  <r>
    <n v="29"/>
    <x v="5"/>
    <n v="2007"/>
    <x v="21"/>
    <x v="0"/>
    <n v="17669"/>
    <x v="1"/>
    <n v="78308.17"/>
    <s v="GLC"/>
    <x v="1"/>
    <x v="2"/>
    <x v="17"/>
    <n v="4.43"/>
    <x v="0"/>
  </r>
  <r>
    <n v="30"/>
    <x v="2"/>
    <n v="2017"/>
    <x v="9"/>
    <x v="1"/>
    <n v="207836"/>
    <x v="2"/>
    <n v="54201.18"/>
    <s v="A3"/>
    <x v="1"/>
    <x v="1"/>
    <x v="7"/>
    <n v="0.26"/>
    <x v="0"/>
  </r>
  <r>
    <n v="31"/>
    <x v="1"/>
    <n v="2020"/>
    <x v="22"/>
    <x v="1"/>
    <n v="132915"/>
    <x v="1"/>
    <n v="71916.679999999993"/>
    <s v="X5"/>
    <x v="3"/>
    <x v="0"/>
    <x v="6"/>
    <n v="0.54"/>
    <x v="0"/>
  </r>
  <r>
    <n v="32"/>
    <x v="6"/>
    <n v="2000"/>
    <x v="23"/>
    <x v="1"/>
    <n v="196681"/>
    <x v="1"/>
    <n v="89587.88"/>
    <s v="Corolla"/>
    <x v="2"/>
    <x v="1"/>
    <x v="18"/>
    <n v="0.46"/>
    <x v="1"/>
  </r>
  <r>
    <n v="33"/>
    <x v="6"/>
    <n v="2022"/>
    <x v="9"/>
    <x v="1"/>
    <n v="50812"/>
    <x v="1"/>
    <n v="92009.61"/>
    <s v="Corolla"/>
    <x v="3"/>
    <x v="0"/>
    <x v="13"/>
    <n v="1.81"/>
    <x v="1"/>
  </r>
  <r>
    <n v="34"/>
    <x v="3"/>
    <n v="2007"/>
    <x v="11"/>
    <x v="0"/>
    <n v="278203"/>
    <x v="2"/>
    <n v="31382.99"/>
    <s v="Fiesta"/>
    <x v="1"/>
    <x v="1"/>
    <x v="17"/>
    <n v="0.11"/>
    <x v="1"/>
  </r>
  <r>
    <n v="35"/>
    <x v="3"/>
    <n v="2005"/>
    <x v="24"/>
    <x v="1"/>
    <n v="252862"/>
    <x v="2"/>
    <n v="22849.55"/>
    <s v="Mustang"/>
    <x v="2"/>
    <x v="1"/>
    <x v="14"/>
    <n v="0.09"/>
    <x v="1"/>
  </r>
  <r>
    <n v="36"/>
    <x v="0"/>
    <n v="2004"/>
    <x v="23"/>
    <x v="0"/>
    <n v="171840"/>
    <x v="2"/>
    <n v="29822.3"/>
    <s v="Model 3"/>
    <x v="0"/>
    <x v="1"/>
    <x v="19"/>
    <n v="0.17"/>
    <x v="0"/>
  </r>
  <r>
    <n v="37"/>
    <x v="4"/>
    <n v="2014"/>
    <x v="0"/>
    <x v="0"/>
    <n v="25395"/>
    <x v="0"/>
    <n v="76380.320000000007"/>
    <s v="Fit"/>
    <x v="1"/>
    <x v="2"/>
    <x v="12"/>
    <n v="3.01"/>
    <x v="1"/>
  </r>
  <r>
    <n v="38"/>
    <x v="1"/>
    <n v="2021"/>
    <x v="23"/>
    <x v="1"/>
    <n v="282346"/>
    <x v="0"/>
    <n v="40155.51"/>
    <s v="5 Series"/>
    <x v="1"/>
    <x v="1"/>
    <x v="20"/>
    <n v="0.14000000000000001"/>
    <x v="0"/>
  </r>
  <r>
    <n v="39"/>
    <x v="1"/>
    <n v="2014"/>
    <x v="25"/>
    <x v="0"/>
    <n v="229707"/>
    <x v="2"/>
    <n v="21471.98"/>
    <s v="X3"/>
    <x v="3"/>
    <x v="1"/>
    <x v="12"/>
    <n v="0.09"/>
    <x v="0"/>
  </r>
  <r>
    <n v="40"/>
    <x v="0"/>
    <n v="2001"/>
    <x v="22"/>
    <x v="0"/>
    <n v="247181"/>
    <x v="0"/>
    <n v="14346.62"/>
    <s v="Model X"/>
    <x v="0"/>
    <x v="1"/>
    <x v="10"/>
    <n v="0.06"/>
    <x v="0"/>
  </r>
  <r>
    <n v="41"/>
    <x v="5"/>
    <n v="2000"/>
    <x v="14"/>
    <x v="0"/>
    <n v="204120"/>
    <x v="0"/>
    <n v="36094.75"/>
    <s v="E-Class"/>
    <x v="2"/>
    <x v="1"/>
    <x v="18"/>
    <n v="0.18"/>
    <x v="0"/>
  </r>
  <r>
    <n v="42"/>
    <x v="5"/>
    <n v="2022"/>
    <x v="3"/>
    <x v="0"/>
    <n v="224839"/>
    <x v="0"/>
    <n v="17932.96"/>
    <s v="GLA"/>
    <x v="0"/>
    <x v="1"/>
    <x v="13"/>
    <n v="0.08"/>
    <x v="0"/>
  </r>
  <r>
    <n v="43"/>
    <x v="0"/>
    <n v="2022"/>
    <x v="26"/>
    <x v="1"/>
    <n v="219882"/>
    <x v="2"/>
    <n v="19855.490000000002"/>
    <s v="Model Y"/>
    <x v="0"/>
    <x v="1"/>
    <x v="13"/>
    <n v="0.09"/>
    <x v="0"/>
  </r>
  <r>
    <n v="44"/>
    <x v="5"/>
    <n v="2010"/>
    <x v="27"/>
    <x v="1"/>
    <n v="103235"/>
    <x v="1"/>
    <n v="69968.98"/>
    <s v="C-Class"/>
    <x v="1"/>
    <x v="0"/>
    <x v="9"/>
    <n v="0.68"/>
    <x v="0"/>
  </r>
  <r>
    <n v="45"/>
    <x v="3"/>
    <n v="2009"/>
    <x v="25"/>
    <x v="0"/>
    <n v="45510"/>
    <x v="2"/>
    <n v="6874.55"/>
    <s v="Explorer"/>
    <x v="3"/>
    <x v="2"/>
    <x v="4"/>
    <n v="0.15"/>
    <x v="1"/>
  </r>
  <r>
    <n v="46"/>
    <x v="1"/>
    <n v="2017"/>
    <x v="9"/>
    <x v="1"/>
    <n v="87945"/>
    <x v="2"/>
    <n v="16167.56"/>
    <s v="5 Series"/>
    <x v="3"/>
    <x v="0"/>
    <x v="7"/>
    <n v="0.18"/>
    <x v="0"/>
  </r>
  <r>
    <n v="47"/>
    <x v="0"/>
    <n v="2017"/>
    <x v="13"/>
    <x v="0"/>
    <n v="242802"/>
    <x v="0"/>
    <n v="85214.720000000001"/>
    <s v="Model S"/>
    <x v="0"/>
    <x v="1"/>
    <x v="7"/>
    <n v="0.35"/>
    <x v="0"/>
  </r>
  <r>
    <n v="48"/>
    <x v="1"/>
    <n v="2016"/>
    <x v="12"/>
    <x v="1"/>
    <n v="250168"/>
    <x v="0"/>
    <n v="85266.84"/>
    <s v="X5"/>
    <x v="2"/>
    <x v="1"/>
    <x v="0"/>
    <n v="0.34"/>
    <x v="0"/>
  </r>
  <r>
    <n v="49"/>
    <x v="6"/>
    <n v="2007"/>
    <x v="11"/>
    <x v="1"/>
    <n v="2881"/>
    <x v="1"/>
    <n v="36278.129999999997"/>
    <s v="Prius"/>
    <x v="2"/>
    <x v="2"/>
    <x v="17"/>
    <n v="12.59"/>
    <x v="1"/>
  </r>
  <r>
    <n v="50"/>
    <x v="3"/>
    <n v="2014"/>
    <x v="16"/>
    <x v="1"/>
    <n v="111860"/>
    <x v="1"/>
    <n v="13355.54"/>
    <s v="Explorer"/>
    <x v="0"/>
    <x v="0"/>
    <x v="12"/>
    <n v="0.12"/>
    <x v="1"/>
  </r>
  <r>
    <n v="51"/>
    <x v="2"/>
    <n v="2007"/>
    <x v="27"/>
    <x v="1"/>
    <n v="166415"/>
    <x v="1"/>
    <n v="71972.179999999993"/>
    <s v="Q5"/>
    <x v="1"/>
    <x v="1"/>
    <x v="17"/>
    <n v="0.43"/>
    <x v="0"/>
  </r>
  <r>
    <n v="52"/>
    <x v="3"/>
    <n v="2016"/>
    <x v="28"/>
    <x v="1"/>
    <n v="139728"/>
    <x v="1"/>
    <n v="39212.51"/>
    <s v="Mustang"/>
    <x v="3"/>
    <x v="0"/>
    <x v="0"/>
    <n v="0.28000000000000003"/>
    <x v="1"/>
  </r>
  <r>
    <n v="53"/>
    <x v="0"/>
    <n v="2011"/>
    <x v="5"/>
    <x v="0"/>
    <n v="267885"/>
    <x v="2"/>
    <n v="9319.14"/>
    <s v="Model S"/>
    <x v="0"/>
    <x v="1"/>
    <x v="3"/>
    <n v="0.03"/>
    <x v="0"/>
  </r>
  <r>
    <n v="54"/>
    <x v="2"/>
    <n v="2007"/>
    <x v="27"/>
    <x v="1"/>
    <n v="147733"/>
    <x v="1"/>
    <n v="19993.560000000001"/>
    <s v="A4"/>
    <x v="0"/>
    <x v="0"/>
    <x v="17"/>
    <n v="0.14000000000000001"/>
    <x v="0"/>
  </r>
  <r>
    <n v="55"/>
    <x v="6"/>
    <n v="2013"/>
    <x v="29"/>
    <x v="0"/>
    <n v="290834"/>
    <x v="2"/>
    <n v="18035.41"/>
    <s v="Camry"/>
    <x v="1"/>
    <x v="1"/>
    <x v="2"/>
    <n v="0.06"/>
    <x v="1"/>
  </r>
  <r>
    <n v="56"/>
    <x v="0"/>
    <n v="2003"/>
    <x v="17"/>
    <x v="0"/>
    <n v="294977"/>
    <x v="0"/>
    <n v="60966.05"/>
    <s v="Model S"/>
    <x v="0"/>
    <x v="1"/>
    <x v="21"/>
    <n v="0.21"/>
    <x v="0"/>
  </r>
  <r>
    <n v="57"/>
    <x v="4"/>
    <n v="2000"/>
    <x v="11"/>
    <x v="1"/>
    <n v="102566"/>
    <x v="1"/>
    <n v="90321.17"/>
    <s v="CR-V"/>
    <x v="1"/>
    <x v="0"/>
    <x v="18"/>
    <n v="0.88"/>
    <x v="1"/>
  </r>
  <r>
    <n v="58"/>
    <x v="1"/>
    <n v="2000"/>
    <x v="6"/>
    <x v="0"/>
    <n v="71240"/>
    <x v="0"/>
    <n v="80341.84"/>
    <s v="5 Series"/>
    <x v="1"/>
    <x v="0"/>
    <x v="18"/>
    <n v="1.1299999999999999"/>
    <x v="0"/>
  </r>
  <r>
    <n v="59"/>
    <x v="6"/>
    <n v="2018"/>
    <x v="1"/>
    <x v="1"/>
    <n v="106898"/>
    <x v="0"/>
    <n v="56919.02"/>
    <s v="Prius"/>
    <x v="2"/>
    <x v="0"/>
    <x v="1"/>
    <n v="0.53"/>
    <x v="1"/>
  </r>
  <r>
    <n v="60"/>
    <x v="1"/>
    <n v="2015"/>
    <x v="30"/>
    <x v="0"/>
    <n v="209304"/>
    <x v="2"/>
    <n v="45104.74"/>
    <s v="3 Series"/>
    <x v="2"/>
    <x v="1"/>
    <x v="16"/>
    <n v="0.22"/>
    <x v="0"/>
  </r>
  <r>
    <n v="61"/>
    <x v="5"/>
    <n v="2013"/>
    <x v="18"/>
    <x v="0"/>
    <n v="80522"/>
    <x v="1"/>
    <n v="63774.29"/>
    <s v="GLC"/>
    <x v="2"/>
    <x v="0"/>
    <x v="2"/>
    <n v="0.79"/>
    <x v="0"/>
  </r>
  <r>
    <n v="62"/>
    <x v="4"/>
    <n v="2020"/>
    <x v="19"/>
    <x v="1"/>
    <n v="145512"/>
    <x v="2"/>
    <n v="47162.21"/>
    <s v="Accord"/>
    <x v="1"/>
    <x v="0"/>
    <x v="6"/>
    <n v="0.32"/>
    <x v="1"/>
  </r>
  <r>
    <n v="63"/>
    <x v="4"/>
    <n v="2015"/>
    <x v="31"/>
    <x v="1"/>
    <n v="119107"/>
    <x v="0"/>
    <n v="28379.42"/>
    <s v="CR-V"/>
    <x v="1"/>
    <x v="0"/>
    <x v="16"/>
    <n v="0.24"/>
    <x v="1"/>
  </r>
  <r>
    <n v="64"/>
    <x v="6"/>
    <n v="2004"/>
    <x v="32"/>
    <x v="1"/>
    <n v="22462"/>
    <x v="1"/>
    <n v="69523.759999999995"/>
    <s v="Camry"/>
    <x v="0"/>
    <x v="2"/>
    <x v="19"/>
    <n v="3.1"/>
    <x v="1"/>
  </r>
  <r>
    <n v="65"/>
    <x v="4"/>
    <n v="2008"/>
    <x v="8"/>
    <x v="1"/>
    <n v="279965"/>
    <x v="0"/>
    <n v="87958.17"/>
    <s v="Fit"/>
    <x v="3"/>
    <x v="1"/>
    <x v="22"/>
    <n v="0.31"/>
    <x v="1"/>
  </r>
  <r>
    <n v="66"/>
    <x v="2"/>
    <n v="2001"/>
    <x v="33"/>
    <x v="0"/>
    <n v="92889"/>
    <x v="0"/>
    <n v="40422.68"/>
    <s v="A4"/>
    <x v="1"/>
    <x v="0"/>
    <x v="10"/>
    <n v="0.44"/>
    <x v="0"/>
  </r>
  <r>
    <n v="67"/>
    <x v="4"/>
    <n v="2017"/>
    <x v="13"/>
    <x v="1"/>
    <n v="88952"/>
    <x v="1"/>
    <n v="84946.15"/>
    <s v="CR-V"/>
    <x v="3"/>
    <x v="0"/>
    <x v="7"/>
    <n v="0.95"/>
    <x v="1"/>
  </r>
  <r>
    <n v="68"/>
    <x v="1"/>
    <n v="2005"/>
    <x v="3"/>
    <x v="0"/>
    <n v="193596"/>
    <x v="1"/>
    <n v="45952.79"/>
    <s v="X3"/>
    <x v="2"/>
    <x v="1"/>
    <x v="14"/>
    <n v="0.24"/>
    <x v="0"/>
  </r>
  <r>
    <n v="69"/>
    <x v="1"/>
    <n v="2008"/>
    <x v="11"/>
    <x v="0"/>
    <n v="177505"/>
    <x v="1"/>
    <n v="43126.91"/>
    <s v="5 Series"/>
    <x v="1"/>
    <x v="1"/>
    <x v="22"/>
    <n v="0.24"/>
    <x v="0"/>
  </r>
  <r>
    <n v="70"/>
    <x v="0"/>
    <n v="2000"/>
    <x v="11"/>
    <x v="0"/>
    <n v="221576"/>
    <x v="2"/>
    <n v="7690.81"/>
    <s v="Model X"/>
    <x v="0"/>
    <x v="1"/>
    <x v="18"/>
    <n v="0.03"/>
    <x v="0"/>
  </r>
  <r>
    <n v="71"/>
    <x v="1"/>
    <n v="2008"/>
    <x v="34"/>
    <x v="0"/>
    <n v="219393"/>
    <x v="2"/>
    <n v="71051.5"/>
    <s v="5 Series"/>
    <x v="0"/>
    <x v="1"/>
    <x v="22"/>
    <n v="0.32"/>
    <x v="0"/>
  </r>
  <r>
    <n v="72"/>
    <x v="0"/>
    <n v="2015"/>
    <x v="29"/>
    <x v="0"/>
    <n v="275455"/>
    <x v="0"/>
    <n v="81712.740000000005"/>
    <s v="Model S"/>
    <x v="0"/>
    <x v="1"/>
    <x v="16"/>
    <n v="0.3"/>
    <x v="0"/>
  </r>
  <r>
    <n v="73"/>
    <x v="1"/>
    <n v="2012"/>
    <x v="35"/>
    <x v="0"/>
    <n v="254084"/>
    <x v="1"/>
    <n v="68037.91"/>
    <s v="X5"/>
    <x v="2"/>
    <x v="1"/>
    <x v="15"/>
    <n v="0.27"/>
    <x v="0"/>
  </r>
  <r>
    <n v="74"/>
    <x v="2"/>
    <n v="2008"/>
    <x v="24"/>
    <x v="1"/>
    <n v="129466"/>
    <x v="0"/>
    <n v="19379.29"/>
    <s v="A3"/>
    <x v="3"/>
    <x v="0"/>
    <x v="22"/>
    <n v="0.15"/>
    <x v="0"/>
  </r>
  <r>
    <n v="75"/>
    <x v="0"/>
    <n v="2020"/>
    <x v="14"/>
    <x v="0"/>
    <n v="30531"/>
    <x v="0"/>
    <n v="14812.88"/>
    <s v="Model S"/>
    <x v="0"/>
    <x v="2"/>
    <x v="6"/>
    <n v="0.49"/>
    <x v="0"/>
  </r>
  <r>
    <n v="76"/>
    <x v="3"/>
    <n v="2012"/>
    <x v="33"/>
    <x v="0"/>
    <n v="14588"/>
    <x v="0"/>
    <n v="59421.58"/>
    <s v="Fiesta"/>
    <x v="0"/>
    <x v="2"/>
    <x v="15"/>
    <n v="4.07"/>
    <x v="1"/>
  </r>
  <r>
    <n v="77"/>
    <x v="5"/>
    <n v="2008"/>
    <x v="0"/>
    <x v="0"/>
    <n v="143452"/>
    <x v="0"/>
    <n v="43144.04"/>
    <s v="GLC"/>
    <x v="3"/>
    <x v="0"/>
    <x v="22"/>
    <n v="0.3"/>
    <x v="0"/>
  </r>
  <r>
    <n v="78"/>
    <x v="6"/>
    <n v="2010"/>
    <x v="36"/>
    <x v="1"/>
    <n v="173717"/>
    <x v="0"/>
    <n v="45764.29"/>
    <s v="RAV4"/>
    <x v="0"/>
    <x v="1"/>
    <x v="9"/>
    <n v="0.26"/>
    <x v="1"/>
  </r>
  <r>
    <n v="79"/>
    <x v="1"/>
    <n v="2003"/>
    <x v="37"/>
    <x v="1"/>
    <n v="161929"/>
    <x v="1"/>
    <n v="96941.02"/>
    <s v="X5"/>
    <x v="0"/>
    <x v="1"/>
    <x v="21"/>
    <n v="0.6"/>
    <x v="0"/>
  </r>
  <r>
    <n v="80"/>
    <x v="4"/>
    <n v="2001"/>
    <x v="38"/>
    <x v="0"/>
    <n v="21711"/>
    <x v="2"/>
    <n v="73772.649999999994"/>
    <s v="Fit"/>
    <x v="2"/>
    <x v="2"/>
    <x v="10"/>
    <n v="3.4"/>
    <x v="1"/>
  </r>
  <r>
    <n v="81"/>
    <x v="1"/>
    <n v="2005"/>
    <x v="39"/>
    <x v="1"/>
    <n v="136169"/>
    <x v="1"/>
    <n v="44119.839999999997"/>
    <s v="5 Series"/>
    <x v="3"/>
    <x v="0"/>
    <x v="14"/>
    <n v="0.32"/>
    <x v="0"/>
  </r>
  <r>
    <n v="82"/>
    <x v="4"/>
    <n v="2013"/>
    <x v="17"/>
    <x v="0"/>
    <n v="159465"/>
    <x v="1"/>
    <n v="6814.43"/>
    <s v="CR-V"/>
    <x v="3"/>
    <x v="1"/>
    <x v="2"/>
    <n v="0.04"/>
    <x v="1"/>
  </r>
  <r>
    <n v="83"/>
    <x v="5"/>
    <n v="2003"/>
    <x v="26"/>
    <x v="1"/>
    <n v="284220"/>
    <x v="1"/>
    <n v="8239.09"/>
    <s v="GLC"/>
    <x v="0"/>
    <x v="1"/>
    <x v="21"/>
    <n v="0.03"/>
    <x v="0"/>
  </r>
  <r>
    <n v="84"/>
    <x v="5"/>
    <n v="2005"/>
    <x v="27"/>
    <x v="0"/>
    <n v="160389"/>
    <x v="2"/>
    <n v="70056.350000000006"/>
    <s v="E-Class"/>
    <x v="0"/>
    <x v="1"/>
    <x v="14"/>
    <n v="0.44"/>
    <x v="0"/>
  </r>
  <r>
    <n v="85"/>
    <x v="5"/>
    <n v="2018"/>
    <x v="2"/>
    <x v="1"/>
    <n v="58480"/>
    <x v="2"/>
    <n v="84585.18"/>
    <s v="GLC"/>
    <x v="2"/>
    <x v="0"/>
    <x v="1"/>
    <n v="1.45"/>
    <x v="0"/>
  </r>
  <r>
    <n v="86"/>
    <x v="4"/>
    <n v="2005"/>
    <x v="40"/>
    <x v="1"/>
    <n v="269188"/>
    <x v="2"/>
    <n v="72231.75"/>
    <s v="Fit"/>
    <x v="1"/>
    <x v="1"/>
    <x v="14"/>
    <n v="0.27"/>
    <x v="1"/>
  </r>
  <r>
    <n v="87"/>
    <x v="1"/>
    <n v="2001"/>
    <x v="23"/>
    <x v="1"/>
    <n v="250309"/>
    <x v="1"/>
    <n v="43559.34"/>
    <s v="X3"/>
    <x v="1"/>
    <x v="1"/>
    <x v="10"/>
    <n v="0.17"/>
    <x v="0"/>
  </r>
  <r>
    <n v="88"/>
    <x v="5"/>
    <n v="2017"/>
    <x v="26"/>
    <x v="0"/>
    <n v="55486"/>
    <x v="2"/>
    <n v="7957.9"/>
    <s v="C-Class"/>
    <x v="0"/>
    <x v="0"/>
    <x v="7"/>
    <n v="0.14000000000000001"/>
    <x v="0"/>
  </r>
  <r>
    <n v="89"/>
    <x v="2"/>
    <n v="2012"/>
    <x v="8"/>
    <x v="0"/>
    <n v="55162"/>
    <x v="0"/>
    <n v="96903.15"/>
    <s v="A3"/>
    <x v="1"/>
    <x v="0"/>
    <x v="15"/>
    <n v="1.76"/>
    <x v="0"/>
  </r>
  <r>
    <n v="90"/>
    <x v="0"/>
    <n v="2008"/>
    <x v="29"/>
    <x v="0"/>
    <n v="210359"/>
    <x v="2"/>
    <n v="98701.93"/>
    <s v="Model S"/>
    <x v="0"/>
    <x v="1"/>
    <x v="22"/>
    <n v="0.47"/>
    <x v="0"/>
  </r>
  <r>
    <n v="91"/>
    <x v="4"/>
    <n v="2022"/>
    <x v="32"/>
    <x v="1"/>
    <n v="29882"/>
    <x v="1"/>
    <n v="57189.63"/>
    <s v="CR-V"/>
    <x v="1"/>
    <x v="2"/>
    <x v="13"/>
    <n v="1.91"/>
    <x v="1"/>
  </r>
  <r>
    <n v="92"/>
    <x v="4"/>
    <n v="2018"/>
    <x v="41"/>
    <x v="1"/>
    <n v="54078"/>
    <x v="1"/>
    <n v="11713.74"/>
    <s v="CR-V"/>
    <x v="1"/>
    <x v="0"/>
    <x v="1"/>
    <n v="0.22"/>
    <x v="1"/>
  </r>
  <r>
    <n v="93"/>
    <x v="1"/>
    <n v="2012"/>
    <x v="23"/>
    <x v="0"/>
    <n v="238680"/>
    <x v="0"/>
    <n v="56392.39"/>
    <s v="3 Series"/>
    <x v="0"/>
    <x v="1"/>
    <x v="15"/>
    <n v="0.24"/>
    <x v="0"/>
  </r>
  <r>
    <n v="94"/>
    <x v="4"/>
    <n v="2010"/>
    <x v="16"/>
    <x v="1"/>
    <n v="108730"/>
    <x v="2"/>
    <n v="89772.15"/>
    <s v="CR-V"/>
    <x v="1"/>
    <x v="0"/>
    <x v="9"/>
    <n v="0.83"/>
    <x v="1"/>
  </r>
  <r>
    <n v="95"/>
    <x v="4"/>
    <n v="2000"/>
    <x v="41"/>
    <x v="0"/>
    <n v="174898"/>
    <x v="2"/>
    <n v="69598.62"/>
    <s v="Fit"/>
    <x v="1"/>
    <x v="1"/>
    <x v="18"/>
    <n v="0.4"/>
    <x v="1"/>
  </r>
  <r>
    <n v="96"/>
    <x v="5"/>
    <n v="2023"/>
    <x v="42"/>
    <x v="0"/>
    <n v="98938"/>
    <x v="0"/>
    <n v="73398.98"/>
    <s v="C-Class"/>
    <x v="2"/>
    <x v="0"/>
    <x v="8"/>
    <n v="0.74"/>
    <x v="0"/>
  </r>
  <r>
    <n v="97"/>
    <x v="1"/>
    <n v="2021"/>
    <x v="29"/>
    <x v="0"/>
    <n v="118319"/>
    <x v="1"/>
    <n v="13072.13"/>
    <s v="5 Series"/>
    <x v="0"/>
    <x v="0"/>
    <x v="20"/>
    <n v="0.11"/>
    <x v="0"/>
  </r>
  <r>
    <n v="98"/>
    <x v="5"/>
    <n v="2006"/>
    <x v="42"/>
    <x v="0"/>
    <n v="32543"/>
    <x v="1"/>
    <n v="15118.61"/>
    <s v="E-Class"/>
    <x v="3"/>
    <x v="2"/>
    <x v="11"/>
    <n v="0.46"/>
    <x v="0"/>
  </r>
  <r>
    <n v="99"/>
    <x v="0"/>
    <n v="2020"/>
    <x v="24"/>
    <x v="1"/>
    <n v="124279"/>
    <x v="2"/>
    <n v="17098.13"/>
    <s v="Model 3"/>
    <x v="0"/>
    <x v="0"/>
    <x v="6"/>
    <n v="0.14000000000000001"/>
    <x v="0"/>
  </r>
  <r>
    <n v="100"/>
    <x v="0"/>
    <n v="2014"/>
    <x v="9"/>
    <x v="1"/>
    <n v="29362"/>
    <x v="2"/>
    <n v="90915.8"/>
    <s v="Model 3"/>
    <x v="0"/>
    <x v="2"/>
    <x v="12"/>
    <n v="3.1"/>
    <x v="0"/>
  </r>
  <r>
    <n v="101"/>
    <x v="5"/>
    <n v="2000"/>
    <x v="43"/>
    <x v="1"/>
    <n v="158818"/>
    <x v="2"/>
    <n v="54955.72"/>
    <s v="GLA"/>
    <x v="2"/>
    <x v="1"/>
    <x v="18"/>
    <n v="0.35"/>
    <x v="0"/>
  </r>
  <r>
    <n v="102"/>
    <x v="0"/>
    <n v="2011"/>
    <x v="15"/>
    <x v="0"/>
    <n v="242721"/>
    <x v="2"/>
    <n v="80199.63"/>
    <s v="Model S"/>
    <x v="0"/>
    <x v="1"/>
    <x v="3"/>
    <n v="0.33"/>
    <x v="0"/>
  </r>
  <r>
    <n v="103"/>
    <x v="1"/>
    <n v="2006"/>
    <x v="38"/>
    <x v="1"/>
    <n v="165229"/>
    <x v="2"/>
    <n v="15952.67"/>
    <s v="X5"/>
    <x v="3"/>
    <x v="1"/>
    <x v="11"/>
    <n v="0.1"/>
    <x v="0"/>
  </r>
  <r>
    <n v="104"/>
    <x v="6"/>
    <n v="2014"/>
    <x v="0"/>
    <x v="0"/>
    <n v="142394"/>
    <x v="1"/>
    <n v="93126.06"/>
    <s v="Camry"/>
    <x v="1"/>
    <x v="0"/>
    <x v="12"/>
    <n v="0.65"/>
    <x v="1"/>
  </r>
  <r>
    <n v="105"/>
    <x v="5"/>
    <n v="2020"/>
    <x v="10"/>
    <x v="0"/>
    <n v="69812"/>
    <x v="1"/>
    <n v="83008.5"/>
    <s v="GLC"/>
    <x v="2"/>
    <x v="0"/>
    <x v="6"/>
    <n v="1.19"/>
    <x v="0"/>
  </r>
  <r>
    <n v="106"/>
    <x v="2"/>
    <n v="2018"/>
    <x v="10"/>
    <x v="0"/>
    <n v="296161"/>
    <x v="1"/>
    <n v="26352.59"/>
    <s v="A4"/>
    <x v="3"/>
    <x v="1"/>
    <x v="1"/>
    <n v="0.09"/>
    <x v="0"/>
  </r>
  <r>
    <n v="107"/>
    <x v="2"/>
    <n v="2000"/>
    <x v="30"/>
    <x v="0"/>
    <n v="228208"/>
    <x v="1"/>
    <n v="88047.31"/>
    <s v="Q7"/>
    <x v="0"/>
    <x v="1"/>
    <x v="18"/>
    <n v="0.39"/>
    <x v="0"/>
  </r>
  <r>
    <n v="108"/>
    <x v="4"/>
    <n v="2016"/>
    <x v="20"/>
    <x v="0"/>
    <n v="279773"/>
    <x v="0"/>
    <n v="30027.06"/>
    <s v="Accord"/>
    <x v="1"/>
    <x v="1"/>
    <x v="0"/>
    <n v="0.11"/>
    <x v="1"/>
  </r>
  <r>
    <n v="109"/>
    <x v="0"/>
    <n v="2016"/>
    <x v="38"/>
    <x v="0"/>
    <n v="128614"/>
    <x v="1"/>
    <n v="24507.29"/>
    <s v="Model 3"/>
    <x v="0"/>
    <x v="0"/>
    <x v="0"/>
    <n v="0.19"/>
    <x v="0"/>
  </r>
  <r>
    <n v="110"/>
    <x v="2"/>
    <n v="2002"/>
    <x v="12"/>
    <x v="1"/>
    <n v="96950"/>
    <x v="0"/>
    <n v="30103.17"/>
    <s v="Q5"/>
    <x v="2"/>
    <x v="0"/>
    <x v="23"/>
    <n v="0.31"/>
    <x v="0"/>
  </r>
  <r>
    <n v="111"/>
    <x v="4"/>
    <n v="2011"/>
    <x v="32"/>
    <x v="1"/>
    <n v="174942"/>
    <x v="1"/>
    <n v="91445.73"/>
    <s v="Accord"/>
    <x v="3"/>
    <x v="1"/>
    <x v="3"/>
    <n v="0.52"/>
    <x v="1"/>
  </r>
  <r>
    <n v="112"/>
    <x v="6"/>
    <n v="2005"/>
    <x v="1"/>
    <x v="1"/>
    <n v="64829"/>
    <x v="2"/>
    <n v="91981.24"/>
    <s v="Camry"/>
    <x v="3"/>
    <x v="0"/>
    <x v="14"/>
    <n v="1.42"/>
    <x v="1"/>
  </r>
  <r>
    <n v="113"/>
    <x v="1"/>
    <n v="2010"/>
    <x v="44"/>
    <x v="1"/>
    <n v="245602"/>
    <x v="2"/>
    <n v="36254.6"/>
    <s v="X5"/>
    <x v="3"/>
    <x v="1"/>
    <x v="9"/>
    <n v="0.15"/>
    <x v="0"/>
  </r>
  <r>
    <n v="114"/>
    <x v="1"/>
    <n v="2002"/>
    <x v="5"/>
    <x v="0"/>
    <n v="10588"/>
    <x v="2"/>
    <n v="72016.25"/>
    <s v="3 Series"/>
    <x v="3"/>
    <x v="2"/>
    <x v="23"/>
    <n v="6.8"/>
    <x v="0"/>
  </r>
  <r>
    <n v="115"/>
    <x v="1"/>
    <n v="2007"/>
    <x v="41"/>
    <x v="0"/>
    <n v="168217"/>
    <x v="0"/>
    <n v="69195.8"/>
    <s v="5 Series"/>
    <x v="1"/>
    <x v="1"/>
    <x v="17"/>
    <n v="0.41"/>
    <x v="0"/>
  </r>
  <r>
    <n v="116"/>
    <x v="2"/>
    <n v="2013"/>
    <x v="27"/>
    <x v="1"/>
    <n v="272743"/>
    <x v="1"/>
    <n v="81623.45"/>
    <s v="A3"/>
    <x v="1"/>
    <x v="1"/>
    <x v="2"/>
    <n v="0.3"/>
    <x v="0"/>
  </r>
  <r>
    <n v="117"/>
    <x v="6"/>
    <n v="2013"/>
    <x v="34"/>
    <x v="1"/>
    <n v="208502"/>
    <x v="1"/>
    <n v="33168.400000000001"/>
    <s v="Camry"/>
    <x v="0"/>
    <x v="1"/>
    <x v="2"/>
    <n v="0.16"/>
    <x v="1"/>
  </r>
  <r>
    <n v="118"/>
    <x v="2"/>
    <n v="2009"/>
    <x v="33"/>
    <x v="1"/>
    <n v="134011"/>
    <x v="0"/>
    <n v="53463.16"/>
    <s v="Q5"/>
    <x v="1"/>
    <x v="0"/>
    <x v="4"/>
    <n v="0.4"/>
    <x v="0"/>
  </r>
  <r>
    <n v="119"/>
    <x v="0"/>
    <n v="2001"/>
    <x v="36"/>
    <x v="1"/>
    <n v="252856"/>
    <x v="0"/>
    <n v="68429.03"/>
    <s v="Model 3"/>
    <x v="0"/>
    <x v="1"/>
    <x v="10"/>
    <n v="0.27"/>
    <x v="0"/>
  </r>
  <r>
    <n v="120"/>
    <x v="2"/>
    <n v="2013"/>
    <x v="36"/>
    <x v="1"/>
    <n v="284293"/>
    <x v="0"/>
    <n v="7494.4"/>
    <s v="Q5"/>
    <x v="2"/>
    <x v="1"/>
    <x v="2"/>
    <n v="0.03"/>
    <x v="0"/>
  </r>
  <r>
    <n v="121"/>
    <x v="6"/>
    <n v="2008"/>
    <x v="32"/>
    <x v="1"/>
    <n v="197639"/>
    <x v="0"/>
    <n v="40790.18"/>
    <s v="Camry"/>
    <x v="3"/>
    <x v="1"/>
    <x v="22"/>
    <n v="0.21"/>
    <x v="1"/>
  </r>
  <r>
    <n v="122"/>
    <x v="6"/>
    <n v="2002"/>
    <x v="39"/>
    <x v="1"/>
    <n v="141280"/>
    <x v="0"/>
    <n v="71109.39"/>
    <s v="Prius"/>
    <x v="2"/>
    <x v="0"/>
    <x v="23"/>
    <n v="0.5"/>
    <x v="1"/>
  </r>
  <r>
    <n v="123"/>
    <x v="0"/>
    <n v="2020"/>
    <x v="41"/>
    <x v="1"/>
    <n v="197170"/>
    <x v="2"/>
    <n v="28996.53"/>
    <s v="Model S"/>
    <x v="0"/>
    <x v="1"/>
    <x v="6"/>
    <n v="0.15"/>
    <x v="0"/>
  </r>
  <r>
    <n v="124"/>
    <x v="6"/>
    <n v="2007"/>
    <x v="24"/>
    <x v="0"/>
    <n v="180564"/>
    <x v="1"/>
    <n v="95981.89"/>
    <s v="Corolla"/>
    <x v="1"/>
    <x v="1"/>
    <x v="17"/>
    <n v="0.53"/>
    <x v="1"/>
  </r>
  <r>
    <n v="125"/>
    <x v="6"/>
    <n v="2015"/>
    <x v="18"/>
    <x v="0"/>
    <n v="20951"/>
    <x v="0"/>
    <n v="7865.33"/>
    <s v="Corolla"/>
    <x v="1"/>
    <x v="2"/>
    <x v="16"/>
    <n v="0.38"/>
    <x v="1"/>
  </r>
  <r>
    <n v="126"/>
    <x v="1"/>
    <n v="2001"/>
    <x v="4"/>
    <x v="0"/>
    <n v="179992"/>
    <x v="2"/>
    <n v="96018.28"/>
    <s v="X3"/>
    <x v="1"/>
    <x v="1"/>
    <x v="10"/>
    <n v="0.53"/>
    <x v="0"/>
  </r>
  <r>
    <n v="127"/>
    <x v="0"/>
    <n v="2005"/>
    <x v="36"/>
    <x v="0"/>
    <n v="46766"/>
    <x v="0"/>
    <n v="25592.57"/>
    <s v="Model X"/>
    <x v="0"/>
    <x v="2"/>
    <x v="14"/>
    <n v="0.55000000000000004"/>
    <x v="0"/>
  </r>
  <r>
    <n v="128"/>
    <x v="3"/>
    <n v="2020"/>
    <x v="42"/>
    <x v="1"/>
    <n v="159423"/>
    <x v="2"/>
    <n v="9638.09"/>
    <s v="Mustang"/>
    <x v="1"/>
    <x v="1"/>
    <x v="6"/>
    <n v="0.06"/>
    <x v="1"/>
  </r>
  <r>
    <n v="129"/>
    <x v="3"/>
    <n v="2011"/>
    <x v="8"/>
    <x v="0"/>
    <n v="87122"/>
    <x v="0"/>
    <n v="32785.03"/>
    <s v="Explorer"/>
    <x v="3"/>
    <x v="0"/>
    <x v="3"/>
    <n v="0.38"/>
    <x v="1"/>
  </r>
  <r>
    <n v="130"/>
    <x v="6"/>
    <n v="2004"/>
    <x v="12"/>
    <x v="1"/>
    <n v="271452"/>
    <x v="1"/>
    <n v="79696.820000000007"/>
    <s v="Corolla"/>
    <x v="3"/>
    <x v="1"/>
    <x v="19"/>
    <n v="0.28999999999999998"/>
    <x v="1"/>
  </r>
  <r>
    <n v="131"/>
    <x v="3"/>
    <n v="2001"/>
    <x v="9"/>
    <x v="0"/>
    <n v="83211"/>
    <x v="0"/>
    <n v="76481.990000000005"/>
    <s v="Explorer"/>
    <x v="3"/>
    <x v="0"/>
    <x v="10"/>
    <n v="0.92"/>
    <x v="1"/>
  </r>
  <r>
    <n v="132"/>
    <x v="3"/>
    <n v="2015"/>
    <x v="15"/>
    <x v="1"/>
    <n v="126534"/>
    <x v="0"/>
    <n v="24839.84"/>
    <s v="Focus"/>
    <x v="2"/>
    <x v="0"/>
    <x v="16"/>
    <n v="0.2"/>
    <x v="1"/>
  </r>
  <r>
    <n v="133"/>
    <x v="6"/>
    <n v="2004"/>
    <x v="45"/>
    <x v="1"/>
    <n v="8720"/>
    <x v="1"/>
    <n v="23695.06"/>
    <s v="RAV4"/>
    <x v="1"/>
    <x v="2"/>
    <x v="19"/>
    <n v="2.72"/>
    <x v="1"/>
  </r>
  <r>
    <n v="134"/>
    <x v="3"/>
    <n v="2014"/>
    <x v="42"/>
    <x v="0"/>
    <n v="79993"/>
    <x v="1"/>
    <n v="66045.09"/>
    <s v="Focus"/>
    <x v="2"/>
    <x v="0"/>
    <x v="12"/>
    <n v="0.83"/>
    <x v="1"/>
  </r>
  <r>
    <n v="135"/>
    <x v="2"/>
    <n v="2011"/>
    <x v="13"/>
    <x v="0"/>
    <n v="219973"/>
    <x v="0"/>
    <n v="48517.86"/>
    <s v="Q5"/>
    <x v="1"/>
    <x v="1"/>
    <x v="3"/>
    <n v="0.22"/>
    <x v="0"/>
  </r>
  <r>
    <n v="136"/>
    <x v="4"/>
    <n v="2003"/>
    <x v="7"/>
    <x v="1"/>
    <n v="25905"/>
    <x v="1"/>
    <n v="80267.55"/>
    <s v="Accord"/>
    <x v="0"/>
    <x v="2"/>
    <x v="21"/>
    <n v="3.1"/>
    <x v="1"/>
  </r>
  <r>
    <n v="137"/>
    <x v="0"/>
    <n v="2014"/>
    <x v="1"/>
    <x v="1"/>
    <n v="204580"/>
    <x v="1"/>
    <n v="7292.61"/>
    <s v="Model 3"/>
    <x v="0"/>
    <x v="1"/>
    <x v="12"/>
    <n v="0.04"/>
    <x v="0"/>
  </r>
  <r>
    <n v="138"/>
    <x v="4"/>
    <n v="2010"/>
    <x v="19"/>
    <x v="1"/>
    <n v="50385"/>
    <x v="2"/>
    <n v="62989.13"/>
    <s v="Accord"/>
    <x v="2"/>
    <x v="0"/>
    <x v="9"/>
    <n v="1.25"/>
    <x v="1"/>
  </r>
  <r>
    <n v="139"/>
    <x v="6"/>
    <n v="2015"/>
    <x v="7"/>
    <x v="0"/>
    <n v="30653"/>
    <x v="1"/>
    <n v="74413.84"/>
    <s v="Corolla"/>
    <x v="3"/>
    <x v="2"/>
    <x v="16"/>
    <n v="2.4300000000000002"/>
    <x v="1"/>
  </r>
  <r>
    <n v="140"/>
    <x v="1"/>
    <n v="2022"/>
    <x v="11"/>
    <x v="0"/>
    <n v="91865"/>
    <x v="1"/>
    <n v="99371.68"/>
    <s v="3 Series"/>
    <x v="2"/>
    <x v="0"/>
    <x v="13"/>
    <n v="1.08"/>
    <x v="0"/>
  </r>
  <r>
    <n v="141"/>
    <x v="0"/>
    <n v="2005"/>
    <x v="23"/>
    <x v="1"/>
    <n v="125813"/>
    <x v="0"/>
    <n v="69484.259999999995"/>
    <s v="Model 3"/>
    <x v="0"/>
    <x v="0"/>
    <x v="14"/>
    <n v="0.55000000000000004"/>
    <x v="0"/>
  </r>
  <r>
    <n v="142"/>
    <x v="6"/>
    <n v="2013"/>
    <x v="3"/>
    <x v="0"/>
    <n v="145871"/>
    <x v="0"/>
    <n v="27025.29"/>
    <s v="Prius"/>
    <x v="1"/>
    <x v="0"/>
    <x v="2"/>
    <n v="0.19"/>
    <x v="1"/>
  </r>
  <r>
    <n v="143"/>
    <x v="1"/>
    <n v="2017"/>
    <x v="10"/>
    <x v="1"/>
    <n v="191175"/>
    <x v="2"/>
    <n v="15277.69"/>
    <s v="5 Series"/>
    <x v="3"/>
    <x v="1"/>
    <x v="7"/>
    <n v="0.08"/>
    <x v="0"/>
  </r>
  <r>
    <n v="144"/>
    <x v="4"/>
    <n v="2011"/>
    <x v="1"/>
    <x v="0"/>
    <n v="248535"/>
    <x v="0"/>
    <n v="65887.09"/>
    <s v="Fit"/>
    <x v="3"/>
    <x v="1"/>
    <x v="3"/>
    <n v="0.27"/>
    <x v="1"/>
  </r>
  <r>
    <n v="145"/>
    <x v="6"/>
    <n v="2010"/>
    <x v="20"/>
    <x v="0"/>
    <n v="15052"/>
    <x v="1"/>
    <n v="54702.39"/>
    <s v="Camry"/>
    <x v="1"/>
    <x v="2"/>
    <x v="9"/>
    <n v="3.63"/>
    <x v="1"/>
  </r>
  <r>
    <n v="146"/>
    <x v="0"/>
    <n v="2012"/>
    <x v="2"/>
    <x v="0"/>
    <n v="137116"/>
    <x v="1"/>
    <n v="90418.8"/>
    <s v="Model Y"/>
    <x v="0"/>
    <x v="0"/>
    <x v="15"/>
    <n v="0.66"/>
    <x v="0"/>
  </r>
  <r>
    <n v="147"/>
    <x v="0"/>
    <n v="2020"/>
    <x v="28"/>
    <x v="0"/>
    <n v="150943"/>
    <x v="1"/>
    <n v="74027.759999999995"/>
    <s v="Model 3"/>
    <x v="0"/>
    <x v="1"/>
    <x v="6"/>
    <n v="0.49"/>
    <x v="0"/>
  </r>
  <r>
    <n v="148"/>
    <x v="5"/>
    <n v="2022"/>
    <x v="44"/>
    <x v="0"/>
    <n v="220375"/>
    <x v="0"/>
    <n v="53425.53"/>
    <s v="E-Class"/>
    <x v="2"/>
    <x v="1"/>
    <x v="13"/>
    <n v="0.24"/>
    <x v="0"/>
  </r>
  <r>
    <n v="149"/>
    <x v="2"/>
    <n v="2010"/>
    <x v="10"/>
    <x v="1"/>
    <n v="21381"/>
    <x v="1"/>
    <n v="43341"/>
    <s v="Q7"/>
    <x v="2"/>
    <x v="2"/>
    <x v="9"/>
    <n v="2.0299999999999998"/>
    <x v="0"/>
  </r>
  <r>
    <n v="150"/>
    <x v="3"/>
    <n v="2022"/>
    <x v="22"/>
    <x v="1"/>
    <n v="148346"/>
    <x v="1"/>
    <n v="43415.6"/>
    <s v="Focus"/>
    <x v="2"/>
    <x v="0"/>
    <x v="13"/>
    <n v="0.28999999999999998"/>
    <x v="1"/>
  </r>
  <r>
    <n v="151"/>
    <x v="1"/>
    <n v="2015"/>
    <x v="25"/>
    <x v="0"/>
    <n v="243234"/>
    <x v="2"/>
    <n v="26498.91"/>
    <s v="3 Series"/>
    <x v="2"/>
    <x v="1"/>
    <x v="16"/>
    <n v="0.11"/>
    <x v="0"/>
  </r>
  <r>
    <n v="152"/>
    <x v="5"/>
    <n v="2014"/>
    <x v="11"/>
    <x v="1"/>
    <n v="256017"/>
    <x v="2"/>
    <n v="6645.97"/>
    <s v="GLA"/>
    <x v="2"/>
    <x v="1"/>
    <x v="12"/>
    <n v="0.03"/>
    <x v="0"/>
  </r>
  <r>
    <n v="153"/>
    <x v="3"/>
    <n v="2020"/>
    <x v="34"/>
    <x v="1"/>
    <n v="235020"/>
    <x v="2"/>
    <n v="59616.51"/>
    <s v="Mustang"/>
    <x v="0"/>
    <x v="1"/>
    <x v="6"/>
    <n v="0.25"/>
    <x v="1"/>
  </r>
  <r>
    <n v="154"/>
    <x v="3"/>
    <n v="2014"/>
    <x v="10"/>
    <x v="0"/>
    <n v="49892"/>
    <x v="0"/>
    <n v="25179.4"/>
    <s v="Mustang"/>
    <x v="0"/>
    <x v="2"/>
    <x v="12"/>
    <n v="0.5"/>
    <x v="1"/>
  </r>
  <r>
    <n v="155"/>
    <x v="6"/>
    <n v="2003"/>
    <x v="30"/>
    <x v="1"/>
    <n v="181593"/>
    <x v="1"/>
    <n v="24791.06"/>
    <s v="Camry"/>
    <x v="3"/>
    <x v="1"/>
    <x v="21"/>
    <n v="0.14000000000000001"/>
    <x v="1"/>
  </r>
  <r>
    <n v="156"/>
    <x v="3"/>
    <n v="2010"/>
    <x v="16"/>
    <x v="0"/>
    <n v="214992"/>
    <x v="1"/>
    <n v="16911.22"/>
    <s v="Mustang"/>
    <x v="2"/>
    <x v="1"/>
    <x v="9"/>
    <n v="0.08"/>
    <x v="1"/>
  </r>
  <r>
    <n v="157"/>
    <x v="2"/>
    <n v="2018"/>
    <x v="10"/>
    <x v="1"/>
    <n v="280064"/>
    <x v="1"/>
    <n v="23011.57"/>
    <s v="A3"/>
    <x v="1"/>
    <x v="1"/>
    <x v="1"/>
    <n v="0.08"/>
    <x v="0"/>
  </r>
  <r>
    <n v="158"/>
    <x v="0"/>
    <n v="2014"/>
    <x v="37"/>
    <x v="1"/>
    <n v="278846"/>
    <x v="2"/>
    <n v="8019.97"/>
    <s v="Model 3"/>
    <x v="0"/>
    <x v="1"/>
    <x v="12"/>
    <n v="0.03"/>
    <x v="0"/>
  </r>
  <r>
    <n v="159"/>
    <x v="5"/>
    <n v="2003"/>
    <x v="27"/>
    <x v="1"/>
    <n v="256216"/>
    <x v="1"/>
    <n v="69051.990000000005"/>
    <s v="C-Class"/>
    <x v="0"/>
    <x v="1"/>
    <x v="21"/>
    <n v="0.27"/>
    <x v="0"/>
  </r>
  <r>
    <n v="160"/>
    <x v="3"/>
    <n v="2020"/>
    <x v="36"/>
    <x v="1"/>
    <n v="264038"/>
    <x v="1"/>
    <n v="43132.73"/>
    <s v="Fiesta"/>
    <x v="2"/>
    <x v="1"/>
    <x v="6"/>
    <n v="0.16"/>
    <x v="1"/>
  </r>
  <r>
    <n v="161"/>
    <x v="6"/>
    <n v="2012"/>
    <x v="9"/>
    <x v="1"/>
    <n v="293129"/>
    <x v="1"/>
    <n v="58344.84"/>
    <s v="Camry"/>
    <x v="0"/>
    <x v="1"/>
    <x v="15"/>
    <n v="0.2"/>
    <x v="1"/>
  </r>
  <r>
    <n v="162"/>
    <x v="2"/>
    <n v="2021"/>
    <x v="28"/>
    <x v="1"/>
    <n v="159359"/>
    <x v="1"/>
    <n v="65510.97"/>
    <s v="A4"/>
    <x v="3"/>
    <x v="1"/>
    <x v="20"/>
    <n v="0.41"/>
    <x v="0"/>
  </r>
  <r>
    <n v="163"/>
    <x v="4"/>
    <n v="2018"/>
    <x v="34"/>
    <x v="1"/>
    <n v="258771"/>
    <x v="1"/>
    <n v="97386.03"/>
    <s v="Civic"/>
    <x v="3"/>
    <x v="1"/>
    <x v="1"/>
    <n v="0.38"/>
    <x v="1"/>
  </r>
  <r>
    <n v="164"/>
    <x v="0"/>
    <n v="2001"/>
    <x v="6"/>
    <x v="0"/>
    <n v="125702"/>
    <x v="0"/>
    <n v="11485.26"/>
    <s v="Model Y"/>
    <x v="0"/>
    <x v="0"/>
    <x v="10"/>
    <n v="0.09"/>
    <x v="0"/>
  </r>
  <r>
    <n v="165"/>
    <x v="0"/>
    <n v="2013"/>
    <x v="27"/>
    <x v="0"/>
    <n v="73527"/>
    <x v="1"/>
    <n v="44702.18"/>
    <s v="Model 3"/>
    <x v="0"/>
    <x v="0"/>
    <x v="2"/>
    <n v="0.61"/>
    <x v="0"/>
  </r>
  <r>
    <n v="166"/>
    <x v="5"/>
    <n v="2003"/>
    <x v="29"/>
    <x v="0"/>
    <n v="146511"/>
    <x v="0"/>
    <n v="28360.3"/>
    <s v="E-Class"/>
    <x v="2"/>
    <x v="0"/>
    <x v="21"/>
    <n v="0.19"/>
    <x v="0"/>
  </r>
  <r>
    <n v="167"/>
    <x v="0"/>
    <n v="2015"/>
    <x v="15"/>
    <x v="0"/>
    <n v="225692"/>
    <x v="1"/>
    <n v="50287.63"/>
    <s v="Model Y"/>
    <x v="0"/>
    <x v="1"/>
    <x v="16"/>
    <n v="0.22"/>
    <x v="0"/>
  </r>
  <r>
    <n v="168"/>
    <x v="3"/>
    <n v="2020"/>
    <x v="27"/>
    <x v="1"/>
    <n v="158731"/>
    <x v="0"/>
    <n v="92444.87"/>
    <s v="Explorer"/>
    <x v="1"/>
    <x v="1"/>
    <x v="6"/>
    <n v="0.57999999999999996"/>
    <x v="1"/>
  </r>
  <r>
    <n v="169"/>
    <x v="6"/>
    <n v="2019"/>
    <x v="28"/>
    <x v="1"/>
    <n v="287120"/>
    <x v="1"/>
    <n v="73778.509999999995"/>
    <s v="Corolla"/>
    <x v="0"/>
    <x v="1"/>
    <x v="5"/>
    <n v="0.26"/>
    <x v="1"/>
  </r>
  <r>
    <n v="170"/>
    <x v="0"/>
    <n v="2013"/>
    <x v="18"/>
    <x v="1"/>
    <n v="235311"/>
    <x v="1"/>
    <n v="67885.210000000006"/>
    <s v="Model Y"/>
    <x v="0"/>
    <x v="1"/>
    <x v="2"/>
    <n v="0.28999999999999998"/>
    <x v="0"/>
  </r>
  <r>
    <n v="171"/>
    <x v="0"/>
    <n v="2014"/>
    <x v="3"/>
    <x v="0"/>
    <n v="198937"/>
    <x v="1"/>
    <n v="46918.36"/>
    <s v="Model S"/>
    <x v="0"/>
    <x v="1"/>
    <x v="12"/>
    <n v="0.24"/>
    <x v="0"/>
  </r>
  <r>
    <n v="172"/>
    <x v="4"/>
    <n v="2002"/>
    <x v="45"/>
    <x v="0"/>
    <n v="199378"/>
    <x v="1"/>
    <n v="68755.69"/>
    <s v="CR-V"/>
    <x v="2"/>
    <x v="1"/>
    <x v="23"/>
    <n v="0.34"/>
    <x v="1"/>
  </r>
  <r>
    <n v="173"/>
    <x v="4"/>
    <n v="2007"/>
    <x v="40"/>
    <x v="0"/>
    <n v="56697"/>
    <x v="2"/>
    <n v="8075.66"/>
    <s v="CR-V"/>
    <x v="0"/>
    <x v="0"/>
    <x v="17"/>
    <n v="0.14000000000000001"/>
    <x v="1"/>
  </r>
  <r>
    <n v="174"/>
    <x v="1"/>
    <n v="2015"/>
    <x v="40"/>
    <x v="1"/>
    <n v="70382"/>
    <x v="1"/>
    <n v="60692.67"/>
    <s v="X3"/>
    <x v="1"/>
    <x v="0"/>
    <x v="16"/>
    <n v="0.86"/>
    <x v="0"/>
  </r>
  <r>
    <n v="175"/>
    <x v="2"/>
    <n v="2009"/>
    <x v="33"/>
    <x v="0"/>
    <n v="278795"/>
    <x v="0"/>
    <n v="57608.77"/>
    <s v="A3"/>
    <x v="1"/>
    <x v="1"/>
    <x v="4"/>
    <n v="0.21"/>
    <x v="0"/>
  </r>
  <r>
    <n v="176"/>
    <x v="3"/>
    <n v="2003"/>
    <x v="2"/>
    <x v="1"/>
    <n v="180116"/>
    <x v="2"/>
    <n v="37930.839999999997"/>
    <s v="Fiesta"/>
    <x v="1"/>
    <x v="1"/>
    <x v="21"/>
    <n v="0.21"/>
    <x v="1"/>
  </r>
  <r>
    <n v="177"/>
    <x v="0"/>
    <n v="2017"/>
    <x v="2"/>
    <x v="0"/>
    <n v="14633"/>
    <x v="2"/>
    <n v="24143.84"/>
    <s v="Model 3"/>
    <x v="0"/>
    <x v="2"/>
    <x v="7"/>
    <n v="1.65"/>
    <x v="0"/>
  </r>
  <r>
    <n v="178"/>
    <x v="0"/>
    <n v="2001"/>
    <x v="20"/>
    <x v="1"/>
    <n v="79164"/>
    <x v="1"/>
    <n v="81717.78"/>
    <s v="Model S"/>
    <x v="0"/>
    <x v="0"/>
    <x v="10"/>
    <n v="1.03"/>
    <x v="0"/>
  </r>
  <r>
    <n v="179"/>
    <x v="6"/>
    <n v="2016"/>
    <x v="42"/>
    <x v="0"/>
    <n v="262713"/>
    <x v="0"/>
    <n v="10116.9"/>
    <s v="Prius"/>
    <x v="2"/>
    <x v="1"/>
    <x v="0"/>
    <n v="0.04"/>
    <x v="1"/>
  </r>
  <r>
    <n v="180"/>
    <x v="1"/>
    <n v="2012"/>
    <x v="40"/>
    <x v="1"/>
    <n v="123425"/>
    <x v="0"/>
    <n v="11618.92"/>
    <s v="X5"/>
    <x v="0"/>
    <x v="0"/>
    <x v="15"/>
    <n v="0.09"/>
    <x v="0"/>
  </r>
  <r>
    <n v="181"/>
    <x v="2"/>
    <n v="2003"/>
    <x v="12"/>
    <x v="0"/>
    <n v="250220"/>
    <x v="2"/>
    <n v="46849.57"/>
    <s v="Q7"/>
    <x v="2"/>
    <x v="1"/>
    <x v="21"/>
    <n v="0.19"/>
    <x v="0"/>
  </r>
  <r>
    <n v="182"/>
    <x v="1"/>
    <n v="2010"/>
    <x v="26"/>
    <x v="0"/>
    <n v="295182"/>
    <x v="0"/>
    <n v="28992.68"/>
    <s v="5 Series"/>
    <x v="0"/>
    <x v="1"/>
    <x v="9"/>
    <n v="0.1"/>
    <x v="0"/>
  </r>
  <r>
    <n v="183"/>
    <x v="5"/>
    <n v="2006"/>
    <x v="33"/>
    <x v="1"/>
    <n v="180160"/>
    <x v="1"/>
    <n v="75817.98"/>
    <s v="GLA"/>
    <x v="1"/>
    <x v="1"/>
    <x v="11"/>
    <n v="0.42"/>
    <x v="0"/>
  </r>
  <r>
    <n v="184"/>
    <x v="2"/>
    <n v="2011"/>
    <x v="44"/>
    <x v="1"/>
    <n v="204249"/>
    <x v="1"/>
    <n v="65248.06"/>
    <s v="Q7"/>
    <x v="1"/>
    <x v="1"/>
    <x v="3"/>
    <n v="0.32"/>
    <x v="0"/>
  </r>
  <r>
    <n v="185"/>
    <x v="0"/>
    <n v="2009"/>
    <x v="6"/>
    <x v="0"/>
    <n v="205538"/>
    <x v="1"/>
    <n v="78390.81"/>
    <s v="Model Y"/>
    <x v="0"/>
    <x v="1"/>
    <x v="4"/>
    <n v="0.38"/>
    <x v="0"/>
  </r>
  <r>
    <n v="186"/>
    <x v="0"/>
    <n v="2006"/>
    <x v="44"/>
    <x v="1"/>
    <n v="197865"/>
    <x v="1"/>
    <n v="35844.5"/>
    <s v="Model X"/>
    <x v="0"/>
    <x v="1"/>
    <x v="11"/>
    <n v="0.18"/>
    <x v="0"/>
  </r>
  <r>
    <n v="187"/>
    <x v="2"/>
    <n v="2012"/>
    <x v="46"/>
    <x v="0"/>
    <n v="201466"/>
    <x v="1"/>
    <n v="75349.3"/>
    <s v="A4"/>
    <x v="1"/>
    <x v="1"/>
    <x v="15"/>
    <n v="0.37"/>
    <x v="0"/>
  </r>
  <r>
    <n v="188"/>
    <x v="0"/>
    <n v="2006"/>
    <x v="47"/>
    <x v="1"/>
    <n v="187223"/>
    <x v="2"/>
    <n v="86918.81"/>
    <s v="Model Y"/>
    <x v="0"/>
    <x v="1"/>
    <x v="11"/>
    <n v="0.46"/>
    <x v="0"/>
  </r>
  <r>
    <n v="189"/>
    <x v="3"/>
    <n v="2023"/>
    <x v="2"/>
    <x v="0"/>
    <n v="111174"/>
    <x v="1"/>
    <n v="37801.08"/>
    <s v="Fiesta"/>
    <x v="0"/>
    <x v="0"/>
    <x v="8"/>
    <n v="0.34"/>
    <x v="1"/>
  </r>
  <r>
    <n v="190"/>
    <x v="2"/>
    <n v="2016"/>
    <x v="13"/>
    <x v="1"/>
    <n v="137980"/>
    <x v="1"/>
    <n v="37290.1"/>
    <s v="Q5"/>
    <x v="1"/>
    <x v="0"/>
    <x v="0"/>
    <n v="0.27"/>
    <x v="0"/>
  </r>
  <r>
    <n v="191"/>
    <x v="1"/>
    <n v="2009"/>
    <x v="15"/>
    <x v="0"/>
    <n v="68447"/>
    <x v="2"/>
    <n v="90495.38"/>
    <s v="X3"/>
    <x v="2"/>
    <x v="0"/>
    <x v="4"/>
    <n v="1.32"/>
    <x v="0"/>
  </r>
  <r>
    <n v="192"/>
    <x v="2"/>
    <n v="2009"/>
    <x v="37"/>
    <x v="0"/>
    <n v="205599"/>
    <x v="2"/>
    <n v="9730.07"/>
    <s v="Q5"/>
    <x v="1"/>
    <x v="1"/>
    <x v="4"/>
    <n v="0.05"/>
    <x v="0"/>
  </r>
  <r>
    <n v="193"/>
    <x v="0"/>
    <n v="2023"/>
    <x v="13"/>
    <x v="0"/>
    <n v="226301"/>
    <x v="2"/>
    <n v="38267.99"/>
    <s v="Model X"/>
    <x v="0"/>
    <x v="1"/>
    <x v="8"/>
    <n v="0.17"/>
    <x v="0"/>
  </r>
  <r>
    <n v="194"/>
    <x v="3"/>
    <n v="2003"/>
    <x v="42"/>
    <x v="1"/>
    <n v="279778"/>
    <x v="0"/>
    <n v="16273.89"/>
    <s v="Fiesta"/>
    <x v="2"/>
    <x v="1"/>
    <x v="21"/>
    <n v="0.06"/>
    <x v="1"/>
  </r>
  <r>
    <n v="195"/>
    <x v="3"/>
    <n v="2019"/>
    <x v="40"/>
    <x v="0"/>
    <n v="286705"/>
    <x v="0"/>
    <n v="7753.16"/>
    <s v="Fiesta"/>
    <x v="1"/>
    <x v="1"/>
    <x v="5"/>
    <n v="0.03"/>
    <x v="1"/>
  </r>
  <r>
    <n v="196"/>
    <x v="5"/>
    <n v="2003"/>
    <x v="16"/>
    <x v="1"/>
    <n v="55063"/>
    <x v="1"/>
    <n v="15722.59"/>
    <s v="GLA"/>
    <x v="1"/>
    <x v="0"/>
    <x v="21"/>
    <n v="0.28999999999999998"/>
    <x v="0"/>
  </r>
  <r>
    <n v="197"/>
    <x v="1"/>
    <n v="2021"/>
    <x v="31"/>
    <x v="1"/>
    <n v="288065"/>
    <x v="1"/>
    <n v="45968.35"/>
    <s v="X3"/>
    <x v="1"/>
    <x v="1"/>
    <x v="20"/>
    <n v="0.16"/>
    <x v="0"/>
  </r>
  <r>
    <n v="198"/>
    <x v="4"/>
    <n v="2006"/>
    <x v="29"/>
    <x v="1"/>
    <n v="19340"/>
    <x v="1"/>
    <n v="70260.83"/>
    <s v="Accord"/>
    <x v="1"/>
    <x v="2"/>
    <x v="11"/>
    <n v="3.63"/>
    <x v="1"/>
  </r>
  <r>
    <n v="199"/>
    <x v="4"/>
    <n v="2021"/>
    <x v="48"/>
    <x v="0"/>
    <n v="62781"/>
    <x v="0"/>
    <n v="32481.83"/>
    <s v="CR-V"/>
    <x v="0"/>
    <x v="0"/>
    <x v="20"/>
    <n v="0.52"/>
    <x v="1"/>
  </r>
  <r>
    <n v="200"/>
    <x v="2"/>
    <n v="2000"/>
    <x v="45"/>
    <x v="1"/>
    <n v="277045"/>
    <x v="1"/>
    <n v="85719.15"/>
    <s v="Q5"/>
    <x v="1"/>
    <x v="1"/>
    <x v="18"/>
    <n v="0.31"/>
    <x v="0"/>
  </r>
  <r>
    <n v="201"/>
    <x v="5"/>
    <n v="2011"/>
    <x v="3"/>
    <x v="1"/>
    <n v="10638"/>
    <x v="1"/>
    <n v="46573.48"/>
    <s v="GLA"/>
    <x v="3"/>
    <x v="2"/>
    <x v="3"/>
    <n v="4.38"/>
    <x v="0"/>
  </r>
  <r>
    <n v="202"/>
    <x v="6"/>
    <n v="2023"/>
    <x v="1"/>
    <x v="1"/>
    <n v="217986"/>
    <x v="0"/>
    <n v="96981.66"/>
    <s v="Prius"/>
    <x v="1"/>
    <x v="1"/>
    <x v="8"/>
    <n v="0.44"/>
    <x v="1"/>
  </r>
  <r>
    <n v="203"/>
    <x v="2"/>
    <n v="2012"/>
    <x v="0"/>
    <x v="0"/>
    <n v="221668"/>
    <x v="2"/>
    <n v="95644.79"/>
    <s v="A3"/>
    <x v="2"/>
    <x v="1"/>
    <x v="15"/>
    <n v="0.43"/>
    <x v="0"/>
  </r>
  <r>
    <n v="204"/>
    <x v="5"/>
    <n v="2009"/>
    <x v="22"/>
    <x v="1"/>
    <n v="294786"/>
    <x v="0"/>
    <n v="78461.240000000005"/>
    <s v="GLC"/>
    <x v="3"/>
    <x v="1"/>
    <x v="4"/>
    <n v="0.27"/>
    <x v="0"/>
  </r>
  <r>
    <n v="205"/>
    <x v="1"/>
    <n v="2014"/>
    <x v="25"/>
    <x v="1"/>
    <n v="25378"/>
    <x v="1"/>
    <n v="93578.52"/>
    <s v="3 Series"/>
    <x v="0"/>
    <x v="2"/>
    <x v="12"/>
    <n v="3.69"/>
    <x v="0"/>
  </r>
  <r>
    <n v="206"/>
    <x v="1"/>
    <n v="2012"/>
    <x v="33"/>
    <x v="1"/>
    <n v="118171"/>
    <x v="0"/>
    <n v="72174.13"/>
    <s v="X3"/>
    <x v="3"/>
    <x v="0"/>
    <x v="15"/>
    <n v="0.61"/>
    <x v="0"/>
  </r>
  <r>
    <n v="207"/>
    <x v="1"/>
    <n v="2022"/>
    <x v="19"/>
    <x v="1"/>
    <n v="214801"/>
    <x v="2"/>
    <n v="90080.4"/>
    <s v="X3"/>
    <x v="3"/>
    <x v="1"/>
    <x v="13"/>
    <n v="0.42"/>
    <x v="0"/>
  </r>
  <r>
    <n v="208"/>
    <x v="1"/>
    <n v="2021"/>
    <x v="32"/>
    <x v="0"/>
    <n v="64377"/>
    <x v="2"/>
    <n v="27465"/>
    <s v="3 Series"/>
    <x v="3"/>
    <x v="0"/>
    <x v="20"/>
    <n v="0.43"/>
    <x v="0"/>
  </r>
  <r>
    <n v="209"/>
    <x v="1"/>
    <n v="2021"/>
    <x v="19"/>
    <x v="0"/>
    <n v="260339"/>
    <x v="2"/>
    <n v="37814.92"/>
    <s v="X5"/>
    <x v="2"/>
    <x v="1"/>
    <x v="20"/>
    <n v="0.15"/>
    <x v="0"/>
  </r>
  <r>
    <n v="210"/>
    <x v="5"/>
    <n v="2020"/>
    <x v="48"/>
    <x v="1"/>
    <n v="54691"/>
    <x v="2"/>
    <n v="76528.36"/>
    <s v="C-Class"/>
    <x v="2"/>
    <x v="0"/>
    <x v="6"/>
    <n v="1.4"/>
    <x v="0"/>
  </r>
  <r>
    <n v="211"/>
    <x v="5"/>
    <n v="2021"/>
    <x v="46"/>
    <x v="1"/>
    <n v="91782"/>
    <x v="2"/>
    <n v="45333.32"/>
    <s v="E-Class"/>
    <x v="2"/>
    <x v="0"/>
    <x v="20"/>
    <n v="0.49"/>
    <x v="0"/>
  </r>
  <r>
    <n v="212"/>
    <x v="3"/>
    <n v="2008"/>
    <x v="31"/>
    <x v="1"/>
    <n v="259896"/>
    <x v="2"/>
    <n v="84546.11"/>
    <s v="Focus"/>
    <x v="0"/>
    <x v="1"/>
    <x v="22"/>
    <n v="0.33"/>
    <x v="1"/>
  </r>
  <r>
    <n v="213"/>
    <x v="4"/>
    <n v="2008"/>
    <x v="17"/>
    <x v="1"/>
    <n v="78343"/>
    <x v="1"/>
    <n v="88375.69"/>
    <s v="Fit"/>
    <x v="2"/>
    <x v="0"/>
    <x v="22"/>
    <n v="1.1299999999999999"/>
    <x v="1"/>
  </r>
  <r>
    <n v="214"/>
    <x v="0"/>
    <n v="2014"/>
    <x v="20"/>
    <x v="0"/>
    <n v="121399"/>
    <x v="1"/>
    <n v="33474.300000000003"/>
    <s v="Model S"/>
    <x v="0"/>
    <x v="0"/>
    <x v="12"/>
    <n v="0.28000000000000003"/>
    <x v="0"/>
  </r>
  <r>
    <n v="215"/>
    <x v="1"/>
    <n v="2009"/>
    <x v="7"/>
    <x v="0"/>
    <n v="31357"/>
    <x v="0"/>
    <n v="83227.83"/>
    <s v="5 Series"/>
    <x v="3"/>
    <x v="2"/>
    <x v="4"/>
    <n v="2.65"/>
    <x v="0"/>
  </r>
  <r>
    <n v="216"/>
    <x v="6"/>
    <n v="2023"/>
    <x v="12"/>
    <x v="0"/>
    <n v="294458"/>
    <x v="1"/>
    <n v="19655.11"/>
    <s v="Corolla"/>
    <x v="2"/>
    <x v="1"/>
    <x v="8"/>
    <n v="7.0000000000000007E-2"/>
    <x v="1"/>
  </r>
  <r>
    <n v="217"/>
    <x v="0"/>
    <n v="2009"/>
    <x v="17"/>
    <x v="0"/>
    <n v="70283"/>
    <x v="2"/>
    <n v="36748.69"/>
    <s v="Model Y"/>
    <x v="0"/>
    <x v="0"/>
    <x v="4"/>
    <n v="0.52"/>
    <x v="0"/>
  </r>
  <r>
    <n v="218"/>
    <x v="5"/>
    <n v="2007"/>
    <x v="30"/>
    <x v="1"/>
    <n v="59567"/>
    <x v="1"/>
    <n v="54206.67"/>
    <s v="C-Class"/>
    <x v="2"/>
    <x v="0"/>
    <x v="17"/>
    <n v="0.91"/>
    <x v="0"/>
  </r>
  <r>
    <n v="219"/>
    <x v="6"/>
    <n v="2023"/>
    <x v="35"/>
    <x v="1"/>
    <n v="237778"/>
    <x v="0"/>
    <n v="26512.16"/>
    <s v="Prius"/>
    <x v="0"/>
    <x v="1"/>
    <x v="8"/>
    <n v="0.11"/>
    <x v="1"/>
  </r>
  <r>
    <n v="220"/>
    <x v="6"/>
    <n v="2015"/>
    <x v="31"/>
    <x v="0"/>
    <n v="141758"/>
    <x v="2"/>
    <n v="60030.44"/>
    <s v="Prius"/>
    <x v="0"/>
    <x v="0"/>
    <x v="16"/>
    <n v="0.42"/>
    <x v="1"/>
  </r>
  <r>
    <n v="221"/>
    <x v="6"/>
    <n v="2016"/>
    <x v="37"/>
    <x v="0"/>
    <n v="61606"/>
    <x v="1"/>
    <n v="59976.03"/>
    <s v="RAV4"/>
    <x v="1"/>
    <x v="0"/>
    <x v="0"/>
    <n v="0.97"/>
    <x v="1"/>
  </r>
  <r>
    <n v="222"/>
    <x v="3"/>
    <n v="2004"/>
    <x v="13"/>
    <x v="1"/>
    <n v="281035"/>
    <x v="1"/>
    <n v="24655.78"/>
    <s v="Fiesta"/>
    <x v="0"/>
    <x v="1"/>
    <x v="19"/>
    <n v="0.09"/>
    <x v="1"/>
  </r>
  <r>
    <n v="223"/>
    <x v="5"/>
    <n v="2003"/>
    <x v="29"/>
    <x v="1"/>
    <n v="101732"/>
    <x v="0"/>
    <n v="80585.929999999993"/>
    <s v="GLA"/>
    <x v="0"/>
    <x v="0"/>
    <x v="21"/>
    <n v="0.79"/>
    <x v="0"/>
  </r>
  <r>
    <n v="224"/>
    <x v="6"/>
    <n v="2017"/>
    <x v="12"/>
    <x v="1"/>
    <n v="191791"/>
    <x v="2"/>
    <n v="65006.23"/>
    <s v="RAV4"/>
    <x v="3"/>
    <x v="1"/>
    <x v="7"/>
    <n v="0.34"/>
    <x v="1"/>
  </r>
  <r>
    <n v="225"/>
    <x v="1"/>
    <n v="2023"/>
    <x v="35"/>
    <x v="1"/>
    <n v="292021"/>
    <x v="0"/>
    <n v="35187.25"/>
    <s v="X3"/>
    <x v="1"/>
    <x v="1"/>
    <x v="8"/>
    <n v="0.12"/>
    <x v="0"/>
  </r>
  <r>
    <n v="226"/>
    <x v="2"/>
    <n v="2018"/>
    <x v="33"/>
    <x v="1"/>
    <n v="249465"/>
    <x v="2"/>
    <n v="27057.55"/>
    <s v="A4"/>
    <x v="3"/>
    <x v="1"/>
    <x v="1"/>
    <n v="0.11"/>
    <x v="0"/>
  </r>
  <r>
    <n v="227"/>
    <x v="6"/>
    <n v="2003"/>
    <x v="18"/>
    <x v="0"/>
    <n v="224589"/>
    <x v="2"/>
    <n v="88481.26"/>
    <s v="Corolla"/>
    <x v="3"/>
    <x v="1"/>
    <x v="21"/>
    <n v="0.39"/>
    <x v="1"/>
  </r>
  <r>
    <n v="228"/>
    <x v="3"/>
    <n v="2006"/>
    <x v="29"/>
    <x v="0"/>
    <n v="14026"/>
    <x v="1"/>
    <n v="84395.51"/>
    <s v="Fiesta"/>
    <x v="2"/>
    <x v="2"/>
    <x v="11"/>
    <n v="6.02"/>
    <x v="1"/>
  </r>
  <r>
    <n v="229"/>
    <x v="0"/>
    <n v="2009"/>
    <x v="26"/>
    <x v="1"/>
    <n v="282566"/>
    <x v="0"/>
    <n v="26827.26"/>
    <s v="Model Y"/>
    <x v="0"/>
    <x v="1"/>
    <x v="4"/>
    <n v="0.09"/>
    <x v="0"/>
  </r>
  <r>
    <n v="230"/>
    <x v="5"/>
    <n v="2017"/>
    <x v="30"/>
    <x v="1"/>
    <n v="295625"/>
    <x v="0"/>
    <n v="8382.5"/>
    <s v="GLC"/>
    <x v="2"/>
    <x v="1"/>
    <x v="7"/>
    <n v="0.03"/>
    <x v="0"/>
  </r>
  <r>
    <n v="231"/>
    <x v="3"/>
    <n v="2018"/>
    <x v="35"/>
    <x v="0"/>
    <n v="109384"/>
    <x v="0"/>
    <n v="81430.600000000006"/>
    <s v="Explorer"/>
    <x v="2"/>
    <x v="0"/>
    <x v="1"/>
    <n v="0.74"/>
    <x v="1"/>
  </r>
  <r>
    <n v="232"/>
    <x v="6"/>
    <n v="2003"/>
    <x v="31"/>
    <x v="1"/>
    <n v="252771"/>
    <x v="2"/>
    <n v="63473.31"/>
    <s v="Corolla"/>
    <x v="3"/>
    <x v="1"/>
    <x v="21"/>
    <n v="0.25"/>
    <x v="1"/>
  </r>
  <r>
    <n v="233"/>
    <x v="5"/>
    <n v="2009"/>
    <x v="23"/>
    <x v="0"/>
    <n v="58031"/>
    <x v="0"/>
    <n v="14583.79"/>
    <s v="C-Class"/>
    <x v="0"/>
    <x v="0"/>
    <x v="4"/>
    <n v="0.25"/>
    <x v="0"/>
  </r>
  <r>
    <n v="234"/>
    <x v="2"/>
    <n v="2000"/>
    <x v="49"/>
    <x v="0"/>
    <n v="68232"/>
    <x v="2"/>
    <n v="60799.03"/>
    <s v="A3"/>
    <x v="1"/>
    <x v="0"/>
    <x v="18"/>
    <n v="0.89"/>
    <x v="0"/>
  </r>
  <r>
    <n v="235"/>
    <x v="6"/>
    <n v="2022"/>
    <x v="45"/>
    <x v="0"/>
    <n v="143084"/>
    <x v="0"/>
    <n v="47957.36"/>
    <s v="Camry"/>
    <x v="0"/>
    <x v="0"/>
    <x v="13"/>
    <n v="0.34"/>
    <x v="1"/>
  </r>
  <r>
    <n v="236"/>
    <x v="3"/>
    <n v="2017"/>
    <x v="4"/>
    <x v="0"/>
    <n v="236503"/>
    <x v="0"/>
    <n v="78582.28"/>
    <s v="Focus"/>
    <x v="3"/>
    <x v="1"/>
    <x v="7"/>
    <n v="0.33"/>
    <x v="1"/>
  </r>
  <r>
    <n v="237"/>
    <x v="4"/>
    <n v="2004"/>
    <x v="28"/>
    <x v="1"/>
    <n v="292104"/>
    <x v="1"/>
    <n v="24863.06"/>
    <s v="Fit"/>
    <x v="3"/>
    <x v="1"/>
    <x v="19"/>
    <n v="0.09"/>
    <x v="1"/>
  </r>
  <r>
    <n v="238"/>
    <x v="1"/>
    <n v="2014"/>
    <x v="36"/>
    <x v="1"/>
    <n v="87695"/>
    <x v="0"/>
    <n v="48049.89"/>
    <s v="X3"/>
    <x v="3"/>
    <x v="0"/>
    <x v="12"/>
    <n v="0.55000000000000004"/>
    <x v="0"/>
  </r>
  <r>
    <n v="239"/>
    <x v="0"/>
    <n v="2016"/>
    <x v="35"/>
    <x v="0"/>
    <n v="130066"/>
    <x v="1"/>
    <n v="19843.189999999999"/>
    <s v="Model X"/>
    <x v="0"/>
    <x v="0"/>
    <x v="0"/>
    <n v="0.15"/>
    <x v="0"/>
  </r>
  <r>
    <n v="240"/>
    <x v="3"/>
    <n v="2002"/>
    <x v="29"/>
    <x v="1"/>
    <n v="138982"/>
    <x v="1"/>
    <n v="95965.09"/>
    <s v="Fiesta"/>
    <x v="3"/>
    <x v="0"/>
    <x v="23"/>
    <n v="0.69"/>
    <x v="1"/>
  </r>
  <r>
    <n v="241"/>
    <x v="5"/>
    <n v="2011"/>
    <x v="36"/>
    <x v="1"/>
    <n v="264837"/>
    <x v="2"/>
    <n v="78980.12"/>
    <s v="GLA"/>
    <x v="3"/>
    <x v="1"/>
    <x v="3"/>
    <n v="0.3"/>
    <x v="0"/>
  </r>
  <r>
    <n v="242"/>
    <x v="6"/>
    <n v="2001"/>
    <x v="17"/>
    <x v="1"/>
    <n v="115313"/>
    <x v="0"/>
    <n v="74988.63"/>
    <s v="Corolla"/>
    <x v="0"/>
    <x v="0"/>
    <x v="10"/>
    <n v="0.65"/>
    <x v="1"/>
  </r>
  <r>
    <n v="243"/>
    <x v="1"/>
    <n v="2000"/>
    <x v="25"/>
    <x v="1"/>
    <n v="28810"/>
    <x v="0"/>
    <n v="70569.63"/>
    <s v="3 Series"/>
    <x v="2"/>
    <x v="2"/>
    <x v="18"/>
    <n v="2.4500000000000002"/>
    <x v="0"/>
  </r>
  <r>
    <n v="244"/>
    <x v="6"/>
    <n v="2022"/>
    <x v="38"/>
    <x v="0"/>
    <n v="20092"/>
    <x v="0"/>
    <n v="45216.959999999999"/>
    <s v="Prius"/>
    <x v="0"/>
    <x v="2"/>
    <x v="13"/>
    <n v="2.25"/>
    <x v="1"/>
  </r>
  <r>
    <n v="245"/>
    <x v="5"/>
    <n v="2020"/>
    <x v="2"/>
    <x v="1"/>
    <n v="58105"/>
    <x v="1"/>
    <n v="92711.83"/>
    <s v="C-Class"/>
    <x v="1"/>
    <x v="0"/>
    <x v="6"/>
    <n v="1.6"/>
    <x v="0"/>
  </r>
  <r>
    <n v="246"/>
    <x v="6"/>
    <n v="2016"/>
    <x v="22"/>
    <x v="0"/>
    <n v="161577"/>
    <x v="0"/>
    <n v="11927.12"/>
    <s v="RAV4"/>
    <x v="0"/>
    <x v="1"/>
    <x v="0"/>
    <n v="7.0000000000000007E-2"/>
    <x v="1"/>
  </r>
  <r>
    <n v="247"/>
    <x v="4"/>
    <n v="2021"/>
    <x v="28"/>
    <x v="0"/>
    <n v="204300"/>
    <x v="2"/>
    <n v="81309.61"/>
    <s v="Civic"/>
    <x v="3"/>
    <x v="1"/>
    <x v="20"/>
    <n v="0.4"/>
    <x v="1"/>
  </r>
  <r>
    <n v="248"/>
    <x v="1"/>
    <n v="2015"/>
    <x v="38"/>
    <x v="1"/>
    <n v="290699"/>
    <x v="2"/>
    <n v="25447.11"/>
    <s v="3 Series"/>
    <x v="0"/>
    <x v="1"/>
    <x v="16"/>
    <n v="0.09"/>
    <x v="0"/>
  </r>
  <r>
    <n v="249"/>
    <x v="1"/>
    <n v="2004"/>
    <x v="48"/>
    <x v="0"/>
    <n v="71934"/>
    <x v="0"/>
    <n v="35782.660000000003"/>
    <s v="X3"/>
    <x v="2"/>
    <x v="0"/>
    <x v="19"/>
    <n v="0.5"/>
    <x v="0"/>
  </r>
  <r>
    <n v="250"/>
    <x v="5"/>
    <n v="2014"/>
    <x v="22"/>
    <x v="1"/>
    <n v="72788"/>
    <x v="1"/>
    <n v="54345.82"/>
    <s v="GLA"/>
    <x v="1"/>
    <x v="0"/>
    <x v="12"/>
    <n v="0.75"/>
    <x v="0"/>
  </r>
  <r>
    <n v="251"/>
    <x v="0"/>
    <n v="2002"/>
    <x v="31"/>
    <x v="1"/>
    <n v="280083"/>
    <x v="2"/>
    <n v="79352.23"/>
    <s v="Model S"/>
    <x v="0"/>
    <x v="1"/>
    <x v="23"/>
    <n v="0.28000000000000003"/>
    <x v="0"/>
  </r>
  <r>
    <n v="252"/>
    <x v="4"/>
    <n v="2006"/>
    <x v="39"/>
    <x v="0"/>
    <n v="155223"/>
    <x v="2"/>
    <n v="84660.82"/>
    <s v="CR-V"/>
    <x v="2"/>
    <x v="1"/>
    <x v="11"/>
    <n v="0.55000000000000004"/>
    <x v="1"/>
  </r>
  <r>
    <n v="253"/>
    <x v="3"/>
    <n v="2010"/>
    <x v="33"/>
    <x v="1"/>
    <n v="128068"/>
    <x v="1"/>
    <n v="60454.559999999998"/>
    <s v="Explorer"/>
    <x v="0"/>
    <x v="0"/>
    <x v="9"/>
    <n v="0.47"/>
    <x v="1"/>
  </r>
  <r>
    <n v="254"/>
    <x v="6"/>
    <n v="2009"/>
    <x v="29"/>
    <x v="0"/>
    <n v="36"/>
    <x v="2"/>
    <n v="43288.37"/>
    <s v="Camry"/>
    <x v="1"/>
    <x v="2"/>
    <x v="4"/>
    <n v="1202.45"/>
    <x v="1"/>
  </r>
  <r>
    <n v="255"/>
    <x v="2"/>
    <n v="2008"/>
    <x v="43"/>
    <x v="0"/>
    <n v="39051"/>
    <x v="1"/>
    <n v="94917.73"/>
    <s v="Q5"/>
    <x v="0"/>
    <x v="2"/>
    <x v="22"/>
    <n v="2.4300000000000002"/>
    <x v="0"/>
  </r>
  <r>
    <n v="256"/>
    <x v="6"/>
    <n v="2013"/>
    <x v="14"/>
    <x v="1"/>
    <n v="80738"/>
    <x v="2"/>
    <n v="28419.52"/>
    <s v="Camry"/>
    <x v="3"/>
    <x v="0"/>
    <x v="2"/>
    <n v="0.35"/>
    <x v="1"/>
  </r>
  <r>
    <n v="257"/>
    <x v="6"/>
    <n v="2012"/>
    <x v="39"/>
    <x v="1"/>
    <n v="60071"/>
    <x v="1"/>
    <n v="81293.98"/>
    <s v="Camry"/>
    <x v="0"/>
    <x v="0"/>
    <x v="15"/>
    <n v="1.35"/>
    <x v="1"/>
  </r>
  <r>
    <n v="258"/>
    <x v="3"/>
    <n v="2001"/>
    <x v="43"/>
    <x v="1"/>
    <n v="130613"/>
    <x v="2"/>
    <n v="63144.71"/>
    <s v="Focus"/>
    <x v="2"/>
    <x v="0"/>
    <x v="10"/>
    <n v="0.48"/>
    <x v="1"/>
  </r>
  <r>
    <n v="259"/>
    <x v="6"/>
    <n v="2002"/>
    <x v="31"/>
    <x v="0"/>
    <n v="73601"/>
    <x v="0"/>
    <n v="40805.03"/>
    <s v="Camry"/>
    <x v="0"/>
    <x v="0"/>
    <x v="23"/>
    <n v="0.55000000000000004"/>
    <x v="1"/>
  </r>
  <r>
    <n v="260"/>
    <x v="4"/>
    <n v="2006"/>
    <x v="34"/>
    <x v="1"/>
    <n v="29873"/>
    <x v="2"/>
    <n v="5129.96"/>
    <s v="Civic"/>
    <x v="2"/>
    <x v="2"/>
    <x v="11"/>
    <n v="0.17"/>
    <x v="1"/>
  </r>
  <r>
    <n v="261"/>
    <x v="4"/>
    <n v="2020"/>
    <x v="47"/>
    <x v="0"/>
    <n v="167720"/>
    <x v="2"/>
    <n v="47426.93"/>
    <s v="Fit"/>
    <x v="1"/>
    <x v="1"/>
    <x v="6"/>
    <n v="0.28000000000000003"/>
    <x v="1"/>
  </r>
  <r>
    <n v="262"/>
    <x v="1"/>
    <n v="2017"/>
    <x v="1"/>
    <x v="0"/>
    <n v="71468"/>
    <x v="0"/>
    <n v="31288.400000000001"/>
    <s v="X3"/>
    <x v="0"/>
    <x v="0"/>
    <x v="7"/>
    <n v="0.44"/>
    <x v="0"/>
  </r>
  <r>
    <n v="263"/>
    <x v="5"/>
    <n v="2002"/>
    <x v="3"/>
    <x v="1"/>
    <n v="288614"/>
    <x v="0"/>
    <n v="14912.93"/>
    <s v="E-Class"/>
    <x v="1"/>
    <x v="1"/>
    <x v="23"/>
    <n v="0.05"/>
    <x v="0"/>
  </r>
  <r>
    <n v="264"/>
    <x v="0"/>
    <n v="2009"/>
    <x v="11"/>
    <x v="1"/>
    <n v="196201"/>
    <x v="0"/>
    <n v="12140.06"/>
    <s v="Model 3"/>
    <x v="0"/>
    <x v="1"/>
    <x v="4"/>
    <n v="0.06"/>
    <x v="0"/>
  </r>
  <r>
    <n v="265"/>
    <x v="2"/>
    <n v="2021"/>
    <x v="10"/>
    <x v="1"/>
    <n v="8328"/>
    <x v="0"/>
    <n v="38018.04"/>
    <s v="A3"/>
    <x v="0"/>
    <x v="2"/>
    <x v="20"/>
    <n v="4.57"/>
    <x v="0"/>
  </r>
  <r>
    <n v="266"/>
    <x v="6"/>
    <n v="2006"/>
    <x v="13"/>
    <x v="0"/>
    <n v="137405"/>
    <x v="1"/>
    <n v="63401.95"/>
    <s v="Camry"/>
    <x v="2"/>
    <x v="0"/>
    <x v="11"/>
    <n v="0.46"/>
    <x v="1"/>
  </r>
  <r>
    <n v="267"/>
    <x v="6"/>
    <n v="2008"/>
    <x v="37"/>
    <x v="1"/>
    <n v="251519"/>
    <x v="1"/>
    <n v="84564.33"/>
    <s v="Prius"/>
    <x v="1"/>
    <x v="1"/>
    <x v="22"/>
    <n v="0.34"/>
    <x v="1"/>
  </r>
  <r>
    <n v="268"/>
    <x v="3"/>
    <n v="2016"/>
    <x v="11"/>
    <x v="0"/>
    <n v="121173"/>
    <x v="2"/>
    <n v="22438.51"/>
    <s v="Focus"/>
    <x v="1"/>
    <x v="0"/>
    <x v="0"/>
    <n v="0.19"/>
    <x v="1"/>
  </r>
  <r>
    <n v="269"/>
    <x v="5"/>
    <n v="2010"/>
    <x v="37"/>
    <x v="1"/>
    <n v="46638"/>
    <x v="2"/>
    <n v="45341.18"/>
    <s v="GLC"/>
    <x v="0"/>
    <x v="2"/>
    <x v="9"/>
    <n v="0.97"/>
    <x v="0"/>
  </r>
  <r>
    <n v="270"/>
    <x v="4"/>
    <n v="2006"/>
    <x v="43"/>
    <x v="1"/>
    <n v="273412"/>
    <x v="2"/>
    <n v="42235.83"/>
    <s v="Accord"/>
    <x v="0"/>
    <x v="1"/>
    <x v="11"/>
    <n v="0.15"/>
    <x v="1"/>
  </r>
  <r>
    <n v="271"/>
    <x v="2"/>
    <n v="2023"/>
    <x v="6"/>
    <x v="0"/>
    <n v="201675"/>
    <x v="1"/>
    <n v="53772.43"/>
    <s v="A4"/>
    <x v="0"/>
    <x v="1"/>
    <x v="8"/>
    <n v="0.27"/>
    <x v="0"/>
  </r>
  <r>
    <n v="272"/>
    <x v="1"/>
    <n v="2013"/>
    <x v="38"/>
    <x v="0"/>
    <n v="113920"/>
    <x v="2"/>
    <n v="81910.789999999994"/>
    <s v="5 Series"/>
    <x v="0"/>
    <x v="0"/>
    <x v="2"/>
    <n v="0.72"/>
    <x v="0"/>
  </r>
  <r>
    <n v="273"/>
    <x v="4"/>
    <n v="2018"/>
    <x v="12"/>
    <x v="1"/>
    <n v="171813"/>
    <x v="2"/>
    <n v="57596.3"/>
    <s v="CR-V"/>
    <x v="0"/>
    <x v="1"/>
    <x v="1"/>
    <n v="0.34"/>
    <x v="1"/>
  </r>
  <r>
    <n v="274"/>
    <x v="5"/>
    <n v="2003"/>
    <x v="14"/>
    <x v="1"/>
    <n v="7887"/>
    <x v="1"/>
    <n v="85432.22"/>
    <s v="E-Class"/>
    <x v="3"/>
    <x v="2"/>
    <x v="21"/>
    <n v="10.83"/>
    <x v="0"/>
  </r>
  <r>
    <n v="275"/>
    <x v="0"/>
    <n v="2005"/>
    <x v="26"/>
    <x v="1"/>
    <n v="228978"/>
    <x v="2"/>
    <n v="54262.42"/>
    <s v="Model S"/>
    <x v="0"/>
    <x v="1"/>
    <x v="14"/>
    <n v="0.24"/>
    <x v="0"/>
  </r>
  <r>
    <n v="276"/>
    <x v="1"/>
    <n v="2009"/>
    <x v="10"/>
    <x v="1"/>
    <n v="24918"/>
    <x v="1"/>
    <n v="62365.5"/>
    <s v="5 Series"/>
    <x v="2"/>
    <x v="2"/>
    <x v="4"/>
    <n v="2.5"/>
    <x v="0"/>
  </r>
  <r>
    <n v="277"/>
    <x v="0"/>
    <n v="2006"/>
    <x v="48"/>
    <x v="1"/>
    <n v="297641"/>
    <x v="1"/>
    <n v="46551.41"/>
    <s v="Model X"/>
    <x v="0"/>
    <x v="1"/>
    <x v="11"/>
    <n v="0.16"/>
    <x v="0"/>
  </r>
  <r>
    <n v="278"/>
    <x v="3"/>
    <n v="2012"/>
    <x v="25"/>
    <x v="0"/>
    <n v="192081"/>
    <x v="0"/>
    <n v="83194.080000000002"/>
    <s v="Fiesta"/>
    <x v="2"/>
    <x v="1"/>
    <x v="15"/>
    <n v="0.43"/>
    <x v="1"/>
  </r>
  <r>
    <n v="279"/>
    <x v="3"/>
    <n v="2013"/>
    <x v="5"/>
    <x v="0"/>
    <n v="274073"/>
    <x v="0"/>
    <n v="92763.58"/>
    <s v="Explorer"/>
    <x v="2"/>
    <x v="1"/>
    <x v="2"/>
    <n v="0.34"/>
    <x v="1"/>
  </r>
  <r>
    <n v="280"/>
    <x v="6"/>
    <n v="2003"/>
    <x v="13"/>
    <x v="0"/>
    <n v="102201"/>
    <x v="1"/>
    <n v="65718.75"/>
    <s v="Corolla"/>
    <x v="3"/>
    <x v="0"/>
    <x v="21"/>
    <n v="0.64"/>
    <x v="1"/>
  </r>
  <r>
    <n v="281"/>
    <x v="0"/>
    <n v="2007"/>
    <x v="4"/>
    <x v="0"/>
    <n v="210171"/>
    <x v="1"/>
    <n v="82974.33"/>
    <s v="Model X"/>
    <x v="0"/>
    <x v="1"/>
    <x v="17"/>
    <n v="0.39"/>
    <x v="0"/>
  </r>
  <r>
    <n v="282"/>
    <x v="5"/>
    <n v="2004"/>
    <x v="27"/>
    <x v="1"/>
    <n v="290690"/>
    <x v="0"/>
    <n v="10605.32"/>
    <s v="E-Class"/>
    <x v="1"/>
    <x v="1"/>
    <x v="19"/>
    <n v="0.04"/>
    <x v="0"/>
  </r>
  <r>
    <n v="283"/>
    <x v="2"/>
    <n v="2000"/>
    <x v="28"/>
    <x v="0"/>
    <n v="209496"/>
    <x v="2"/>
    <n v="91080.62"/>
    <s v="Q7"/>
    <x v="2"/>
    <x v="1"/>
    <x v="18"/>
    <n v="0.43"/>
    <x v="0"/>
  </r>
  <r>
    <n v="284"/>
    <x v="1"/>
    <n v="2003"/>
    <x v="40"/>
    <x v="0"/>
    <n v="168410"/>
    <x v="2"/>
    <n v="22947.88"/>
    <s v="5 Series"/>
    <x v="0"/>
    <x v="1"/>
    <x v="21"/>
    <n v="0.14000000000000001"/>
    <x v="0"/>
  </r>
  <r>
    <n v="285"/>
    <x v="4"/>
    <n v="2002"/>
    <x v="37"/>
    <x v="0"/>
    <n v="82494"/>
    <x v="2"/>
    <n v="29369.439999999999"/>
    <s v="CR-V"/>
    <x v="0"/>
    <x v="0"/>
    <x v="23"/>
    <n v="0.36"/>
    <x v="1"/>
  </r>
  <r>
    <n v="286"/>
    <x v="5"/>
    <n v="2008"/>
    <x v="42"/>
    <x v="1"/>
    <n v="215859"/>
    <x v="1"/>
    <n v="10066.36"/>
    <s v="GLA"/>
    <x v="3"/>
    <x v="1"/>
    <x v="22"/>
    <n v="0.05"/>
    <x v="0"/>
  </r>
  <r>
    <n v="287"/>
    <x v="5"/>
    <n v="2007"/>
    <x v="20"/>
    <x v="0"/>
    <n v="233853"/>
    <x v="0"/>
    <n v="96713.01"/>
    <s v="GLA"/>
    <x v="3"/>
    <x v="1"/>
    <x v="17"/>
    <n v="0.41"/>
    <x v="0"/>
  </r>
  <r>
    <n v="288"/>
    <x v="3"/>
    <n v="2000"/>
    <x v="30"/>
    <x v="1"/>
    <n v="128279"/>
    <x v="2"/>
    <n v="85941.03"/>
    <s v="Fiesta"/>
    <x v="3"/>
    <x v="0"/>
    <x v="18"/>
    <n v="0.67"/>
    <x v="1"/>
  </r>
  <r>
    <n v="289"/>
    <x v="0"/>
    <n v="2005"/>
    <x v="2"/>
    <x v="0"/>
    <n v="81991"/>
    <x v="0"/>
    <n v="91752.54"/>
    <s v="Model S"/>
    <x v="0"/>
    <x v="0"/>
    <x v="14"/>
    <n v="1.1200000000000001"/>
    <x v="0"/>
  </r>
  <r>
    <n v="290"/>
    <x v="6"/>
    <n v="2008"/>
    <x v="35"/>
    <x v="1"/>
    <n v="290157"/>
    <x v="0"/>
    <n v="85485.54"/>
    <s v="Camry"/>
    <x v="2"/>
    <x v="1"/>
    <x v="22"/>
    <n v="0.28999999999999998"/>
    <x v="1"/>
  </r>
  <r>
    <n v="291"/>
    <x v="6"/>
    <n v="2006"/>
    <x v="32"/>
    <x v="0"/>
    <n v="52132"/>
    <x v="1"/>
    <n v="50555.4"/>
    <s v="Camry"/>
    <x v="3"/>
    <x v="0"/>
    <x v="11"/>
    <n v="0.97"/>
    <x v="1"/>
  </r>
  <r>
    <n v="292"/>
    <x v="1"/>
    <n v="2003"/>
    <x v="38"/>
    <x v="1"/>
    <n v="255069"/>
    <x v="2"/>
    <n v="92787.78"/>
    <s v="3 Series"/>
    <x v="3"/>
    <x v="1"/>
    <x v="21"/>
    <n v="0.36"/>
    <x v="0"/>
  </r>
  <r>
    <n v="293"/>
    <x v="3"/>
    <n v="2012"/>
    <x v="31"/>
    <x v="0"/>
    <n v="159156"/>
    <x v="0"/>
    <n v="97099.92"/>
    <s v="Explorer"/>
    <x v="3"/>
    <x v="1"/>
    <x v="15"/>
    <n v="0.61"/>
    <x v="1"/>
  </r>
  <r>
    <n v="294"/>
    <x v="5"/>
    <n v="2016"/>
    <x v="5"/>
    <x v="1"/>
    <n v="152215"/>
    <x v="1"/>
    <n v="52743.86"/>
    <s v="E-Class"/>
    <x v="2"/>
    <x v="1"/>
    <x v="0"/>
    <n v="0.35"/>
    <x v="0"/>
  </r>
  <r>
    <n v="295"/>
    <x v="2"/>
    <n v="2001"/>
    <x v="2"/>
    <x v="1"/>
    <n v="91627"/>
    <x v="1"/>
    <n v="21684.35"/>
    <s v="A4"/>
    <x v="2"/>
    <x v="0"/>
    <x v="10"/>
    <n v="0.24"/>
    <x v="0"/>
  </r>
  <r>
    <n v="296"/>
    <x v="3"/>
    <n v="2004"/>
    <x v="0"/>
    <x v="0"/>
    <n v="122772"/>
    <x v="1"/>
    <n v="67569.14"/>
    <s v="Focus"/>
    <x v="3"/>
    <x v="0"/>
    <x v="19"/>
    <n v="0.55000000000000004"/>
    <x v="1"/>
  </r>
  <r>
    <n v="297"/>
    <x v="1"/>
    <n v="2011"/>
    <x v="8"/>
    <x v="1"/>
    <n v="229415"/>
    <x v="2"/>
    <n v="97666.64"/>
    <s v="5 Series"/>
    <x v="3"/>
    <x v="1"/>
    <x v="3"/>
    <n v="0.43"/>
    <x v="0"/>
  </r>
  <r>
    <n v="298"/>
    <x v="1"/>
    <n v="2020"/>
    <x v="26"/>
    <x v="1"/>
    <n v="141294"/>
    <x v="2"/>
    <n v="87853.95"/>
    <s v="X5"/>
    <x v="0"/>
    <x v="0"/>
    <x v="6"/>
    <n v="0.62"/>
    <x v="0"/>
  </r>
  <r>
    <n v="299"/>
    <x v="3"/>
    <n v="2007"/>
    <x v="4"/>
    <x v="0"/>
    <n v="259013"/>
    <x v="1"/>
    <n v="86872.44"/>
    <s v="Focus"/>
    <x v="3"/>
    <x v="1"/>
    <x v="17"/>
    <n v="0.34"/>
    <x v="1"/>
  </r>
  <r>
    <n v="300"/>
    <x v="1"/>
    <n v="2005"/>
    <x v="0"/>
    <x v="0"/>
    <n v="16116"/>
    <x v="2"/>
    <n v="93712.71"/>
    <s v="5 Series"/>
    <x v="1"/>
    <x v="2"/>
    <x v="14"/>
    <n v="5.81"/>
    <x v="0"/>
  </r>
  <r>
    <n v="301"/>
    <x v="3"/>
    <n v="2007"/>
    <x v="13"/>
    <x v="1"/>
    <n v="182124"/>
    <x v="2"/>
    <n v="89925.46"/>
    <s v="Mustang"/>
    <x v="1"/>
    <x v="1"/>
    <x v="17"/>
    <n v="0.49"/>
    <x v="1"/>
  </r>
  <r>
    <n v="302"/>
    <x v="4"/>
    <n v="2017"/>
    <x v="2"/>
    <x v="0"/>
    <n v="51369"/>
    <x v="0"/>
    <n v="78746.759999999995"/>
    <s v="Accord"/>
    <x v="3"/>
    <x v="0"/>
    <x v="7"/>
    <n v="1.53"/>
    <x v="1"/>
  </r>
  <r>
    <n v="303"/>
    <x v="3"/>
    <n v="2002"/>
    <x v="28"/>
    <x v="0"/>
    <n v="179889"/>
    <x v="1"/>
    <n v="73235.92"/>
    <s v="Explorer"/>
    <x v="2"/>
    <x v="1"/>
    <x v="23"/>
    <n v="0.41"/>
    <x v="1"/>
  </r>
  <r>
    <n v="304"/>
    <x v="0"/>
    <n v="2021"/>
    <x v="6"/>
    <x v="0"/>
    <n v="233982"/>
    <x v="1"/>
    <n v="30152.880000000001"/>
    <s v="Model 3"/>
    <x v="0"/>
    <x v="1"/>
    <x v="20"/>
    <n v="0.13"/>
    <x v="0"/>
  </r>
  <r>
    <n v="305"/>
    <x v="3"/>
    <n v="2011"/>
    <x v="0"/>
    <x v="1"/>
    <n v="214275"/>
    <x v="2"/>
    <n v="64027.3"/>
    <s v="Explorer"/>
    <x v="2"/>
    <x v="1"/>
    <x v="3"/>
    <n v="0.3"/>
    <x v="1"/>
  </r>
  <r>
    <n v="306"/>
    <x v="1"/>
    <n v="2002"/>
    <x v="38"/>
    <x v="1"/>
    <n v="205383"/>
    <x v="1"/>
    <n v="54541.42"/>
    <s v="X3"/>
    <x v="3"/>
    <x v="1"/>
    <x v="23"/>
    <n v="0.27"/>
    <x v="0"/>
  </r>
  <r>
    <n v="307"/>
    <x v="0"/>
    <n v="2021"/>
    <x v="32"/>
    <x v="1"/>
    <n v="291799"/>
    <x v="1"/>
    <n v="86884.69"/>
    <s v="Model Y"/>
    <x v="0"/>
    <x v="1"/>
    <x v="20"/>
    <n v="0.3"/>
    <x v="0"/>
  </r>
  <r>
    <n v="308"/>
    <x v="1"/>
    <n v="2005"/>
    <x v="39"/>
    <x v="1"/>
    <n v="188874"/>
    <x v="1"/>
    <n v="51712.69"/>
    <s v="X5"/>
    <x v="0"/>
    <x v="1"/>
    <x v="14"/>
    <n v="0.27"/>
    <x v="0"/>
  </r>
  <r>
    <n v="309"/>
    <x v="6"/>
    <n v="2001"/>
    <x v="43"/>
    <x v="1"/>
    <n v="47632"/>
    <x v="2"/>
    <n v="17135.560000000001"/>
    <s v="Prius"/>
    <x v="2"/>
    <x v="2"/>
    <x v="10"/>
    <n v="0.36"/>
    <x v="1"/>
  </r>
  <r>
    <n v="310"/>
    <x v="6"/>
    <n v="2022"/>
    <x v="20"/>
    <x v="1"/>
    <n v="211284"/>
    <x v="2"/>
    <n v="5472.39"/>
    <s v="Prius"/>
    <x v="2"/>
    <x v="1"/>
    <x v="13"/>
    <n v="0.03"/>
    <x v="1"/>
  </r>
  <r>
    <n v="311"/>
    <x v="0"/>
    <n v="2011"/>
    <x v="30"/>
    <x v="1"/>
    <n v="161848"/>
    <x v="2"/>
    <n v="69397.95"/>
    <s v="Model S"/>
    <x v="0"/>
    <x v="1"/>
    <x v="3"/>
    <n v="0.43"/>
    <x v="0"/>
  </r>
  <r>
    <n v="312"/>
    <x v="4"/>
    <n v="2001"/>
    <x v="2"/>
    <x v="0"/>
    <n v="191082"/>
    <x v="0"/>
    <n v="57241.3"/>
    <s v="Civic"/>
    <x v="0"/>
    <x v="1"/>
    <x v="10"/>
    <n v="0.3"/>
    <x v="1"/>
  </r>
  <r>
    <n v="313"/>
    <x v="6"/>
    <n v="2005"/>
    <x v="36"/>
    <x v="1"/>
    <n v="213807"/>
    <x v="1"/>
    <n v="36441.480000000003"/>
    <s v="RAV4"/>
    <x v="1"/>
    <x v="1"/>
    <x v="14"/>
    <n v="0.17"/>
    <x v="1"/>
  </r>
  <r>
    <n v="314"/>
    <x v="3"/>
    <n v="2016"/>
    <x v="23"/>
    <x v="1"/>
    <n v="196523"/>
    <x v="0"/>
    <n v="21052.35"/>
    <s v="Focus"/>
    <x v="3"/>
    <x v="1"/>
    <x v="0"/>
    <n v="0.11"/>
    <x v="1"/>
  </r>
  <r>
    <n v="315"/>
    <x v="1"/>
    <n v="2002"/>
    <x v="50"/>
    <x v="0"/>
    <n v="179884"/>
    <x v="2"/>
    <n v="49337.96"/>
    <s v="5 Series"/>
    <x v="0"/>
    <x v="1"/>
    <x v="23"/>
    <n v="0.27"/>
    <x v="0"/>
  </r>
  <r>
    <n v="316"/>
    <x v="6"/>
    <n v="2001"/>
    <x v="0"/>
    <x v="0"/>
    <n v="281039"/>
    <x v="0"/>
    <n v="14527.21"/>
    <s v="Corolla"/>
    <x v="2"/>
    <x v="1"/>
    <x v="10"/>
    <n v="0.05"/>
    <x v="1"/>
  </r>
  <r>
    <n v="317"/>
    <x v="6"/>
    <n v="2022"/>
    <x v="50"/>
    <x v="0"/>
    <n v="235892"/>
    <x v="1"/>
    <n v="36930.31"/>
    <s v="Corolla"/>
    <x v="3"/>
    <x v="1"/>
    <x v="13"/>
    <n v="0.16"/>
    <x v="1"/>
  </r>
  <r>
    <n v="318"/>
    <x v="4"/>
    <n v="2019"/>
    <x v="12"/>
    <x v="1"/>
    <n v="213408"/>
    <x v="1"/>
    <n v="41025.129999999997"/>
    <s v="Fit"/>
    <x v="2"/>
    <x v="1"/>
    <x v="5"/>
    <n v="0.19"/>
    <x v="1"/>
  </r>
  <r>
    <n v="319"/>
    <x v="0"/>
    <n v="2007"/>
    <x v="27"/>
    <x v="0"/>
    <n v="242718"/>
    <x v="2"/>
    <n v="49233.78"/>
    <s v="Model X"/>
    <x v="0"/>
    <x v="1"/>
    <x v="17"/>
    <n v="0.2"/>
    <x v="0"/>
  </r>
  <r>
    <n v="320"/>
    <x v="0"/>
    <n v="2021"/>
    <x v="45"/>
    <x v="1"/>
    <n v="192879"/>
    <x v="2"/>
    <n v="49328.97"/>
    <s v="Model X"/>
    <x v="0"/>
    <x v="1"/>
    <x v="20"/>
    <n v="0.26"/>
    <x v="0"/>
  </r>
  <r>
    <n v="321"/>
    <x v="5"/>
    <n v="2011"/>
    <x v="50"/>
    <x v="1"/>
    <n v="23086"/>
    <x v="0"/>
    <n v="29415.54"/>
    <s v="C-Class"/>
    <x v="3"/>
    <x v="2"/>
    <x v="3"/>
    <n v="1.27"/>
    <x v="0"/>
  </r>
  <r>
    <n v="322"/>
    <x v="4"/>
    <n v="2003"/>
    <x v="38"/>
    <x v="1"/>
    <n v="85637"/>
    <x v="2"/>
    <n v="85770.04"/>
    <s v="Fit"/>
    <x v="3"/>
    <x v="0"/>
    <x v="21"/>
    <n v="1"/>
    <x v="1"/>
  </r>
  <r>
    <n v="323"/>
    <x v="3"/>
    <n v="2004"/>
    <x v="4"/>
    <x v="0"/>
    <n v="158279"/>
    <x v="0"/>
    <n v="38776.629999999997"/>
    <s v="Fiesta"/>
    <x v="3"/>
    <x v="1"/>
    <x v="19"/>
    <n v="0.24"/>
    <x v="1"/>
  </r>
  <r>
    <n v="324"/>
    <x v="0"/>
    <n v="2012"/>
    <x v="37"/>
    <x v="0"/>
    <n v="151969"/>
    <x v="1"/>
    <n v="26810.79"/>
    <s v="Model S"/>
    <x v="0"/>
    <x v="1"/>
    <x v="15"/>
    <n v="0.18"/>
    <x v="0"/>
  </r>
  <r>
    <n v="325"/>
    <x v="1"/>
    <n v="2014"/>
    <x v="12"/>
    <x v="1"/>
    <n v="63083"/>
    <x v="1"/>
    <n v="21701.94"/>
    <s v="X3"/>
    <x v="2"/>
    <x v="0"/>
    <x v="12"/>
    <n v="0.34"/>
    <x v="0"/>
  </r>
  <r>
    <n v="326"/>
    <x v="4"/>
    <n v="2022"/>
    <x v="4"/>
    <x v="1"/>
    <n v="95028"/>
    <x v="1"/>
    <n v="35644.949999999997"/>
    <s v="Accord"/>
    <x v="1"/>
    <x v="0"/>
    <x v="13"/>
    <n v="0.38"/>
    <x v="1"/>
  </r>
  <r>
    <n v="327"/>
    <x v="6"/>
    <n v="2015"/>
    <x v="37"/>
    <x v="1"/>
    <n v="97551"/>
    <x v="1"/>
    <n v="11417.52"/>
    <s v="RAV4"/>
    <x v="1"/>
    <x v="0"/>
    <x v="16"/>
    <n v="0.12"/>
    <x v="1"/>
  </r>
  <r>
    <n v="328"/>
    <x v="1"/>
    <n v="2009"/>
    <x v="49"/>
    <x v="0"/>
    <n v="138355"/>
    <x v="1"/>
    <n v="8126.21"/>
    <s v="5 Series"/>
    <x v="3"/>
    <x v="0"/>
    <x v="4"/>
    <n v="0.06"/>
    <x v="0"/>
  </r>
  <r>
    <n v="329"/>
    <x v="1"/>
    <n v="2022"/>
    <x v="32"/>
    <x v="1"/>
    <n v="94024"/>
    <x v="0"/>
    <n v="62488.51"/>
    <s v="5 Series"/>
    <x v="2"/>
    <x v="0"/>
    <x v="13"/>
    <n v="0.66"/>
    <x v="0"/>
  </r>
  <r>
    <n v="330"/>
    <x v="6"/>
    <n v="2015"/>
    <x v="19"/>
    <x v="0"/>
    <n v="262399"/>
    <x v="1"/>
    <n v="63818.98"/>
    <s v="RAV4"/>
    <x v="1"/>
    <x v="1"/>
    <x v="16"/>
    <n v="0.24"/>
    <x v="1"/>
  </r>
  <r>
    <n v="331"/>
    <x v="4"/>
    <n v="2011"/>
    <x v="27"/>
    <x v="1"/>
    <n v="207627"/>
    <x v="0"/>
    <n v="55310.879999999997"/>
    <s v="Civic"/>
    <x v="1"/>
    <x v="1"/>
    <x v="3"/>
    <n v="0.27"/>
    <x v="1"/>
  </r>
  <r>
    <n v="332"/>
    <x v="6"/>
    <n v="2016"/>
    <x v="14"/>
    <x v="0"/>
    <n v="15487"/>
    <x v="1"/>
    <n v="77417.09"/>
    <s v="Corolla"/>
    <x v="1"/>
    <x v="2"/>
    <x v="0"/>
    <n v="5"/>
    <x v="1"/>
  </r>
  <r>
    <n v="333"/>
    <x v="5"/>
    <n v="2015"/>
    <x v="29"/>
    <x v="1"/>
    <n v="19346"/>
    <x v="0"/>
    <n v="8719.2999999999993"/>
    <s v="GLC"/>
    <x v="2"/>
    <x v="2"/>
    <x v="16"/>
    <n v="0.45"/>
    <x v="0"/>
  </r>
  <r>
    <n v="334"/>
    <x v="1"/>
    <n v="2011"/>
    <x v="9"/>
    <x v="0"/>
    <n v="297194"/>
    <x v="0"/>
    <n v="93917.45"/>
    <s v="5 Series"/>
    <x v="3"/>
    <x v="1"/>
    <x v="3"/>
    <n v="0.32"/>
    <x v="0"/>
  </r>
  <r>
    <n v="335"/>
    <x v="2"/>
    <n v="2007"/>
    <x v="49"/>
    <x v="0"/>
    <n v="270888"/>
    <x v="0"/>
    <n v="14031.19"/>
    <s v="Q7"/>
    <x v="3"/>
    <x v="1"/>
    <x v="17"/>
    <n v="0.05"/>
    <x v="0"/>
  </r>
  <r>
    <n v="336"/>
    <x v="2"/>
    <n v="2019"/>
    <x v="4"/>
    <x v="0"/>
    <n v="61596"/>
    <x v="2"/>
    <n v="69032.179999999993"/>
    <s v="A4"/>
    <x v="3"/>
    <x v="0"/>
    <x v="5"/>
    <n v="1.1200000000000001"/>
    <x v="0"/>
  </r>
  <r>
    <n v="337"/>
    <x v="3"/>
    <n v="2002"/>
    <x v="11"/>
    <x v="0"/>
    <n v="214469"/>
    <x v="0"/>
    <n v="17672.68"/>
    <s v="Mustang"/>
    <x v="0"/>
    <x v="1"/>
    <x v="23"/>
    <n v="0.08"/>
    <x v="1"/>
  </r>
  <r>
    <n v="338"/>
    <x v="0"/>
    <n v="2015"/>
    <x v="31"/>
    <x v="0"/>
    <n v="177175"/>
    <x v="0"/>
    <n v="88591.02"/>
    <s v="Model Y"/>
    <x v="0"/>
    <x v="1"/>
    <x v="16"/>
    <n v="0.5"/>
    <x v="0"/>
  </r>
  <r>
    <n v="339"/>
    <x v="6"/>
    <n v="2012"/>
    <x v="7"/>
    <x v="0"/>
    <n v="153048"/>
    <x v="1"/>
    <n v="53517.760000000002"/>
    <s v="Prius"/>
    <x v="0"/>
    <x v="1"/>
    <x v="15"/>
    <n v="0.35"/>
    <x v="1"/>
  </r>
  <r>
    <n v="340"/>
    <x v="6"/>
    <n v="2022"/>
    <x v="49"/>
    <x v="1"/>
    <n v="6277"/>
    <x v="0"/>
    <n v="12817.89"/>
    <s v="RAV4"/>
    <x v="2"/>
    <x v="2"/>
    <x v="13"/>
    <n v="2.04"/>
    <x v="1"/>
  </r>
  <r>
    <n v="341"/>
    <x v="3"/>
    <n v="2018"/>
    <x v="27"/>
    <x v="1"/>
    <n v="133332"/>
    <x v="0"/>
    <n v="63588.79"/>
    <s v="Fiesta"/>
    <x v="1"/>
    <x v="0"/>
    <x v="1"/>
    <n v="0.48"/>
    <x v="1"/>
  </r>
  <r>
    <n v="342"/>
    <x v="3"/>
    <n v="2007"/>
    <x v="50"/>
    <x v="1"/>
    <n v="240515"/>
    <x v="2"/>
    <n v="5865.44"/>
    <s v="Fiesta"/>
    <x v="1"/>
    <x v="1"/>
    <x v="17"/>
    <n v="0.02"/>
    <x v="1"/>
  </r>
  <r>
    <n v="343"/>
    <x v="3"/>
    <n v="2021"/>
    <x v="40"/>
    <x v="1"/>
    <n v="260577"/>
    <x v="1"/>
    <n v="78722.11"/>
    <s v="Mustang"/>
    <x v="2"/>
    <x v="1"/>
    <x v="20"/>
    <n v="0.3"/>
    <x v="1"/>
  </r>
  <r>
    <n v="344"/>
    <x v="1"/>
    <n v="2004"/>
    <x v="47"/>
    <x v="0"/>
    <n v="196955"/>
    <x v="2"/>
    <n v="66805.570000000007"/>
    <s v="X5"/>
    <x v="2"/>
    <x v="1"/>
    <x v="19"/>
    <n v="0.34"/>
    <x v="0"/>
  </r>
  <r>
    <n v="345"/>
    <x v="5"/>
    <n v="2019"/>
    <x v="16"/>
    <x v="1"/>
    <n v="286885"/>
    <x v="2"/>
    <n v="25199.35"/>
    <s v="E-Class"/>
    <x v="3"/>
    <x v="1"/>
    <x v="5"/>
    <n v="0.09"/>
    <x v="0"/>
  </r>
  <r>
    <n v="346"/>
    <x v="6"/>
    <n v="2007"/>
    <x v="36"/>
    <x v="0"/>
    <n v="299355"/>
    <x v="2"/>
    <n v="40601.339999999997"/>
    <s v="Camry"/>
    <x v="3"/>
    <x v="1"/>
    <x v="17"/>
    <n v="0.14000000000000001"/>
    <x v="1"/>
  </r>
  <r>
    <n v="347"/>
    <x v="1"/>
    <n v="2023"/>
    <x v="39"/>
    <x v="0"/>
    <n v="240464"/>
    <x v="0"/>
    <n v="5741.64"/>
    <s v="X5"/>
    <x v="0"/>
    <x v="1"/>
    <x v="8"/>
    <n v="0.02"/>
    <x v="0"/>
  </r>
  <r>
    <n v="348"/>
    <x v="3"/>
    <n v="2011"/>
    <x v="45"/>
    <x v="0"/>
    <n v="258445"/>
    <x v="2"/>
    <n v="70899.960000000006"/>
    <s v="Focus"/>
    <x v="0"/>
    <x v="1"/>
    <x v="3"/>
    <n v="0.27"/>
    <x v="1"/>
  </r>
  <r>
    <n v="349"/>
    <x v="6"/>
    <n v="2000"/>
    <x v="4"/>
    <x v="1"/>
    <n v="269013"/>
    <x v="2"/>
    <n v="35653.47"/>
    <s v="Corolla"/>
    <x v="2"/>
    <x v="1"/>
    <x v="18"/>
    <n v="0.13"/>
    <x v="1"/>
  </r>
  <r>
    <n v="350"/>
    <x v="1"/>
    <n v="2020"/>
    <x v="38"/>
    <x v="0"/>
    <n v="94515"/>
    <x v="1"/>
    <n v="59300.95"/>
    <s v="3 Series"/>
    <x v="0"/>
    <x v="0"/>
    <x v="6"/>
    <n v="0.63"/>
    <x v="0"/>
  </r>
  <r>
    <n v="351"/>
    <x v="5"/>
    <n v="2019"/>
    <x v="27"/>
    <x v="1"/>
    <n v="150494"/>
    <x v="1"/>
    <n v="95889.12"/>
    <s v="GLC"/>
    <x v="1"/>
    <x v="1"/>
    <x v="5"/>
    <n v="0.64"/>
    <x v="0"/>
  </r>
  <r>
    <n v="352"/>
    <x v="1"/>
    <n v="2005"/>
    <x v="16"/>
    <x v="1"/>
    <n v="166685"/>
    <x v="1"/>
    <n v="33449.339999999997"/>
    <s v="X5"/>
    <x v="2"/>
    <x v="1"/>
    <x v="14"/>
    <n v="0.2"/>
    <x v="0"/>
  </r>
  <r>
    <n v="353"/>
    <x v="5"/>
    <n v="2021"/>
    <x v="43"/>
    <x v="1"/>
    <n v="188088"/>
    <x v="1"/>
    <n v="99072.6"/>
    <s v="C-Class"/>
    <x v="2"/>
    <x v="1"/>
    <x v="20"/>
    <n v="0.53"/>
    <x v="0"/>
  </r>
  <r>
    <n v="354"/>
    <x v="3"/>
    <n v="2017"/>
    <x v="3"/>
    <x v="1"/>
    <n v="60110"/>
    <x v="2"/>
    <n v="65109.2"/>
    <s v="Focus"/>
    <x v="1"/>
    <x v="0"/>
    <x v="7"/>
    <n v="1.08"/>
    <x v="1"/>
  </r>
  <r>
    <n v="355"/>
    <x v="5"/>
    <n v="2007"/>
    <x v="43"/>
    <x v="1"/>
    <n v="219601"/>
    <x v="1"/>
    <n v="27998.42"/>
    <s v="GLA"/>
    <x v="3"/>
    <x v="1"/>
    <x v="17"/>
    <n v="0.13"/>
    <x v="0"/>
  </r>
  <r>
    <n v="356"/>
    <x v="6"/>
    <n v="2006"/>
    <x v="50"/>
    <x v="0"/>
    <n v="208994"/>
    <x v="0"/>
    <n v="46493.9"/>
    <s v="Camry"/>
    <x v="3"/>
    <x v="1"/>
    <x v="11"/>
    <n v="0.22"/>
    <x v="1"/>
  </r>
  <r>
    <n v="357"/>
    <x v="3"/>
    <n v="2000"/>
    <x v="19"/>
    <x v="0"/>
    <n v="296177"/>
    <x v="2"/>
    <n v="75343.05"/>
    <s v="Mustang"/>
    <x v="1"/>
    <x v="1"/>
    <x v="18"/>
    <n v="0.25"/>
    <x v="1"/>
  </r>
  <r>
    <n v="358"/>
    <x v="6"/>
    <n v="2020"/>
    <x v="3"/>
    <x v="1"/>
    <n v="260705"/>
    <x v="1"/>
    <n v="47415.4"/>
    <s v="RAV4"/>
    <x v="1"/>
    <x v="1"/>
    <x v="6"/>
    <n v="0.18"/>
    <x v="1"/>
  </r>
  <r>
    <n v="359"/>
    <x v="2"/>
    <n v="2015"/>
    <x v="45"/>
    <x v="0"/>
    <n v="12938"/>
    <x v="2"/>
    <n v="11508.22"/>
    <s v="A4"/>
    <x v="0"/>
    <x v="2"/>
    <x v="16"/>
    <n v="0.89"/>
    <x v="0"/>
  </r>
  <r>
    <n v="360"/>
    <x v="4"/>
    <n v="2011"/>
    <x v="3"/>
    <x v="1"/>
    <n v="130842"/>
    <x v="1"/>
    <n v="21017.35"/>
    <s v="Accord"/>
    <x v="2"/>
    <x v="0"/>
    <x v="3"/>
    <n v="0.16"/>
    <x v="1"/>
  </r>
  <r>
    <n v="361"/>
    <x v="5"/>
    <n v="2005"/>
    <x v="7"/>
    <x v="0"/>
    <n v="264418"/>
    <x v="2"/>
    <n v="80173.289999999994"/>
    <s v="C-Class"/>
    <x v="0"/>
    <x v="1"/>
    <x v="14"/>
    <n v="0.3"/>
    <x v="0"/>
  </r>
  <r>
    <n v="362"/>
    <x v="4"/>
    <n v="2019"/>
    <x v="14"/>
    <x v="0"/>
    <n v="150033"/>
    <x v="1"/>
    <n v="66595.44"/>
    <s v="Civic"/>
    <x v="1"/>
    <x v="1"/>
    <x v="5"/>
    <n v="0.44"/>
    <x v="1"/>
  </r>
  <r>
    <n v="363"/>
    <x v="4"/>
    <n v="2001"/>
    <x v="14"/>
    <x v="0"/>
    <n v="20044"/>
    <x v="0"/>
    <n v="59133.42"/>
    <s v="Accord"/>
    <x v="0"/>
    <x v="2"/>
    <x v="10"/>
    <n v="2.95"/>
    <x v="1"/>
  </r>
  <r>
    <n v="364"/>
    <x v="5"/>
    <n v="2013"/>
    <x v="49"/>
    <x v="0"/>
    <n v="99372"/>
    <x v="1"/>
    <n v="20924.09"/>
    <s v="E-Class"/>
    <x v="1"/>
    <x v="0"/>
    <x v="2"/>
    <n v="0.21"/>
    <x v="0"/>
  </r>
  <r>
    <n v="365"/>
    <x v="3"/>
    <n v="2003"/>
    <x v="43"/>
    <x v="0"/>
    <n v="276850"/>
    <x v="2"/>
    <n v="84586.96"/>
    <s v="Fiesta"/>
    <x v="0"/>
    <x v="1"/>
    <x v="21"/>
    <n v="0.31"/>
    <x v="1"/>
  </r>
  <r>
    <n v="366"/>
    <x v="2"/>
    <n v="2000"/>
    <x v="23"/>
    <x v="0"/>
    <n v="137046"/>
    <x v="2"/>
    <n v="96270.31"/>
    <s v="Q7"/>
    <x v="0"/>
    <x v="0"/>
    <x v="18"/>
    <n v="0.7"/>
    <x v="0"/>
  </r>
  <r>
    <n v="367"/>
    <x v="6"/>
    <n v="2022"/>
    <x v="2"/>
    <x v="0"/>
    <n v="21213"/>
    <x v="0"/>
    <n v="8884.27"/>
    <s v="Prius"/>
    <x v="3"/>
    <x v="2"/>
    <x v="13"/>
    <n v="0.42"/>
    <x v="1"/>
  </r>
  <r>
    <n v="368"/>
    <x v="1"/>
    <n v="2017"/>
    <x v="35"/>
    <x v="0"/>
    <n v="1950"/>
    <x v="2"/>
    <n v="12413.03"/>
    <s v="X3"/>
    <x v="1"/>
    <x v="2"/>
    <x v="7"/>
    <n v="6.37"/>
    <x v="0"/>
  </r>
  <r>
    <n v="369"/>
    <x v="6"/>
    <n v="2012"/>
    <x v="28"/>
    <x v="0"/>
    <n v="254043"/>
    <x v="0"/>
    <n v="89048.83"/>
    <s v="RAV4"/>
    <x v="0"/>
    <x v="1"/>
    <x v="15"/>
    <n v="0.35"/>
    <x v="1"/>
  </r>
  <r>
    <n v="370"/>
    <x v="1"/>
    <n v="2001"/>
    <x v="6"/>
    <x v="0"/>
    <n v="216085"/>
    <x v="2"/>
    <n v="82477.460000000006"/>
    <s v="X5"/>
    <x v="2"/>
    <x v="1"/>
    <x v="10"/>
    <n v="0.38"/>
    <x v="0"/>
  </r>
  <r>
    <n v="371"/>
    <x v="6"/>
    <n v="2008"/>
    <x v="24"/>
    <x v="0"/>
    <n v="272555"/>
    <x v="2"/>
    <n v="63703.77"/>
    <s v="Prius"/>
    <x v="0"/>
    <x v="1"/>
    <x v="22"/>
    <n v="0.23"/>
    <x v="1"/>
  </r>
  <r>
    <n v="372"/>
    <x v="5"/>
    <n v="2020"/>
    <x v="24"/>
    <x v="0"/>
    <n v="148843"/>
    <x v="0"/>
    <n v="94771.69"/>
    <s v="GLA"/>
    <x v="0"/>
    <x v="0"/>
    <x v="6"/>
    <n v="0.64"/>
    <x v="0"/>
  </r>
  <r>
    <n v="373"/>
    <x v="2"/>
    <n v="2001"/>
    <x v="46"/>
    <x v="0"/>
    <n v="297197"/>
    <x v="2"/>
    <n v="66410.899999999994"/>
    <s v="Q5"/>
    <x v="2"/>
    <x v="1"/>
    <x v="10"/>
    <n v="0.22"/>
    <x v="0"/>
  </r>
  <r>
    <n v="374"/>
    <x v="1"/>
    <n v="2008"/>
    <x v="34"/>
    <x v="1"/>
    <n v="248966"/>
    <x v="2"/>
    <n v="25518.6"/>
    <s v="3 Series"/>
    <x v="1"/>
    <x v="1"/>
    <x v="22"/>
    <n v="0.1"/>
    <x v="0"/>
  </r>
  <r>
    <n v="375"/>
    <x v="0"/>
    <n v="2000"/>
    <x v="28"/>
    <x v="0"/>
    <n v="138117"/>
    <x v="0"/>
    <n v="74221.02"/>
    <s v="Model X"/>
    <x v="0"/>
    <x v="0"/>
    <x v="18"/>
    <n v="0.54"/>
    <x v="0"/>
  </r>
  <r>
    <n v="376"/>
    <x v="3"/>
    <n v="2010"/>
    <x v="49"/>
    <x v="0"/>
    <n v="29714"/>
    <x v="1"/>
    <n v="66342.48"/>
    <s v="Explorer"/>
    <x v="3"/>
    <x v="2"/>
    <x v="9"/>
    <n v="2.23"/>
    <x v="1"/>
  </r>
  <r>
    <n v="377"/>
    <x v="6"/>
    <n v="2002"/>
    <x v="21"/>
    <x v="0"/>
    <n v="165458"/>
    <x v="0"/>
    <n v="98645.75"/>
    <s v="RAV4"/>
    <x v="3"/>
    <x v="1"/>
    <x v="23"/>
    <n v="0.6"/>
    <x v="1"/>
  </r>
  <r>
    <n v="378"/>
    <x v="6"/>
    <n v="2019"/>
    <x v="26"/>
    <x v="0"/>
    <n v="270706"/>
    <x v="2"/>
    <n v="25320.09"/>
    <s v="Corolla"/>
    <x v="2"/>
    <x v="1"/>
    <x v="5"/>
    <n v="0.09"/>
    <x v="1"/>
  </r>
  <r>
    <n v="379"/>
    <x v="1"/>
    <n v="2022"/>
    <x v="31"/>
    <x v="0"/>
    <n v="12026"/>
    <x v="1"/>
    <n v="61799.07"/>
    <s v="3 Series"/>
    <x v="0"/>
    <x v="2"/>
    <x v="13"/>
    <n v="5.14"/>
    <x v="0"/>
  </r>
  <r>
    <n v="380"/>
    <x v="3"/>
    <n v="2003"/>
    <x v="25"/>
    <x v="0"/>
    <n v="106147"/>
    <x v="1"/>
    <n v="79115.91"/>
    <s v="Fiesta"/>
    <x v="1"/>
    <x v="0"/>
    <x v="21"/>
    <n v="0.75"/>
    <x v="1"/>
  </r>
  <r>
    <n v="381"/>
    <x v="3"/>
    <n v="2017"/>
    <x v="6"/>
    <x v="1"/>
    <n v="31589"/>
    <x v="1"/>
    <n v="37203.39"/>
    <s v="Fiesta"/>
    <x v="0"/>
    <x v="2"/>
    <x v="7"/>
    <n v="1.18"/>
    <x v="1"/>
  </r>
  <r>
    <n v="382"/>
    <x v="5"/>
    <n v="2022"/>
    <x v="29"/>
    <x v="1"/>
    <n v="108199"/>
    <x v="0"/>
    <n v="41069.56"/>
    <s v="C-Class"/>
    <x v="3"/>
    <x v="0"/>
    <x v="13"/>
    <n v="0.38"/>
    <x v="0"/>
  </r>
  <r>
    <n v="383"/>
    <x v="0"/>
    <n v="2005"/>
    <x v="17"/>
    <x v="1"/>
    <n v="288988"/>
    <x v="1"/>
    <n v="89350.67"/>
    <s v="Model Y"/>
    <x v="0"/>
    <x v="1"/>
    <x v="14"/>
    <n v="0.31"/>
    <x v="0"/>
  </r>
  <r>
    <n v="384"/>
    <x v="5"/>
    <n v="2002"/>
    <x v="1"/>
    <x v="0"/>
    <n v="208574"/>
    <x v="1"/>
    <n v="43398.51"/>
    <s v="E-Class"/>
    <x v="2"/>
    <x v="1"/>
    <x v="23"/>
    <n v="0.21"/>
    <x v="0"/>
  </r>
  <r>
    <n v="385"/>
    <x v="5"/>
    <n v="2021"/>
    <x v="1"/>
    <x v="0"/>
    <n v="214340"/>
    <x v="1"/>
    <n v="64349.62"/>
    <s v="GLA"/>
    <x v="2"/>
    <x v="1"/>
    <x v="20"/>
    <n v="0.3"/>
    <x v="0"/>
  </r>
  <r>
    <n v="386"/>
    <x v="5"/>
    <n v="2010"/>
    <x v="35"/>
    <x v="0"/>
    <n v="54708"/>
    <x v="2"/>
    <n v="89477.62"/>
    <s v="GLC"/>
    <x v="1"/>
    <x v="0"/>
    <x v="9"/>
    <n v="1.64"/>
    <x v="0"/>
  </r>
  <r>
    <n v="387"/>
    <x v="5"/>
    <n v="2014"/>
    <x v="8"/>
    <x v="1"/>
    <n v="70825"/>
    <x v="0"/>
    <n v="24933.53"/>
    <s v="C-Class"/>
    <x v="1"/>
    <x v="0"/>
    <x v="12"/>
    <n v="0.35"/>
    <x v="0"/>
  </r>
  <r>
    <n v="388"/>
    <x v="5"/>
    <n v="2021"/>
    <x v="10"/>
    <x v="0"/>
    <n v="51574"/>
    <x v="0"/>
    <n v="98278.34"/>
    <s v="GLA"/>
    <x v="3"/>
    <x v="0"/>
    <x v="20"/>
    <n v="1.91"/>
    <x v="0"/>
  </r>
  <r>
    <n v="389"/>
    <x v="2"/>
    <n v="2004"/>
    <x v="42"/>
    <x v="0"/>
    <n v="232409"/>
    <x v="2"/>
    <n v="71685.59"/>
    <s v="A3"/>
    <x v="1"/>
    <x v="1"/>
    <x v="19"/>
    <n v="0.31"/>
    <x v="0"/>
  </r>
  <r>
    <n v="390"/>
    <x v="3"/>
    <n v="2019"/>
    <x v="2"/>
    <x v="1"/>
    <n v="186381"/>
    <x v="1"/>
    <n v="52131.56"/>
    <s v="Explorer"/>
    <x v="0"/>
    <x v="1"/>
    <x v="5"/>
    <n v="0.28000000000000003"/>
    <x v="1"/>
  </r>
  <r>
    <n v="391"/>
    <x v="5"/>
    <n v="2009"/>
    <x v="2"/>
    <x v="1"/>
    <n v="64230"/>
    <x v="2"/>
    <n v="45937.45"/>
    <s v="C-Class"/>
    <x v="2"/>
    <x v="0"/>
    <x v="4"/>
    <n v="0.72"/>
    <x v="0"/>
  </r>
  <r>
    <n v="392"/>
    <x v="3"/>
    <n v="2011"/>
    <x v="26"/>
    <x v="0"/>
    <n v="254451"/>
    <x v="2"/>
    <n v="95664.639999999999"/>
    <s v="Mustang"/>
    <x v="2"/>
    <x v="1"/>
    <x v="3"/>
    <n v="0.38"/>
    <x v="1"/>
  </r>
  <r>
    <n v="393"/>
    <x v="3"/>
    <n v="2014"/>
    <x v="5"/>
    <x v="0"/>
    <n v="247174"/>
    <x v="1"/>
    <n v="24543.86"/>
    <s v="Fiesta"/>
    <x v="2"/>
    <x v="1"/>
    <x v="12"/>
    <n v="0.1"/>
    <x v="1"/>
  </r>
  <r>
    <n v="394"/>
    <x v="4"/>
    <n v="2016"/>
    <x v="10"/>
    <x v="0"/>
    <n v="219700"/>
    <x v="1"/>
    <n v="34609.910000000003"/>
    <s v="CR-V"/>
    <x v="1"/>
    <x v="1"/>
    <x v="0"/>
    <n v="0.16"/>
    <x v="1"/>
  </r>
  <r>
    <n v="395"/>
    <x v="2"/>
    <n v="2009"/>
    <x v="26"/>
    <x v="0"/>
    <n v="287249"/>
    <x v="0"/>
    <n v="34240.31"/>
    <s v="Q5"/>
    <x v="2"/>
    <x v="1"/>
    <x v="4"/>
    <n v="0.12"/>
    <x v="0"/>
  </r>
  <r>
    <n v="396"/>
    <x v="5"/>
    <n v="2005"/>
    <x v="6"/>
    <x v="1"/>
    <n v="246514"/>
    <x v="1"/>
    <n v="32455.599999999999"/>
    <s v="GLA"/>
    <x v="2"/>
    <x v="1"/>
    <x v="14"/>
    <n v="0.13"/>
    <x v="0"/>
  </r>
  <r>
    <n v="397"/>
    <x v="6"/>
    <n v="2017"/>
    <x v="20"/>
    <x v="0"/>
    <n v="264491"/>
    <x v="2"/>
    <n v="49511.11"/>
    <s v="RAV4"/>
    <x v="2"/>
    <x v="1"/>
    <x v="7"/>
    <n v="0.19"/>
    <x v="1"/>
  </r>
  <r>
    <n v="398"/>
    <x v="1"/>
    <n v="2012"/>
    <x v="2"/>
    <x v="0"/>
    <n v="226094"/>
    <x v="2"/>
    <n v="98972.03"/>
    <s v="5 Series"/>
    <x v="3"/>
    <x v="1"/>
    <x v="15"/>
    <n v="0.44"/>
    <x v="0"/>
  </r>
  <r>
    <n v="399"/>
    <x v="0"/>
    <n v="2002"/>
    <x v="17"/>
    <x v="1"/>
    <n v="148182"/>
    <x v="1"/>
    <n v="89434.74"/>
    <s v="Model X"/>
    <x v="0"/>
    <x v="0"/>
    <x v="23"/>
    <n v="0.6"/>
    <x v="0"/>
  </r>
  <r>
    <n v="400"/>
    <x v="6"/>
    <n v="2023"/>
    <x v="38"/>
    <x v="0"/>
    <n v="193242"/>
    <x v="0"/>
    <n v="36155.21"/>
    <s v="Corolla"/>
    <x v="1"/>
    <x v="1"/>
    <x v="8"/>
    <n v="0.19"/>
    <x v="1"/>
  </r>
  <r>
    <n v="401"/>
    <x v="2"/>
    <n v="2009"/>
    <x v="19"/>
    <x v="0"/>
    <n v="182873"/>
    <x v="2"/>
    <n v="45172.66"/>
    <s v="A4"/>
    <x v="2"/>
    <x v="1"/>
    <x v="4"/>
    <n v="0.25"/>
    <x v="0"/>
  </r>
  <r>
    <n v="402"/>
    <x v="1"/>
    <n v="2013"/>
    <x v="10"/>
    <x v="1"/>
    <n v="124926"/>
    <x v="1"/>
    <n v="68600.67"/>
    <s v="3 Series"/>
    <x v="1"/>
    <x v="0"/>
    <x v="2"/>
    <n v="0.55000000000000004"/>
    <x v="0"/>
  </r>
  <r>
    <n v="403"/>
    <x v="2"/>
    <n v="2005"/>
    <x v="16"/>
    <x v="1"/>
    <n v="81147"/>
    <x v="0"/>
    <n v="6629.41"/>
    <s v="Q5"/>
    <x v="2"/>
    <x v="0"/>
    <x v="14"/>
    <n v="0.08"/>
    <x v="0"/>
  </r>
  <r>
    <n v="404"/>
    <x v="3"/>
    <n v="2002"/>
    <x v="39"/>
    <x v="0"/>
    <n v="19199"/>
    <x v="0"/>
    <n v="82914.600000000006"/>
    <s v="Explorer"/>
    <x v="2"/>
    <x v="2"/>
    <x v="23"/>
    <n v="4.32"/>
    <x v="1"/>
  </r>
  <r>
    <n v="405"/>
    <x v="1"/>
    <n v="2015"/>
    <x v="6"/>
    <x v="1"/>
    <n v="183208"/>
    <x v="2"/>
    <n v="88580.82"/>
    <s v="5 Series"/>
    <x v="2"/>
    <x v="1"/>
    <x v="16"/>
    <n v="0.48"/>
    <x v="0"/>
  </r>
  <r>
    <n v="406"/>
    <x v="3"/>
    <n v="2006"/>
    <x v="2"/>
    <x v="1"/>
    <n v="220868"/>
    <x v="2"/>
    <n v="86434.03"/>
    <s v="Explorer"/>
    <x v="1"/>
    <x v="1"/>
    <x v="11"/>
    <n v="0.39"/>
    <x v="1"/>
  </r>
  <r>
    <n v="407"/>
    <x v="6"/>
    <n v="2019"/>
    <x v="19"/>
    <x v="0"/>
    <n v="120787"/>
    <x v="0"/>
    <n v="40630.17"/>
    <s v="Corolla"/>
    <x v="1"/>
    <x v="0"/>
    <x v="5"/>
    <n v="0.34"/>
    <x v="1"/>
  </r>
  <r>
    <n v="408"/>
    <x v="6"/>
    <n v="2013"/>
    <x v="31"/>
    <x v="1"/>
    <n v="114427"/>
    <x v="0"/>
    <n v="48889.95"/>
    <s v="Corolla"/>
    <x v="2"/>
    <x v="0"/>
    <x v="2"/>
    <n v="0.43"/>
    <x v="1"/>
  </r>
  <r>
    <n v="409"/>
    <x v="1"/>
    <n v="2008"/>
    <x v="18"/>
    <x v="0"/>
    <n v="148063"/>
    <x v="0"/>
    <n v="6176.89"/>
    <s v="3 Series"/>
    <x v="0"/>
    <x v="0"/>
    <x v="22"/>
    <n v="0.04"/>
    <x v="0"/>
  </r>
  <r>
    <n v="410"/>
    <x v="1"/>
    <n v="2014"/>
    <x v="33"/>
    <x v="0"/>
    <n v="153625"/>
    <x v="1"/>
    <n v="42942.559999999998"/>
    <s v="X5"/>
    <x v="1"/>
    <x v="1"/>
    <x v="12"/>
    <n v="0.28000000000000003"/>
    <x v="0"/>
  </r>
  <r>
    <n v="411"/>
    <x v="5"/>
    <n v="2020"/>
    <x v="48"/>
    <x v="0"/>
    <n v="220782"/>
    <x v="2"/>
    <n v="48740.55"/>
    <s v="GLA"/>
    <x v="3"/>
    <x v="1"/>
    <x v="6"/>
    <n v="0.22"/>
    <x v="0"/>
  </r>
  <r>
    <n v="412"/>
    <x v="2"/>
    <n v="2002"/>
    <x v="15"/>
    <x v="0"/>
    <n v="87493"/>
    <x v="0"/>
    <n v="91162.559999999998"/>
    <s v="Q7"/>
    <x v="1"/>
    <x v="0"/>
    <x v="23"/>
    <n v="1.04"/>
    <x v="0"/>
  </r>
  <r>
    <n v="413"/>
    <x v="5"/>
    <n v="2001"/>
    <x v="10"/>
    <x v="1"/>
    <n v="274915"/>
    <x v="2"/>
    <n v="89928.83"/>
    <s v="GLA"/>
    <x v="2"/>
    <x v="1"/>
    <x v="10"/>
    <n v="0.33"/>
    <x v="0"/>
  </r>
  <r>
    <n v="414"/>
    <x v="2"/>
    <n v="2001"/>
    <x v="14"/>
    <x v="0"/>
    <n v="125607"/>
    <x v="2"/>
    <n v="96779.22"/>
    <s v="Q7"/>
    <x v="0"/>
    <x v="0"/>
    <x v="10"/>
    <n v="0.77"/>
    <x v="0"/>
  </r>
  <r>
    <n v="415"/>
    <x v="5"/>
    <n v="2002"/>
    <x v="5"/>
    <x v="0"/>
    <n v="246834"/>
    <x v="2"/>
    <n v="89084.97"/>
    <s v="GLA"/>
    <x v="2"/>
    <x v="1"/>
    <x v="23"/>
    <n v="0.36"/>
    <x v="0"/>
  </r>
  <r>
    <n v="416"/>
    <x v="3"/>
    <n v="2017"/>
    <x v="24"/>
    <x v="0"/>
    <n v="79876"/>
    <x v="0"/>
    <n v="5779.07"/>
    <s v="Fiesta"/>
    <x v="3"/>
    <x v="0"/>
    <x v="7"/>
    <n v="7.0000000000000007E-2"/>
    <x v="1"/>
  </r>
  <r>
    <n v="417"/>
    <x v="1"/>
    <n v="2013"/>
    <x v="14"/>
    <x v="0"/>
    <n v="167071"/>
    <x v="1"/>
    <n v="65938.78"/>
    <s v="3 Series"/>
    <x v="1"/>
    <x v="1"/>
    <x v="2"/>
    <n v="0.39"/>
    <x v="0"/>
  </r>
  <r>
    <n v="418"/>
    <x v="6"/>
    <n v="2019"/>
    <x v="6"/>
    <x v="1"/>
    <n v="202959"/>
    <x v="0"/>
    <n v="11482.58"/>
    <s v="Prius"/>
    <x v="1"/>
    <x v="1"/>
    <x v="5"/>
    <n v="0.06"/>
    <x v="1"/>
  </r>
  <r>
    <n v="419"/>
    <x v="2"/>
    <n v="2017"/>
    <x v="36"/>
    <x v="1"/>
    <n v="243722"/>
    <x v="2"/>
    <n v="30896.46"/>
    <s v="A4"/>
    <x v="2"/>
    <x v="1"/>
    <x v="7"/>
    <n v="0.13"/>
    <x v="0"/>
  </r>
  <r>
    <n v="420"/>
    <x v="2"/>
    <n v="2009"/>
    <x v="29"/>
    <x v="1"/>
    <n v="44440"/>
    <x v="0"/>
    <n v="59939.22"/>
    <s v="Q7"/>
    <x v="2"/>
    <x v="2"/>
    <x v="4"/>
    <n v="1.35"/>
    <x v="0"/>
  </r>
  <r>
    <n v="421"/>
    <x v="6"/>
    <n v="2001"/>
    <x v="50"/>
    <x v="0"/>
    <n v="31655"/>
    <x v="0"/>
    <n v="71558.31"/>
    <s v="Camry"/>
    <x v="3"/>
    <x v="2"/>
    <x v="10"/>
    <n v="2.2599999999999998"/>
    <x v="1"/>
  </r>
  <r>
    <n v="422"/>
    <x v="5"/>
    <n v="2021"/>
    <x v="40"/>
    <x v="1"/>
    <n v="43039"/>
    <x v="2"/>
    <n v="67190.039999999994"/>
    <s v="GLA"/>
    <x v="0"/>
    <x v="2"/>
    <x v="20"/>
    <n v="1.56"/>
    <x v="0"/>
  </r>
  <r>
    <n v="423"/>
    <x v="2"/>
    <n v="2000"/>
    <x v="30"/>
    <x v="1"/>
    <n v="72219"/>
    <x v="2"/>
    <n v="9660.5400000000009"/>
    <s v="Q7"/>
    <x v="3"/>
    <x v="0"/>
    <x v="18"/>
    <n v="0.13"/>
    <x v="0"/>
  </r>
  <r>
    <n v="424"/>
    <x v="0"/>
    <n v="2003"/>
    <x v="6"/>
    <x v="0"/>
    <n v="186061"/>
    <x v="0"/>
    <n v="14842.37"/>
    <s v="Model S"/>
    <x v="0"/>
    <x v="1"/>
    <x v="21"/>
    <n v="0.08"/>
    <x v="0"/>
  </r>
  <r>
    <n v="425"/>
    <x v="3"/>
    <n v="2013"/>
    <x v="12"/>
    <x v="1"/>
    <n v="273388"/>
    <x v="0"/>
    <n v="17215.75"/>
    <s v="Fiesta"/>
    <x v="1"/>
    <x v="1"/>
    <x v="2"/>
    <n v="0.06"/>
    <x v="1"/>
  </r>
  <r>
    <n v="426"/>
    <x v="1"/>
    <n v="2000"/>
    <x v="12"/>
    <x v="0"/>
    <n v="94594"/>
    <x v="0"/>
    <n v="13684.37"/>
    <s v="X3"/>
    <x v="0"/>
    <x v="0"/>
    <x v="18"/>
    <n v="0.14000000000000001"/>
    <x v="0"/>
  </r>
  <r>
    <n v="427"/>
    <x v="6"/>
    <n v="2013"/>
    <x v="38"/>
    <x v="1"/>
    <n v="170623"/>
    <x v="0"/>
    <n v="21932.27"/>
    <s v="Prius"/>
    <x v="0"/>
    <x v="1"/>
    <x v="2"/>
    <n v="0.13"/>
    <x v="1"/>
  </r>
  <r>
    <n v="428"/>
    <x v="1"/>
    <n v="2015"/>
    <x v="28"/>
    <x v="1"/>
    <n v="194302"/>
    <x v="1"/>
    <n v="70406.34"/>
    <s v="5 Series"/>
    <x v="1"/>
    <x v="1"/>
    <x v="16"/>
    <n v="0.36"/>
    <x v="0"/>
  </r>
  <r>
    <n v="429"/>
    <x v="0"/>
    <n v="2021"/>
    <x v="7"/>
    <x v="1"/>
    <n v="290515"/>
    <x v="0"/>
    <n v="83929.54"/>
    <s v="Model 3"/>
    <x v="0"/>
    <x v="1"/>
    <x v="20"/>
    <n v="0.28999999999999998"/>
    <x v="0"/>
  </r>
  <r>
    <n v="430"/>
    <x v="2"/>
    <n v="2013"/>
    <x v="12"/>
    <x v="1"/>
    <n v="159950"/>
    <x v="1"/>
    <n v="43837.32"/>
    <s v="Q5"/>
    <x v="1"/>
    <x v="1"/>
    <x v="2"/>
    <n v="0.27"/>
    <x v="0"/>
  </r>
  <r>
    <n v="431"/>
    <x v="2"/>
    <n v="2019"/>
    <x v="13"/>
    <x v="0"/>
    <n v="167229"/>
    <x v="2"/>
    <n v="70814.240000000005"/>
    <s v="A3"/>
    <x v="3"/>
    <x v="1"/>
    <x v="5"/>
    <n v="0.42"/>
    <x v="0"/>
  </r>
  <r>
    <n v="432"/>
    <x v="0"/>
    <n v="2002"/>
    <x v="11"/>
    <x v="0"/>
    <n v="5914"/>
    <x v="1"/>
    <n v="24001.54"/>
    <s v="Model Y"/>
    <x v="0"/>
    <x v="2"/>
    <x v="23"/>
    <n v="4.0599999999999996"/>
    <x v="0"/>
  </r>
  <r>
    <n v="433"/>
    <x v="6"/>
    <n v="2002"/>
    <x v="5"/>
    <x v="1"/>
    <n v="214772"/>
    <x v="2"/>
    <n v="97461.61"/>
    <s v="Prius"/>
    <x v="2"/>
    <x v="1"/>
    <x v="23"/>
    <n v="0.45"/>
    <x v="1"/>
  </r>
  <r>
    <n v="434"/>
    <x v="3"/>
    <n v="2008"/>
    <x v="31"/>
    <x v="0"/>
    <n v="289324"/>
    <x v="1"/>
    <n v="38249.760000000002"/>
    <s v="Fiesta"/>
    <x v="1"/>
    <x v="1"/>
    <x v="22"/>
    <n v="0.13"/>
    <x v="1"/>
  </r>
  <r>
    <n v="435"/>
    <x v="4"/>
    <n v="2005"/>
    <x v="49"/>
    <x v="1"/>
    <n v="227561"/>
    <x v="2"/>
    <n v="85357.36"/>
    <s v="Accord"/>
    <x v="1"/>
    <x v="1"/>
    <x v="14"/>
    <n v="0.38"/>
    <x v="1"/>
  </r>
  <r>
    <n v="436"/>
    <x v="6"/>
    <n v="2012"/>
    <x v="50"/>
    <x v="1"/>
    <n v="187435"/>
    <x v="0"/>
    <n v="94809.81"/>
    <s v="Camry"/>
    <x v="1"/>
    <x v="1"/>
    <x v="15"/>
    <n v="0.51"/>
    <x v="1"/>
  </r>
  <r>
    <n v="437"/>
    <x v="4"/>
    <n v="2020"/>
    <x v="37"/>
    <x v="1"/>
    <n v="95213"/>
    <x v="1"/>
    <n v="87147.83"/>
    <s v="Fit"/>
    <x v="0"/>
    <x v="0"/>
    <x v="6"/>
    <n v="0.92"/>
    <x v="1"/>
  </r>
  <r>
    <n v="438"/>
    <x v="0"/>
    <n v="2001"/>
    <x v="3"/>
    <x v="1"/>
    <n v="37805"/>
    <x v="1"/>
    <n v="11371.43"/>
    <s v="Model S"/>
    <x v="0"/>
    <x v="2"/>
    <x v="10"/>
    <n v="0.3"/>
    <x v="0"/>
  </r>
  <r>
    <n v="439"/>
    <x v="5"/>
    <n v="2007"/>
    <x v="21"/>
    <x v="1"/>
    <n v="126599"/>
    <x v="2"/>
    <n v="66779.179999999993"/>
    <s v="C-Class"/>
    <x v="1"/>
    <x v="0"/>
    <x v="17"/>
    <n v="0.53"/>
    <x v="0"/>
  </r>
  <r>
    <n v="440"/>
    <x v="4"/>
    <n v="2020"/>
    <x v="17"/>
    <x v="1"/>
    <n v="153775"/>
    <x v="2"/>
    <n v="16408.62"/>
    <s v="Civic"/>
    <x v="3"/>
    <x v="1"/>
    <x v="6"/>
    <n v="0.11"/>
    <x v="1"/>
  </r>
  <r>
    <n v="441"/>
    <x v="3"/>
    <n v="2001"/>
    <x v="19"/>
    <x v="0"/>
    <n v="190093"/>
    <x v="1"/>
    <n v="5537.99"/>
    <s v="Mustang"/>
    <x v="2"/>
    <x v="1"/>
    <x v="10"/>
    <n v="0.03"/>
    <x v="1"/>
  </r>
  <r>
    <n v="442"/>
    <x v="5"/>
    <n v="2003"/>
    <x v="29"/>
    <x v="0"/>
    <n v="74176"/>
    <x v="2"/>
    <n v="9919.43"/>
    <s v="GLA"/>
    <x v="2"/>
    <x v="0"/>
    <x v="21"/>
    <n v="0.13"/>
    <x v="0"/>
  </r>
  <r>
    <n v="443"/>
    <x v="4"/>
    <n v="2014"/>
    <x v="46"/>
    <x v="1"/>
    <n v="94799"/>
    <x v="0"/>
    <n v="92034.17"/>
    <s v="Civic"/>
    <x v="1"/>
    <x v="0"/>
    <x v="12"/>
    <n v="0.97"/>
    <x v="1"/>
  </r>
  <r>
    <n v="444"/>
    <x v="0"/>
    <n v="2003"/>
    <x v="29"/>
    <x v="0"/>
    <n v="98385"/>
    <x v="1"/>
    <n v="91304.03"/>
    <s v="Model 3"/>
    <x v="0"/>
    <x v="0"/>
    <x v="21"/>
    <n v="0.93"/>
    <x v="0"/>
  </r>
  <r>
    <n v="445"/>
    <x v="5"/>
    <n v="2012"/>
    <x v="21"/>
    <x v="1"/>
    <n v="235654"/>
    <x v="0"/>
    <n v="26453.32"/>
    <s v="C-Class"/>
    <x v="3"/>
    <x v="1"/>
    <x v="15"/>
    <n v="0.11"/>
    <x v="0"/>
  </r>
  <r>
    <n v="446"/>
    <x v="0"/>
    <n v="2011"/>
    <x v="32"/>
    <x v="0"/>
    <n v="88919"/>
    <x v="1"/>
    <n v="56970.82"/>
    <s v="Model Y"/>
    <x v="0"/>
    <x v="0"/>
    <x v="3"/>
    <n v="0.64"/>
    <x v="0"/>
  </r>
  <r>
    <n v="447"/>
    <x v="4"/>
    <n v="2012"/>
    <x v="7"/>
    <x v="0"/>
    <n v="81462"/>
    <x v="0"/>
    <n v="95727.679999999993"/>
    <s v="Accord"/>
    <x v="1"/>
    <x v="0"/>
    <x v="15"/>
    <n v="1.18"/>
    <x v="1"/>
  </r>
  <r>
    <n v="448"/>
    <x v="0"/>
    <n v="2013"/>
    <x v="8"/>
    <x v="0"/>
    <n v="179340"/>
    <x v="1"/>
    <n v="52187.08"/>
    <s v="Model Y"/>
    <x v="0"/>
    <x v="1"/>
    <x v="2"/>
    <n v="0.28999999999999998"/>
    <x v="0"/>
  </r>
  <r>
    <n v="449"/>
    <x v="3"/>
    <n v="2019"/>
    <x v="30"/>
    <x v="1"/>
    <n v="165320"/>
    <x v="2"/>
    <n v="42389.89"/>
    <s v="Mustang"/>
    <x v="3"/>
    <x v="1"/>
    <x v="5"/>
    <n v="0.26"/>
    <x v="1"/>
  </r>
  <r>
    <n v="450"/>
    <x v="4"/>
    <n v="2017"/>
    <x v="35"/>
    <x v="0"/>
    <n v="31159"/>
    <x v="1"/>
    <n v="50908.63"/>
    <s v="CR-V"/>
    <x v="3"/>
    <x v="2"/>
    <x v="7"/>
    <n v="1.63"/>
    <x v="1"/>
  </r>
  <r>
    <n v="451"/>
    <x v="4"/>
    <n v="2005"/>
    <x v="30"/>
    <x v="1"/>
    <n v="42039"/>
    <x v="0"/>
    <n v="80070.5"/>
    <s v="Fit"/>
    <x v="2"/>
    <x v="2"/>
    <x v="14"/>
    <n v="1.9"/>
    <x v="1"/>
  </r>
  <r>
    <n v="452"/>
    <x v="4"/>
    <n v="2010"/>
    <x v="28"/>
    <x v="1"/>
    <n v="232974"/>
    <x v="1"/>
    <n v="50341.38"/>
    <s v="Civic"/>
    <x v="3"/>
    <x v="1"/>
    <x v="9"/>
    <n v="0.22"/>
    <x v="1"/>
  </r>
  <r>
    <n v="453"/>
    <x v="6"/>
    <n v="2001"/>
    <x v="28"/>
    <x v="1"/>
    <n v="47800"/>
    <x v="0"/>
    <n v="79411.38"/>
    <s v="Camry"/>
    <x v="3"/>
    <x v="2"/>
    <x v="10"/>
    <n v="1.66"/>
    <x v="1"/>
  </r>
  <r>
    <n v="454"/>
    <x v="6"/>
    <n v="2022"/>
    <x v="17"/>
    <x v="0"/>
    <n v="94626"/>
    <x v="0"/>
    <n v="46011.26"/>
    <s v="Corolla"/>
    <x v="1"/>
    <x v="0"/>
    <x v="13"/>
    <n v="0.49"/>
    <x v="1"/>
  </r>
  <r>
    <n v="455"/>
    <x v="6"/>
    <n v="2018"/>
    <x v="0"/>
    <x v="0"/>
    <n v="118368"/>
    <x v="0"/>
    <n v="28940.54"/>
    <s v="RAV4"/>
    <x v="3"/>
    <x v="0"/>
    <x v="1"/>
    <n v="0.24"/>
    <x v="1"/>
  </r>
  <r>
    <n v="456"/>
    <x v="3"/>
    <n v="2018"/>
    <x v="9"/>
    <x v="0"/>
    <n v="174735"/>
    <x v="2"/>
    <n v="36014.910000000003"/>
    <s v="Explorer"/>
    <x v="2"/>
    <x v="1"/>
    <x v="1"/>
    <n v="0.21"/>
    <x v="1"/>
  </r>
  <r>
    <n v="457"/>
    <x v="5"/>
    <n v="2004"/>
    <x v="10"/>
    <x v="1"/>
    <n v="80903"/>
    <x v="1"/>
    <n v="12393.23"/>
    <s v="C-Class"/>
    <x v="1"/>
    <x v="0"/>
    <x v="19"/>
    <n v="0.15"/>
    <x v="0"/>
  </r>
  <r>
    <n v="458"/>
    <x v="0"/>
    <n v="2018"/>
    <x v="47"/>
    <x v="1"/>
    <n v="118998"/>
    <x v="0"/>
    <n v="52251.21"/>
    <s v="Model X"/>
    <x v="0"/>
    <x v="0"/>
    <x v="1"/>
    <n v="0.44"/>
    <x v="0"/>
  </r>
  <r>
    <n v="459"/>
    <x v="2"/>
    <n v="2001"/>
    <x v="21"/>
    <x v="0"/>
    <n v="241324"/>
    <x v="2"/>
    <n v="19070.54"/>
    <s v="Q5"/>
    <x v="0"/>
    <x v="1"/>
    <x v="10"/>
    <n v="0.08"/>
    <x v="0"/>
  </r>
  <r>
    <n v="460"/>
    <x v="4"/>
    <n v="2009"/>
    <x v="43"/>
    <x v="1"/>
    <n v="233229"/>
    <x v="0"/>
    <n v="82096.97"/>
    <s v="Accord"/>
    <x v="2"/>
    <x v="1"/>
    <x v="4"/>
    <n v="0.35"/>
    <x v="1"/>
  </r>
  <r>
    <n v="461"/>
    <x v="0"/>
    <n v="2001"/>
    <x v="18"/>
    <x v="0"/>
    <n v="61748"/>
    <x v="1"/>
    <n v="44956.1"/>
    <s v="Model S"/>
    <x v="0"/>
    <x v="0"/>
    <x v="10"/>
    <n v="0.73"/>
    <x v="0"/>
  </r>
  <r>
    <n v="462"/>
    <x v="4"/>
    <n v="2010"/>
    <x v="23"/>
    <x v="0"/>
    <n v="41190"/>
    <x v="2"/>
    <n v="77675.22"/>
    <s v="CR-V"/>
    <x v="1"/>
    <x v="2"/>
    <x v="9"/>
    <n v="1.89"/>
    <x v="1"/>
  </r>
  <r>
    <n v="463"/>
    <x v="3"/>
    <n v="2017"/>
    <x v="5"/>
    <x v="0"/>
    <n v="40318"/>
    <x v="0"/>
    <n v="95673.74"/>
    <s v="Explorer"/>
    <x v="3"/>
    <x v="2"/>
    <x v="7"/>
    <n v="2.37"/>
    <x v="1"/>
  </r>
  <r>
    <n v="464"/>
    <x v="4"/>
    <n v="2023"/>
    <x v="31"/>
    <x v="0"/>
    <n v="168090"/>
    <x v="0"/>
    <n v="85700.41"/>
    <s v="Accord"/>
    <x v="2"/>
    <x v="1"/>
    <x v="8"/>
    <n v="0.51"/>
    <x v="1"/>
  </r>
  <r>
    <n v="465"/>
    <x v="6"/>
    <n v="2014"/>
    <x v="4"/>
    <x v="1"/>
    <n v="124078"/>
    <x v="0"/>
    <n v="95389.05"/>
    <s v="Camry"/>
    <x v="1"/>
    <x v="0"/>
    <x v="12"/>
    <n v="0.77"/>
    <x v="1"/>
  </r>
  <r>
    <n v="466"/>
    <x v="2"/>
    <n v="2008"/>
    <x v="41"/>
    <x v="0"/>
    <n v="39759"/>
    <x v="1"/>
    <n v="58953.97"/>
    <s v="Q7"/>
    <x v="0"/>
    <x v="2"/>
    <x v="22"/>
    <n v="1.48"/>
    <x v="0"/>
  </r>
  <r>
    <n v="467"/>
    <x v="1"/>
    <n v="2022"/>
    <x v="27"/>
    <x v="0"/>
    <n v="278642"/>
    <x v="2"/>
    <n v="20705.82"/>
    <s v="X3"/>
    <x v="1"/>
    <x v="1"/>
    <x v="13"/>
    <n v="7.0000000000000007E-2"/>
    <x v="0"/>
  </r>
  <r>
    <n v="468"/>
    <x v="4"/>
    <n v="2018"/>
    <x v="44"/>
    <x v="0"/>
    <n v="25989"/>
    <x v="2"/>
    <n v="93862.62"/>
    <s v="Accord"/>
    <x v="1"/>
    <x v="2"/>
    <x v="1"/>
    <n v="3.61"/>
    <x v="1"/>
  </r>
  <r>
    <n v="469"/>
    <x v="0"/>
    <n v="2008"/>
    <x v="0"/>
    <x v="0"/>
    <n v="156640"/>
    <x v="2"/>
    <n v="87507.92"/>
    <s v="Model X"/>
    <x v="0"/>
    <x v="1"/>
    <x v="22"/>
    <n v="0.56000000000000005"/>
    <x v="0"/>
  </r>
  <r>
    <n v="470"/>
    <x v="6"/>
    <n v="2002"/>
    <x v="36"/>
    <x v="0"/>
    <n v="161171"/>
    <x v="0"/>
    <n v="87119.23"/>
    <s v="Corolla"/>
    <x v="2"/>
    <x v="1"/>
    <x v="23"/>
    <n v="0.54"/>
    <x v="1"/>
  </r>
  <r>
    <n v="471"/>
    <x v="1"/>
    <n v="2020"/>
    <x v="1"/>
    <x v="0"/>
    <n v="285626"/>
    <x v="2"/>
    <n v="70861.070000000007"/>
    <s v="3 Series"/>
    <x v="0"/>
    <x v="1"/>
    <x v="6"/>
    <n v="0.25"/>
    <x v="0"/>
  </r>
  <r>
    <n v="472"/>
    <x v="2"/>
    <n v="2008"/>
    <x v="29"/>
    <x v="0"/>
    <n v="292192"/>
    <x v="0"/>
    <n v="64367.040000000001"/>
    <s v="Q7"/>
    <x v="1"/>
    <x v="1"/>
    <x v="22"/>
    <n v="0.22"/>
    <x v="0"/>
  </r>
  <r>
    <n v="473"/>
    <x v="1"/>
    <n v="2013"/>
    <x v="28"/>
    <x v="1"/>
    <n v="35814"/>
    <x v="1"/>
    <n v="6398.77"/>
    <s v="X5"/>
    <x v="2"/>
    <x v="2"/>
    <x v="2"/>
    <n v="0.18"/>
    <x v="0"/>
  </r>
  <r>
    <n v="474"/>
    <x v="6"/>
    <n v="2018"/>
    <x v="31"/>
    <x v="1"/>
    <n v="190766"/>
    <x v="2"/>
    <n v="76065.14"/>
    <s v="Corolla"/>
    <x v="2"/>
    <x v="1"/>
    <x v="1"/>
    <n v="0.4"/>
    <x v="1"/>
  </r>
  <r>
    <n v="475"/>
    <x v="5"/>
    <n v="2006"/>
    <x v="47"/>
    <x v="1"/>
    <n v="60204"/>
    <x v="0"/>
    <n v="13695.84"/>
    <s v="E-Class"/>
    <x v="1"/>
    <x v="0"/>
    <x v="11"/>
    <n v="0.23"/>
    <x v="0"/>
  </r>
  <r>
    <n v="476"/>
    <x v="5"/>
    <n v="2015"/>
    <x v="46"/>
    <x v="1"/>
    <n v="32844"/>
    <x v="2"/>
    <n v="29676.34"/>
    <s v="GLA"/>
    <x v="2"/>
    <x v="2"/>
    <x v="16"/>
    <n v="0.9"/>
    <x v="0"/>
  </r>
  <r>
    <n v="477"/>
    <x v="1"/>
    <n v="2015"/>
    <x v="7"/>
    <x v="0"/>
    <n v="248827"/>
    <x v="2"/>
    <n v="57391.58"/>
    <s v="X3"/>
    <x v="1"/>
    <x v="1"/>
    <x v="16"/>
    <n v="0.23"/>
    <x v="0"/>
  </r>
  <r>
    <n v="478"/>
    <x v="3"/>
    <n v="2000"/>
    <x v="10"/>
    <x v="1"/>
    <n v="245256"/>
    <x v="1"/>
    <n v="47914.6"/>
    <s v="Fiesta"/>
    <x v="1"/>
    <x v="1"/>
    <x v="18"/>
    <n v="0.2"/>
    <x v="1"/>
  </r>
  <r>
    <n v="479"/>
    <x v="0"/>
    <n v="2003"/>
    <x v="30"/>
    <x v="1"/>
    <n v="21518"/>
    <x v="2"/>
    <n v="6498.57"/>
    <s v="Model X"/>
    <x v="0"/>
    <x v="2"/>
    <x v="21"/>
    <n v="0.3"/>
    <x v="0"/>
  </r>
  <r>
    <n v="480"/>
    <x v="0"/>
    <n v="2003"/>
    <x v="48"/>
    <x v="1"/>
    <n v="23052"/>
    <x v="1"/>
    <n v="83278.58"/>
    <s v="Model S"/>
    <x v="0"/>
    <x v="2"/>
    <x v="21"/>
    <n v="3.61"/>
    <x v="0"/>
  </r>
  <r>
    <n v="481"/>
    <x v="1"/>
    <n v="2006"/>
    <x v="41"/>
    <x v="0"/>
    <n v="256346"/>
    <x v="2"/>
    <n v="88486.09"/>
    <s v="X3"/>
    <x v="1"/>
    <x v="1"/>
    <x v="11"/>
    <n v="0.35"/>
    <x v="0"/>
  </r>
  <r>
    <n v="482"/>
    <x v="4"/>
    <n v="2007"/>
    <x v="45"/>
    <x v="1"/>
    <n v="69803"/>
    <x v="2"/>
    <n v="69777.929999999993"/>
    <s v="Fit"/>
    <x v="3"/>
    <x v="0"/>
    <x v="17"/>
    <n v="1"/>
    <x v="1"/>
  </r>
  <r>
    <n v="483"/>
    <x v="4"/>
    <n v="2016"/>
    <x v="31"/>
    <x v="1"/>
    <n v="71524"/>
    <x v="2"/>
    <n v="56401.45"/>
    <s v="Accord"/>
    <x v="2"/>
    <x v="0"/>
    <x v="0"/>
    <n v="0.79"/>
    <x v="1"/>
  </r>
  <r>
    <n v="484"/>
    <x v="0"/>
    <n v="2004"/>
    <x v="47"/>
    <x v="0"/>
    <n v="224582"/>
    <x v="2"/>
    <n v="96270.09"/>
    <s v="Model X"/>
    <x v="0"/>
    <x v="1"/>
    <x v="19"/>
    <n v="0.43"/>
    <x v="0"/>
  </r>
  <r>
    <n v="485"/>
    <x v="0"/>
    <n v="2006"/>
    <x v="14"/>
    <x v="1"/>
    <n v="67021"/>
    <x v="2"/>
    <n v="16395.84"/>
    <s v="Model 3"/>
    <x v="0"/>
    <x v="0"/>
    <x v="11"/>
    <n v="0.24"/>
    <x v="0"/>
  </r>
  <r>
    <n v="486"/>
    <x v="5"/>
    <n v="2019"/>
    <x v="42"/>
    <x v="0"/>
    <n v="211321"/>
    <x v="2"/>
    <n v="75101.460000000006"/>
    <s v="GLA"/>
    <x v="0"/>
    <x v="1"/>
    <x v="5"/>
    <n v="0.36"/>
    <x v="0"/>
  </r>
  <r>
    <n v="487"/>
    <x v="3"/>
    <n v="2019"/>
    <x v="47"/>
    <x v="1"/>
    <n v="282187"/>
    <x v="1"/>
    <n v="17194.259999999998"/>
    <s v="Explorer"/>
    <x v="3"/>
    <x v="1"/>
    <x v="5"/>
    <n v="0.06"/>
    <x v="1"/>
  </r>
  <r>
    <n v="488"/>
    <x v="6"/>
    <n v="2003"/>
    <x v="3"/>
    <x v="0"/>
    <n v="2419"/>
    <x v="1"/>
    <n v="41275.26"/>
    <s v="Prius"/>
    <x v="0"/>
    <x v="2"/>
    <x v="21"/>
    <n v="17.059999999999999"/>
    <x v="1"/>
  </r>
  <r>
    <n v="489"/>
    <x v="4"/>
    <n v="2005"/>
    <x v="5"/>
    <x v="1"/>
    <n v="187964"/>
    <x v="0"/>
    <n v="60621.03"/>
    <s v="Civic"/>
    <x v="0"/>
    <x v="1"/>
    <x v="14"/>
    <n v="0.32"/>
    <x v="1"/>
  </r>
  <r>
    <n v="490"/>
    <x v="0"/>
    <n v="2006"/>
    <x v="48"/>
    <x v="1"/>
    <n v="121831"/>
    <x v="2"/>
    <n v="75023.33"/>
    <s v="Model S"/>
    <x v="0"/>
    <x v="0"/>
    <x v="11"/>
    <n v="0.62"/>
    <x v="0"/>
  </r>
  <r>
    <n v="491"/>
    <x v="5"/>
    <n v="2017"/>
    <x v="30"/>
    <x v="1"/>
    <n v="244688"/>
    <x v="1"/>
    <n v="5353.03"/>
    <s v="GLA"/>
    <x v="2"/>
    <x v="1"/>
    <x v="7"/>
    <n v="0.02"/>
    <x v="0"/>
  </r>
  <r>
    <n v="492"/>
    <x v="2"/>
    <n v="2004"/>
    <x v="17"/>
    <x v="0"/>
    <n v="101799"/>
    <x v="2"/>
    <n v="29756.799999999999"/>
    <s v="Q5"/>
    <x v="1"/>
    <x v="0"/>
    <x v="19"/>
    <n v="0.28999999999999998"/>
    <x v="0"/>
  </r>
  <r>
    <n v="493"/>
    <x v="5"/>
    <n v="2019"/>
    <x v="41"/>
    <x v="1"/>
    <n v="194941"/>
    <x v="2"/>
    <n v="56129.04"/>
    <s v="GLA"/>
    <x v="2"/>
    <x v="1"/>
    <x v="5"/>
    <n v="0.28999999999999998"/>
    <x v="0"/>
  </r>
  <r>
    <n v="494"/>
    <x v="4"/>
    <n v="2002"/>
    <x v="32"/>
    <x v="0"/>
    <n v="176282"/>
    <x v="1"/>
    <n v="55623"/>
    <s v="Fit"/>
    <x v="1"/>
    <x v="1"/>
    <x v="23"/>
    <n v="0.32"/>
    <x v="1"/>
  </r>
  <r>
    <n v="495"/>
    <x v="4"/>
    <n v="2006"/>
    <x v="29"/>
    <x v="0"/>
    <n v="108611"/>
    <x v="2"/>
    <n v="65574.509999999995"/>
    <s v="Civic"/>
    <x v="2"/>
    <x v="0"/>
    <x v="11"/>
    <n v="0.6"/>
    <x v="1"/>
  </r>
  <r>
    <n v="496"/>
    <x v="5"/>
    <n v="2021"/>
    <x v="40"/>
    <x v="0"/>
    <n v="137559"/>
    <x v="1"/>
    <n v="33866.089999999997"/>
    <s v="C-Class"/>
    <x v="3"/>
    <x v="0"/>
    <x v="20"/>
    <n v="0.25"/>
    <x v="0"/>
  </r>
  <r>
    <n v="497"/>
    <x v="6"/>
    <n v="2013"/>
    <x v="17"/>
    <x v="0"/>
    <n v="62112"/>
    <x v="1"/>
    <n v="56350.28"/>
    <s v="Corolla"/>
    <x v="3"/>
    <x v="0"/>
    <x v="2"/>
    <n v="0.91"/>
    <x v="1"/>
  </r>
  <r>
    <n v="498"/>
    <x v="1"/>
    <n v="2006"/>
    <x v="25"/>
    <x v="1"/>
    <n v="239040"/>
    <x v="0"/>
    <n v="23029.74"/>
    <s v="5 Series"/>
    <x v="0"/>
    <x v="1"/>
    <x v="11"/>
    <n v="0.1"/>
    <x v="0"/>
  </r>
  <r>
    <n v="499"/>
    <x v="4"/>
    <n v="2004"/>
    <x v="14"/>
    <x v="1"/>
    <n v="278504"/>
    <x v="0"/>
    <n v="22752.86"/>
    <s v="CR-V"/>
    <x v="3"/>
    <x v="1"/>
    <x v="19"/>
    <n v="0.08"/>
    <x v="1"/>
  </r>
  <r>
    <n v="500"/>
    <x v="5"/>
    <n v="2021"/>
    <x v="38"/>
    <x v="1"/>
    <n v="233451"/>
    <x v="0"/>
    <n v="59773.58"/>
    <s v="GLA"/>
    <x v="0"/>
    <x v="1"/>
    <x v="20"/>
    <n v="0.26"/>
    <x v="0"/>
  </r>
  <r>
    <n v="501"/>
    <x v="0"/>
    <n v="2004"/>
    <x v="39"/>
    <x v="0"/>
    <n v="221490"/>
    <x v="0"/>
    <n v="70119.899999999994"/>
    <s v="Model X"/>
    <x v="0"/>
    <x v="1"/>
    <x v="19"/>
    <n v="0.32"/>
    <x v="0"/>
  </r>
  <r>
    <n v="502"/>
    <x v="5"/>
    <n v="2022"/>
    <x v="7"/>
    <x v="1"/>
    <n v="265161"/>
    <x v="2"/>
    <n v="16438"/>
    <s v="GLA"/>
    <x v="3"/>
    <x v="1"/>
    <x v="13"/>
    <n v="0.06"/>
    <x v="0"/>
  </r>
  <r>
    <n v="503"/>
    <x v="3"/>
    <n v="2001"/>
    <x v="4"/>
    <x v="0"/>
    <n v="191196"/>
    <x v="2"/>
    <n v="16665.04"/>
    <s v="Mustang"/>
    <x v="1"/>
    <x v="1"/>
    <x v="10"/>
    <n v="0.09"/>
    <x v="1"/>
  </r>
  <r>
    <n v="504"/>
    <x v="1"/>
    <n v="2020"/>
    <x v="33"/>
    <x v="0"/>
    <n v="247418"/>
    <x v="0"/>
    <n v="58703.76"/>
    <s v="5 Series"/>
    <x v="2"/>
    <x v="1"/>
    <x v="6"/>
    <n v="0.24"/>
    <x v="0"/>
  </r>
  <r>
    <n v="505"/>
    <x v="2"/>
    <n v="2021"/>
    <x v="19"/>
    <x v="0"/>
    <n v="221370"/>
    <x v="1"/>
    <n v="30659.1"/>
    <s v="Q7"/>
    <x v="1"/>
    <x v="1"/>
    <x v="20"/>
    <n v="0.14000000000000001"/>
    <x v="0"/>
  </r>
  <r>
    <n v="506"/>
    <x v="6"/>
    <n v="2005"/>
    <x v="21"/>
    <x v="1"/>
    <n v="189340"/>
    <x v="1"/>
    <n v="42277.91"/>
    <s v="Corolla"/>
    <x v="2"/>
    <x v="1"/>
    <x v="14"/>
    <n v="0.22"/>
    <x v="1"/>
  </r>
  <r>
    <n v="507"/>
    <x v="2"/>
    <n v="2014"/>
    <x v="12"/>
    <x v="1"/>
    <n v="66320"/>
    <x v="1"/>
    <n v="43071.1"/>
    <s v="A3"/>
    <x v="1"/>
    <x v="0"/>
    <x v="12"/>
    <n v="0.65"/>
    <x v="0"/>
  </r>
  <r>
    <n v="508"/>
    <x v="1"/>
    <n v="2020"/>
    <x v="35"/>
    <x v="0"/>
    <n v="235067"/>
    <x v="1"/>
    <n v="21962.52"/>
    <s v="X3"/>
    <x v="1"/>
    <x v="1"/>
    <x v="6"/>
    <n v="0.09"/>
    <x v="0"/>
  </r>
  <r>
    <n v="509"/>
    <x v="1"/>
    <n v="2009"/>
    <x v="13"/>
    <x v="1"/>
    <n v="212373"/>
    <x v="2"/>
    <n v="5124.8900000000003"/>
    <s v="3 Series"/>
    <x v="3"/>
    <x v="1"/>
    <x v="4"/>
    <n v="0.02"/>
    <x v="0"/>
  </r>
  <r>
    <n v="510"/>
    <x v="1"/>
    <n v="2022"/>
    <x v="48"/>
    <x v="1"/>
    <n v="293271"/>
    <x v="1"/>
    <n v="86049.42"/>
    <s v="5 Series"/>
    <x v="1"/>
    <x v="1"/>
    <x v="13"/>
    <n v="0.28999999999999998"/>
    <x v="0"/>
  </r>
  <r>
    <n v="511"/>
    <x v="2"/>
    <n v="2023"/>
    <x v="11"/>
    <x v="0"/>
    <n v="180786"/>
    <x v="1"/>
    <n v="72925.19"/>
    <s v="Q7"/>
    <x v="3"/>
    <x v="1"/>
    <x v="8"/>
    <n v="0.4"/>
    <x v="0"/>
  </r>
  <r>
    <n v="512"/>
    <x v="0"/>
    <n v="2006"/>
    <x v="42"/>
    <x v="0"/>
    <n v="294065"/>
    <x v="0"/>
    <n v="70601.16"/>
    <s v="Model 3"/>
    <x v="0"/>
    <x v="1"/>
    <x v="11"/>
    <n v="0.24"/>
    <x v="0"/>
  </r>
  <r>
    <n v="513"/>
    <x v="1"/>
    <n v="2004"/>
    <x v="48"/>
    <x v="1"/>
    <n v="266890"/>
    <x v="1"/>
    <n v="56917.99"/>
    <s v="3 Series"/>
    <x v="0"/>
    <x v="1"/>
    <x v="19"/>
    <n v="0.21"/>
    <x v="0"/>
  </r>
  <r>
    <n v="514"/>
    <x v="5"/>
    <n v="2000"/>
    <x v="19"/>
    <x v="0"/>
    <n v="65350"/>
    <x v="2"/>
    <n v="71592.12"/>
    <s v="E-Class"/>
    <x v="0"/>
    <x v="0"/>
    <x v="18"/>
    <n v="1.1000000000000001"/>
    <x v="0"/>
  </r>
  <r>
    <n v="515"/>
    <x v="2"/>
    <n v="2012"/>
    <x v="36"/>
    <x v="0"/>
    <n v="181417"/>
    <x v="1"/>
    <n v="93890.4"/>
    <s v="A4"/>
    <x v="2"/>
    <x v="1"/>
    <x v="15"/>
    <n v="0.52"/>
    <x v="0"/>
  </r>
  <r>
    <n v="516"/>
    <x v="1"/>
    <n v="2020"/>
    <x v="7"/>
    <x v="1"/>
    <n v="240678"/>
    <x v="1"/>
    <n v="68239"/>
    <s v="X5"/>
    <x v="1"/>
    <x v="1"/>
    <x v="6"/>
    <n v="0.28000000000000003"/>
    <x v="0"/>
  </r>
  <r>
    <n v="517"/>
    <x v="5"/>
    <n v="2017"/>
    <x v="15"/>
    <x v="1"/>
    <n v="22063"/>
    <x v="2"/>
    <n v="30183.68"/>
    <s v="GLA"/>
    <x v="2"/>
    <x v="2"/>
    <x v="7"/>
    <n v="1.37"/>
    <x v="0"/>
  </r>
  <r>
    <n v="518"/>
    <x v="0"/>
    <n v="2012"/>
    <x v="4"/>
    <x v="0"/>
    <n v="117116"/>
    <x v="0"/>
    <n v="59203.199999999997"/>
    <s v="Model X"/>
    <x v="0"/>
    <x v="0"/>
    <x v="15"/>
    <n v="0.51"/>
    <x v="0"/>
  </r>
  <r>
    <n v="519"/>
    <x v="3"/>
    <n v="2020"/>
    <x v="17"/>
    <x v="1"/>
    <n v="177043"/>
    <x v="2"/>
    <n v="47020.82"/>
    <s v="Fiesta"/>
    <x v="0"/>
    <x v="1"/>
    <x v="6"/>
    <n v="0.27"/>
    <x v="1"/>
  </r>
  <r>
    <n v="520"/>
    <x v="0"/>
    <n v="2020"/>
    <x v="43"/>
    <x v="0"/>
    <n v="134670"/>
    <x v="0"/>
    <n v="57859.82"/>
    <s v="Model Y"/>
    <x v="0"/>
    <x v="0"/>
    <x v="6"/>
    <n v="0.43"/>
    <x v="0"/>
  </r>
  <r>
    <n v="521"/>
    <x v="1"/>
    <n v="2017"/>
    <x v="44"/>
    <x v="0"/>
    <n v="10564"/>
    <x v="1"/>
    <n v="54173"/>
    <s v="5 Series"/>
    <x v="1"/>
    <x v="2"/>
    <x v="7"/>
    <n v="5.13"/>
    <x v="0"/>
  </r>
  <r>
    <n v="522"/>
    <x v="2"/>
    <n v="2004"/>
    <x v="13"/>
    <x v="1"/>
    <n v="242124"/>
    <x v="0"/>
    <n v="86583.65"/>
    <s v="A4"/>
    <x v="1"/>
    <x v="1"/>
    <x v="19"/>
    <n v="0.36"/>
    <x v="0"/>
  </r>
  <r>
    <n v="523"/>
    <x v="4"/>
    <n v="2012"/>
    <x v="18"/>
    <x v="0"/>
    <n v="227506"/>
    <x v="0"/>
    <n v="66921.009999999995"/>
    <s v="CR-V"/>
    <x v="0"/>
    <x v="1"/>
    <x v="15"/>
    <n v="0.28999999999999998"/>
    <x v="1"/>
  </r>
  <r>
    <n v="524"/>
    <x v="1"/>
    <n v="2003"/>
    <x v="20"/>
    <x v="0"/>
    <n v="86134"/>
    <x v="0"/>
    <n v="22932.06"/>
    <s v="3 Series"/>
    <x v="0"/>
    <x v="0"/>
    <x v="21"/>
    <n v="0.27"/>
    <x v="0"/>
  </r>
  <r>
    <n v="525"/>
    <x v="4"/>
    <n v="2016"/>
    <x v="45"/>
    <x v="0"/>
    <n v="105940"/>
    <x v="1"/>
    <n v="10986.59"/>
    <s v="Accord"/>
    <x v="2"/>
    <x v="0"/>
    <x v="0"/>
    <n v="0.1"/>
    <x v="1"/>
  </r>
  <r>
    <n v="526"/>
    <x v="5"/>
    <n v="2002"/>
    <x v="14"/>
    <x v="1"/>
    <n v="62085"/>
    <x v="0"/>
    <n v="45314.559999999998"/>
    <s v="E-Class"/>
    <x v="0"/>
    <x v="0"/>
    <x v="23"/>
    <n v="0.73"/>
    <x v="0"/>
  </r>
  <r>
    <n v="527"/>
    <x v="3"/>
    <n v="2016"/>
    <x v="48"/>
    <x v="1"/>
    <n v="17862"/>
    <x v="0"/>
    <n v="6483.01"/>
    <s v="Focus"/>
    <x v="1"/>
    <x v="2"/>
    <x v="0"/>
    <n v="0.36"/>
    <x v="1"/>
  </r>
  <r>
    <n v="528"/>
    <x v="6"/>
    <n v="2010"/>
    <x v="26"/>
    <x v="1"/>
    <n v="272409"/>
    <x v="1"/>
    <n v="35238.25"/>
    <s v="RAV4"/>
    <x v="2"/>
    <x v="1"/>
    <x v="9"/>
    <n v="0.13"/>
    <x v="1"/>
  </r>
  <r>
    <n v="529"/>
    <x v="0"/>
    <n v="2020"/>
    <x v="28"/>
    <x v="0"/>
    <n v="140777"/>
    <x v="2"/>
    <n v="39962.04"/>
    <s v="Model Y"/>
    <x v="0"/>
    <x v="0"/>
    <x v="6"/>
    <n v="0.28000000000000003"/>
    <x v="0"/>
  </r>
  <r>
    <n v="530"/>
    <x v="3"/>
    <n v="2019"/>
    <x v="45"/>
    <x v="0"/>
    <n v="186351"/>
    <x v="2"/>
    <n v="40680.94"/>
    <s v="Explorer"/>
    <x v="3"/>
    <x v="1"/>
    <x v="5"/>
    <n v="0.22"/>
    <x v="1"/>
  </r>
  <r>
    <n v="531"/>
    <x v="1"/>
    <n v="2022"/>
    <x v="35"/>
    <x v="1"/>
    <n v="62471"/>
    <x v="2"/>
    <n v="98038.25"/>
    <s v="X3"/>
    <x v="2"/>
    <x v="0"/>
    <x v="13"/>
    <n v="1.57"/>
    <x v="0"/>
  </r>
  <r>
    <n v="532"/>
    <x v="4"/>
    <n v="2020"/>
    <x v="38"/>
    <x v="1"/>
    <n v="91080"/>
    <x v="1"/>
    <n v="33870.58"/>
    <s v="Civic"/>
    <x v="1"/>
    <x v="0"/>
    <x v="6"/>
    <n v="0.37"/>
    <x v="1"/>
  </r>
  <r>
    <n v="533"/>
    <x v="0"/>
    <n v="2003"/>
    <x v="47"/>
    <x v="1"/>
    <n v="108007"/>
    <x v="1"/>
    <n v="30196.61"/>
    <s v="Model X"/>
    <x v="0"/>
    <x v="0"/>
    <x v="21"/>
    <n v="0.28000000000000003"/>
    <x v="0"/>
  </r>
  <r>
    <n v="534"/>
    <x v="4"/>
    <n v="2001"/>
    <x v="14"/>
    <x v="0"/>
    <n v="46104"/>
    <x v="2"/>
    <n v="17291.189999999999"/>
    <s v="Accord"/>
    <x v="3"/>
    <x v="2"/>
    <x v="10"/>
    <n v="0.38"/>
    <x v="1"/>
  </r>
  <r>
    <n v="535"/>
    <x v="2"/>
    <n v="2019"/>
    <x v="20"/>
    <x v="1"/>
    <n v="40934"/>
    <x v="0"/>
    <n v="53545.84"/>
    <s v="A4"/>
    <x v="1"/>
    <x v="2"/>
    <x v="5"/>
    <n v="1.31"/>
    <x v="0"/>
  </r>
  <r>
    <n v="536"/>
    <x v="4"/>
    <n v="2015"/>
    <x v="5"/>
    <x v="0"/>
    <n v="254606"/>
    <x v="2"/>
    <n v="19599.060000000001"/>
    <s v="Fit"/>
    <x v="2"/>
    <x v="1"/>
    <x v="16"/>
    <n v="0.08"/>
    <x v="1"/>
  </r>
  <r>
    <n v="537"/>
    <x v="2"/>
    <n v="2017"/>
    <x v="28"/>
    <x v="1"/>
    <n v="6050"/>
    <x v="1"/>
    <n v="63548"/>
    <s v="A3"/>
    <x v="1"/>
    <x v="2"/>
    <x v="7"/>
    <n v="10.5"/>
    <x v="0"/>
  </r>
  <r>
    <n v="538"/>
    <x v="5"/>
    <n v="2007"/>
    <x v="20"/>
    <x v="0"/>
    <n v="175024"/>
    <x v="0"/>
    <n v="19740.18"/>
    <s v="E-Class"/>
    <x v="3"/>
    <x v="1"/>
    <x v="17"/>
    <n v="0.11"/>
    <x v="0"/>
  </r>
  <r>
    <n v="539"/>
    <x v="0"/>
    <n v="2002"/>
    <x v="32"/>
    <x v="0"/>
    <n v="270628"/>
    <x v="0"/>
    <n v="59783.97"/>
    <s v="Model X"/>
    <x v="0"/>
    <x v="1"/>
    <x v="23"/>
    <n v="0.22"/>
    <x v="0"/>
  </r>
  <r>
    <n v="540"/>
    <x v="0"/>
    <n v="2008"/>
    <x v="5"/>
    <x v="1"/>
    <n v="184750"/>
    <x v="1"/>
    <n v="83495.58"/>
    <s v="Model S"/>
    <x v="0"/>
    <x v="1"/>
    <x v="22"/>
    <n v="0.45"/>
    <x v="0"/>
  </r>
  <r>
    <n v="541"/>
    <x v="6"/>
    <n v="2019"/>
    <x v="24"/>
    <x v="0"/>
    <n v="31323"/>
    <x v="0"/>
    <n v="9039.84"/>
    <s v="RAV4"/>
    <x v="1"/>
    <x v="2"/>
    <x v="5"/>
    <n v="0.28999999999999998"/>
    <x v="1"/>
  </r>
  <r>
    <n v="542"/>
    <x v="1"/>
    <n v="2005"/>
    <x v="18"/>
    <x v="1"/>
    <n v="86332"/>
    <x v="2"/>
    <n v="44875.96"/>
    <s v="5 Series"/>
    <x v="0"/>
    <x v="0"/>
    <x v="14"/>
    <n v="0.52"/>
    <x v="0"/>
  </r>
  <r>
    <n v="543"/>
    <x v="2"/>
    <n v="2009"/>
    <x v="14"/>
    <x v="0"/>
    <n v="255540"/>
    <x v="1"/>
    <n v="48799.65"/>
    <s v="A3"/>
    <x v="0"/>
    <x v="1"/>
    <x v="4"/>
    <n v="0.19"/>
    <x v="0"/>
  </r>
  <r>
    <n v="544"/>
    <x v="6"/>
    <n v="2020"/>
    <x v="47"/>
    <x v="0"/>
    <n v="254547"/>
    <x v="1"/>
    <n v="80151.850000000006"/>
    <s v="Prius"/>
    <x v="1"/>
    <x v="1"/>
    <x v="6"/>
    <n v="0.31"/>
    <x v="1"/>
  </r>
  <r>
    <n v="545"/>
    <x v="4"/>
    <n v="2009"/>
    <x v="35"/>
    <x v="1"/>
    <n v="272459"/>
    <x v="1"/>
    <n v="49451.99"/>
    <s v="CR-V"/>
    <x v="1"/>
    <x v="1"/>
    <x v="4"/>
    <n v="0.18"/>
    <x v="1"/>
  </r>
  <r>
    <n v="546"/>
    <x v="4"/>
    <n v="2012"/>
    <x v="31"/>
    <x v="0"/>
    <n v="157591"/>
    <x v="1"/>
    <n v="58915.9"/>
    <s v="Accord"/>
    <x v="1"/>
    <x v="1"/>
    <x v="15"/>
    <n v="0.37"/>
    <x v="1"/>
  </r>
  <r>
    <n v="547"/>
    <x v="6"/>
    <n v="2016"/>
    <x v="36"/>
    <x v="1"/>
    <n v="271251"/>
    <x v="0"/>
    <n v="80164.399999999994"/>
    <s v="Prius"/>
    <x v="2"/>
    <x v="1"/>
    <x v="0"/>
    <n v="0.3"/>
    <x v="1"/>
  </r>
  <r>
    <n v="548"/>
    <x v="0"/>
    <n v="2008"/>
    <x v="30"/>
    <x v="1"/>
    <n v="55781"/>
    <x v="1"/>
    <n v="58177.06"/>
    <s v="Model S"/>
    <x v="0"/>
    <x v="0"/>
    <x v="22"/>
    <n v="1.04"/>
    <x v="0"/>
  </r>
  <r>
    <n v="549"/>
    <x v="4"/>
    <n v="2016"/>
    <x v="45"/>
    <x v="1"/>
    <n v="266013"/>
    <x v="1"/>
    <n v="39038.44"/>
    <s v="Accord"/>
    <x v="3"/>
    <x v="1"/>
    <x v="0"/>
    <n v="0.15"/>
    <x v="1"/>
  </r>
  <r>
    <n v="550"/>
    <x v="5"/>
    <n v="2023"/>
    <x v="19"/>
    <x v="0"/>
    <n v="7971"/>
    <x v="0"/>
    <n v="13155.02"/>
    <s v="C-Class"/>
    <x v="3"/>
    <x v="2"/>
    <x v="8"/>
    <n v="1.65"/>
    <x v="0"/>
  </r>
  <r>
    <n v="551"/>
    <x v="5"/>
    <n v="2008"/>
    <x v="31"/>
    <x v="0"/>
    <n v="254927"/>
    <x v="1"/>
    <n v="74341.98"/>
    <s v="GLC"/>
    <x v="1"/>
    <x v="1"/>
    <x v="22"/>
    <n v="0.28999999999999998"/>
    <x v="0"/>
  </r>
  <r>
    <n v="552"/>
    <x v="6"/>
    <n v="2008"/>
    <x v="20"/>
    <x v="0"/>
    <n v="287795"/>
    <x v="0"/>
    <n v="87758.12"/>
    <s v="RAV4"/>
    <x v="3"/>
    <x v="1"/>
    <x v="22"/>
    <n v="0.3"/>
    <x v="1"/>
  </r>
  <r>
    <n v="553"/>
    <x v="2"/>
    <n v="2000"/>
    <x v="1"/>
    <x v="1"/>
    <n v="23446"/>
    <x v="0"/>
    <n v="97156.13"/>
    <s v="A4"/>
    <x v="1"/>
    <x v="2"/>
    <x v="18"/>
    <n v="4.1399999999999997"/>
    <x v="0"/>
  </r>
  <r>
    <n v="554"/>
    <x v="2"/>
    <n v="2001"/>
    <x v="28"/>
    <x v="1"/>
    <n v="257419"/>
    <x v="1"/>
    <n v="93026.99"/>
    <s v="A4"/>
    <x v="2"/>
    <x v="1"/>
    <x v="10"/>
    <n v="0.36"/>
    <x v="0"/>
  </r>
  <r>
    <n v="555"/>
    <x v="6"/>
    <n v="2015"/>
    <x v="28"/>
    <x v="0"/>
    <n v="169180"/>
    <x v="2"/>
    <n v="80754.7"/>
    <s v="Corolla"/>
    <x v="0"/>
    <x v="1"/>
    <x v="16"/>
    <n v="0.48"/>
    <x v="1"/>
  </r>
  <r>
    <n v="556"/>
    <x v="2"/>
    <n v="2000"/>
    <x v="12"/>
    <x v="0"/>
    <n v="3823"/>
    <x v="1"/>
    <n v="66129.83"/>
    <s v="Q5"/>
    <x v="1"/>
    <x v="2"/>
    <x v="18"/>
    <n v="17.3"/>
    <x v="0"/>
  </r>
  <r>
    <n v="557"/>
    <x v="0"/>
    <n v="2009"/>
    <x v="27"/>
    <x v="1"/>
    <n v="144526"/>
    <x v="2"/>
    <n v="79238.710000000006"/>
    <s v="Model X"/>
    <x v="0"/>
    <x v="0"/>
    <x v="4"/>
    <n v="0.55000000000000004"/>
    <x v="0"/>
  </r>
  <r>
    <n v="558"/>
    <x v="0"/>
    <n v="2017"/>
    <x v="0"/>
    <x v="0"/>
    <n v="135004"/>
    <x v="0"/>
    <n v="46047.95"/>
    <s v="Model X"/>
    <x v="0"/>
    <x v="0"/>
    <x v="7"/>
    <n v="0.34"/>
    <x v="0"/>
  </r>
  <r>
    <n v="559"/>
    <x v="2"/>
    <n v="2007"/>
    <x v="22"/>
    <x v="1"/>
    <n v="205162"/>
    <x v="2"/>
    <n v="61503.74"/>
    <s v="A4"/>
    <x v="0"/>
    <x v="1"/>
    <x v="17"/>
    <n v="0.3"/>
    <x v="0"/>
  </r>
  <r>
    <n v="560"/>
    <x v="5"/>
    <n v="2020"/>
    <x v="12"/>
    <x v="0"/>
    <n v="67965"/>
    <x v="1"/>
    <n v="38126.480000000003"/>
    <s v="GLA"/>
    <x v="2"/>
    <x v="0"/>
    <x v="6"/>
    <n v="0.56000000000000005"/>
    <x v="0"/>
  </r>
  <r>
    <n v="561"/>
    <x v="2"/>
    <n v="2010"/>
    <x v="31"/>
    <x v="1"/>
    <n v="272654"/>
    <x v="1"/>
    <n v="36037.379999999997"/>
    <s v="Q7"/>
    <x v="3"/>
    <x v="1"/>
    <x v="9"/>
    <n v="0.13"/>
    <x v="0"/>
  </r>
  <r>
    <n v="562"/>
    <x v="0"/>
    <n v="2022"/>
    <x v="3"/>
    <x v="0"/>
    <n v="141609"/>
    <x v="2"/>
    <n v="76885.72"/>
    <s v="Model X"/>
    <x v="0"/>
    <x v="0"/>
    <x v="13"/>
    <n v="0.54"/>
    <x v="0"/>
  </r>
  <r>
    <n v="563"/>
    <x v="3"/>
    <n v="2001"/>
    <x v="43"/>
    <x v="0"/>
    <n v="105935"/>
    <x v="1"/>
    <n v="48123.61"/>
    <s v="Explorer"/>
    <x v="3"/>
    <x v="0"/>
    <x v="10"/>
    <n v="0.45"/>
    <x v="1"/>
  </r>
  <r>
    <n v="564"/>
    <x v="1"/>
    <n v="2007"/>
    <x v="10"/>
    <x v="1"/>
    <n v="233705"/>
    <x v="2"/>
    <n v="25155.32"/>
    <s v="X5"/>
    <x v="1"/>
    <x v="1"/>
    <x v="17"/>
    <n v="0.11"/>
    <x v="0"/>
  </r>
  <r>
    <n v="565"/>
    <x v="4"/>
    <n v="2021"/>
    <x v="17"/>
    <x v="1"/>
    <n v="253978"/>
    <x v="0"/>
    <n v="24184.13"/>
    <s v="CR-V"/>
    <x v="2"/>
    <x v="1"/>
    <x v="20"/>
    <n v="0.1"/>
    <x v="1"/>
  </r>
  <r>
    <n v="566"/>
    <x v="3"/>
    <n v="2007"/>
    <x v="36"/>
    <x v="1"/>
    <n v="144854"/>
    <x v="2"/>
    <n v="86621.37"/>
    <s v="Mustang"/>
    <x v="0"/>
    <x v="0"/>
    <x v="17"/>
    <n v="0.6"/>
    <x v="1"/>
  </r>
  <r>
    <n v="567"/>
    <x v="2"/>
    <n v="2016"/>
    <x v="9"/>
    <x v="0"/>
    <n v="78004"/>
    <x v="2"/>
    <n v="69387.25"/>
    <s v="A4"/>
    <x v="2"/>
    <x v="0"/>
    <x v="0"/>
    <n v="0.89"/>
    <x v="0"/>
  </r>
  <r>
    <n v="568"/>
    <x v="5"/>
    <n v="2014"/>
    <x v="48"/>
    <x v="1"/>
    <n v="22072"/>
    <x v="2"/>
    <n v="56874.38"/>
    <s v="GLC"/>
    <x v="0"/>
    <x v="2"/>
    <x v="12"/>
    <n v="2.58"/>
    <x v="0"/>
  </r>
  <r>
    <n v="569"/>
    <x v="6"/>
    <n v="2016"/>
    <x v="24"/>
    <x v="1"/>
    <n v="81015"/>
    <x v="2"/>
    <n v="43089.18"/>
    <s v="Corolla"/>
    <x v="3"/>
    <x v="0"/>
    <x v="0"/>
    <n v="0.53"/>
    <x v="1"/>
  </r>
  <r>
    <n v="570"/>
    <x v="2"/>
    <n v="2022"/>
    <x v="50"/>
    <x v="0"/>
    <n v="225075"/>
    <x v="0"/>
    <n v="45927.65"/>
    <s v="Q5"/>
    <x v="3"/>
    <x v="1"/>
    <x v="13"/>
    <n v="0.2"/>
    <x v="0"/>
  </r>
  <r>
    <n v="571"/>
    <x v="5"/>
    <n v="2023"/>
    <x v="41"/>
    <x v="1"/>
    <n v="220010"/>
    <x v="0"/>
    <n v="10456.34"/>
    <s v="GLA"/>
    <x v="2"/>
    <x v="1"/>
    <x v="8"/>
    <n v="0.05"/>
    <x v="0"/>
  </r>
  <r>
    <n v="572"/>
    <x v="1"/>
    <n v="2012"/>
    <x v="13"/>
    <x v="1"/>
    <n v="72746"/>
    <x v="0"/>
    <n v="48216.46"/>
    <s v="3 Series"/>
    <x v="0"/>
    <x v="0"/>
    <x v="15"/>
    <n v="0.66"/>
    <x v="0"/>
  </r>
  <r>
    <n v="573"/>
    <x v="2"/>
    <n v="2018"/>
    <x v="27"/>
    <x v="1"/>
    <n v="176774"/>
    <x v="2"/>
    <n v="80568.22"/>
    <s v="Q5"/>
    <x v="2"/>
    <x v="1"/>
    <x v="1"/>
    <n v="0.46"/>
    <x v="0"/>
  </r>
  <r>
    <n v="574"/>
    <x v="0"/>
    <n v="2004"/>
    <x v="37"/>
    <x v="0"/>
    <n v="128259"/>
    <x v="0"/>
    <n v="41858.720000000001"/>
    <s v="Model X"/>
    <x v="0"/>
    <x v="0"/>
    <x v="19"/>
    <n v="0.33"/>
    <x v="0"/>
  </r>
  <r>
    <n v="575"/>
    <x v="6"/>
    <n v="2011"/>
    <x v="17"/>
    <x v="0"/>
    <n v="30916"/>
    <x v="1"/>
    <n v="41440.22"/>
    <s v="Camry"/>
    <x v="0"/>
    <x v="2"/>
    <x v="3"/>
    <n v="1.34"/>
    <x v="1"/>
  </r>
  <r>
    <n v="576"/>
    <x v="5"/>
    <n v="2000"/>
    <x v="17"/>
    <x v="0"/>
    <n v="27268"/>
    <x v="0"/>
    <n v="6493.08"/>
    <s v="GLA"/>
    <x v="3"/>
    <x v="2"/>
    <x v="18"/>
    <n v="0.24"/>
    <x v="0"/>
  </r>
  <r>
    <n v="577"/>
    <x v="5"/>
    <n v="2022"/>
    <x v="43"/>
    <x v="1"/>
    <n v="175050"/>
    <x v="2"/>
    <n v="48494.35"/>
    <s v="E-Class"/>
    <x v="3"/>
    <x v="1"/>
    <x v="13"/>
    <n v="0.28000000000000003"/>
    <x v="0"/>
  </r>
  <r>
    <n v="578"/>
    <x v="5"/>
    <n v="2004"/>
    <x v="10"/>
    <x v="0"/>
    <n v="243966"/>
    <x v="1"/>
    <n v="7407.08"/>
    <s v="C-Class"/>
    <x v="0"/>
    <x v="1"/>
    <x v="19"/>
    <n v="0.03"/>
    <x v="0"/>
  </r>
  <r>
    <n v="579"/>
    <x v="1"/>
    <n v="2007"/>
    <x v="48"/>
    <x v="1"/>
    <n v="23259"/>
    <x v="2"/>
    <n v="59183.199999999997"/>
    <s v="5 Series"/>
    <x v="0"/>
    <x v="2"/>
    <x v="17"/>
    <n v="2.54"/>
    <x v="0"/>
  </r>
  <r>
    <n v="580"/>
    <x v="2"/>
    <n v="2012"/>
    <x v="40"/>
    <x v="1"/>
    <n v="79400"/>
    <x v="1"/>
    <n v="53144.42"/>
    <s v="Q5"/>
    <x v="0"/>
    <x v="0"/>
    <x v="15"/>
    <n v="0.67"/>
    <x v="0"/>
  </r>
  <r>
    <n v="581"/>
    <x v="1"/>
    <n v="2007"/>
    <x v="6"/>
    <x v="1"/>
    <n v="296437"/>
    <x v="2"/>
    <n v="84800.81"/>
    <s v="3 Series"/>
    <x v="3"/>
    <x v="1"/>
    <x v="17"/>
    <n v="0.28999999999999998"/>
    <x v="0"/>
  </r>
  <r>
    <n v="582"/>
    <x v="4"/>
    <n v="2022"/>
    <x v="49"/>
    <x v="0"/>
    <n v="111581"/>
    <x v="2"/>
    <n v="60269.16"/>
    <s v="Accord"/>
    <x v="3"/>
    <x v="0"/>
    <x v="13"/>
    <n v="0.54"/>
    <x v="1"/>
  </r>
  <r>
    <n v="583"/>
    <x v="4"/>
    <n v="2010"/>
    <x v="43"/>
    <x v="0"/>
    <n v="7043"/>
    <x v="1"/>
    <n v="35725.599999999999"/>
    <s v="Accord"/>
    <x v="1"/>
    <x v="2"/>
    <x v="9"/>
    <n v="5.07"/>
    <x v="1"/>
  </r>
  <r>
    <n v="584"/>
    <x v="2"/>
    <n v="2000"/>
    <x v="15"/>
    <x v="1"/>
    <n v="181502"/>
    <x v="0"/>
    <n v="54041.95"/>
    <s v="Q7"/>
    <x v="0"/>
    <x v="1"/>
    <x v="18"/>
    <n v="0.3"/>
    <x v="0"/>
  </r>
  <r>
    <n v="585"/>
    <x v="0"/>
    <n v="2012"/>
    <x v="32"/>
    <x v="1"/>
    <n v="107009"/>
    <x v="1"/>
    <n v="71472.100000000006"/>
    <s v="Model Y"/>
    <x v="0"/>
    <x v="0"/>
    <x v="15"/>
    <n v="0.67"/>
    <x v="0"/>
  </r>
  <r>
    <n v="586"/>
    <x v="1"/>
    <n v="2018"/>
    <x v="20"/>
    <x v="0"/>
    <n v="209137"/>
    <x v="1"/>
    <n v="13926.56"/>
    <s v="X5"/>
    <x v="0"/>
    <x v="1"/>
    <x v="1"/>
    <n v="7.0000000000000007E-2"/>
    <x v="0"/>
  </r>
  <r>
    <n v="587"/>
    <x v="6"/>
    <n v="2023"/>
    <x v="50"/>
    <x v="0"/>
    <n v="161940"/>
    <x v="1"/>
    <n v="64002.04"/>
    <s v="RAV4"/>
    <x v="3"/>
    <x v="1"/>
    <x v="8"/>
    <n v="0.4"/>
    <x v="1"/>
  </r>
  <r>
    <n v="588"/>
    <x v="5"/>
    <n v="2002"/>
    <x v="13"/>
    <x v="0"/>
    <n v="288453"/>
    <x v="1"/>
    <n v="92079.5"/>
    <s v="E-Class"/>
    <x v="1"/>
    <x v="1"/>
    <x v="23"/>
    <n v="0.32"/>
    <x v="0"/>
  </r>
  <r>
    <n v="589"/>
    <x v="5"/>
    <n v="2023"/>
    <x v="46"/>
    <x v="1"/>
    <n v="285428"/>
    <x v="1"/>
    <n v="33417.379999999997"/>
    <s v="GLC"/>
    <x v="1"/>
    <x v="1"/>
    <x v="8"/>
    <n v="0.12"/>
    <x v="0"/>
  </r>
  <r>
    <n v="590"/>
    <x v="2"/>
    <n v="2016"/>
    <x v="34"/>
    <x v="0"/>
    <n v="113259"/>
    <x v="2"/>
    <n v="64529.38"/>
    <s v="A4"/>
    <x v="2"/>
    <x v="0"/>
    <x v="0"/>
    <n v="0.56999999999999995"/>
    <x v="0"/>
  </r>
  <r>
    <n v="591"/>
    <x v="0"/>
    <n v="2004"/>
    <x v="3"/>
    <x v="0"/>
    <n v="100804"/>
    <x v="2"/>
    <n v="83026.3"/>
    <s v="Model 3"/>
    <x v="0"/>
    <x v="0"/>
    <x v="19"/>
    <n v="0.82"/>
    <x v="0"/>
  </r>
  <r>
    <n v="592"/>
    <x v="4"/>
    <n v="2019"/>
    <x v="24"/>
    <x v="0"/>
    <n v="69000"/>
    <x v="0"/>
    <n v="53621.61"/>
    <s v="Accord"/>
    <x v="3"/>
    <x v="0"/>
    <x v="5"/>
    <n v="0.78"/>
    <x v="1"/>
  </r>
  <r>
    <n v="593"/>
    <x v="4"/>
    <n v="2020"/>
    <x v="42"/>
    <x v="1"/>
    <n v="84179"/>
    <x v="0"/>
    <n v="73208.06"/>
    <s v="Accord"/>
    <x v="2"/>
    <x v="0"/>
    <x v="6"/>
    <n v="0.87"/>
    <x v="1"/>
  </r>
  <r>
    <n v="594"/>
    <x v="5"/>
    <n v="2007"/>
    <x v="42"/>
    <x v="0"/>
    <n v="291409"/>
    <x v="1"/>
    <n v="34545.980000000003"/>
    <s v="C-Class"/>
    <x v="2"/>
    <x v="1"/>
    <x v="17"/>
    <n v="0.12"/>
    <x v="0"/>
  </r>
  <r>
    <n v="595"/>
    <x v="2"/>
    <n v="2013"/>
    <x v="29"/>
    <x v="1"/>
    <n v="260226"/>
    <x v="0"/>
    <n v="34075.550000000003"/>
    <s v="A3"/>
    <x v="0"/>
    <x v="1"/>
    <x v="2"/>
    <n v="0.13"/>
    <x v="0"/>
  </r>
  <r>
    <n v="596"/>
    <x v="1"/>
    <n v="2003"/>
    <x v="50"/>
    <x v="1"/>
    <n v="23880"/>
    <x v="0"/>
    <n v="68420.479999999996"/>
    <s v="X3"/>
    <x v="2"/>
    <x v="2"/>
    <x v="21"/>
    <n v="2.87"/>
    <x v="0"/>
  </r>
  <r>
    <n v="597"/>
    <x v="4"/>
    <n v="2010"/>
    <x v="45"/>
    <x v="1"/>
    <n v="201264"/>
    <x v="1"/>
    <n v="72013.84"/>
    <s v="Civic"/>
    <x v="0"/>
    <x v="1"/>
    <x v="9"/>
    <n v="0.36"/>
    <x v="1"/>
  </r>
  <r>
    <n v="598"/>
    <x v="1"/>
    <n v="2019"/>
    <x v="23"/>
    <x v="0"/>
    <n v="172438"/>
    <x v="2"/>
    <n v="94015.92"/>
    <s v="X5"/>
    <x v="2"/>
    <x v="1"/>
    <x v="5"/>
    <n v="0.55000000000000004"/>
    <x v="0"/>
  </r>
  <r>
    <n v="599"/>
    <x v="0"/>
    <n v="2014"/>
    <x v="19"/>
    <x v="0"/>
    <n v="245352"/>
    <x v="2"/>
    <n v="26359.66"/>
    <s v="Model Y"/>
    <x v="0"/>
    <x v="1"/>
    <x v="12"/>
    <n v="0.11"/>
    <x v="0"/>
  </r>
  <r>
    <n v="600"/>
    <x v="4"/>
    <n v="2018"/>
    <x v="10"/>
    <x v="0"/>
    <n v="67396"/>
    <x v="0"/>
    <n v="49480.67"/>
    <s v="Civic"/>
    <x v="3"/>
    <x v="0"/>
    <x v="1"/>
    <n v="0.73"/>
    <x v="1"/>
  </r>
  <r>
    <n v="601"/>
    <x v="4"/>
    <n v="2006"/>
    <x v="16"/>
    <x v="1"/>
    <n v="279250"/>
    <x v="2"/>
    <n v="28798.78"/>
    <s v="CR-V"/>
    <x v="0"/>
    <x v="1"/>
    <x v="11"/>
    <n v="0.1"/>
    <x v="1"/>
  </r>
  <r>
    <n v="602"/>
    <x v="3"/>
    <n v="2018"/>
    <x v="23"/>
    <x v="0"/>
    <n v="56731"/>
    <x v="2"/>
    <n v="12608.76"/>
    <s v="Focus"/>
    <x v="0"/>
    <x v="0"/>
    <x v="1"/>
    <n v="0.22"/>
    <x v="1"/>
  </r>
  <r>
    <n v="603"/>
    <x v="4"/>
    <n v="2018"/>
    <x v="27"/>
    <x v="1"/>
    <n v="75010"/>
    <x v="0"/>
    <n v="43306.9"/>
    <s v="Fit"/>
    <x v="1"/>
    <x v="0"/>
    <x v="1"/>
    <n v="0.57999999999999996"/>
    <x v="1"/>
  </r>
  <r>
    <n v="604"/>
    <x v="6"/>
    <n v="2010"/>
    <x v="50"/>
    <x v="0"/>
    <n v="249091"/>
    <x v="1"/>
    <n v="40537.67"/>
    <s v="Prius"/>
    <x v="3"/>
    <x v="1"/>
    <x v="9"/>
    <n v="0.16"/>
    <x v="1"/>
  </r>
  <r>
    <n v="605"/>
    <x v="2"/>
    <n v="2004"/>
    <x v="25"/>
    <x v="0"/>
    <n v="294743"/>
    <x v="0"/>
    <n v="30691.24"/>
    <s v="A4"/>
    <x v="3"/>
    <x v="1"/>
    <x v="19"/>
    <n v="0.1"/>
    <x v="0"/>
  </r>
  <r>
    <n v="606"/>
    <x v="2"/>
    <n v="2004"/>
    <x v="44"/>
    <x v="0"/>
    <n v="71326"/>
    <x v="0"/>
    <n v="33214.51"/>
    <s v="A4"/>
    <x v="3"/>
    <x v="0"/>
    <x v="19"/>
    <n v="0.47"/>
    <x v="0"/>
  </r>
  <r>
    <n v="607"/>
    <x v="1"/>
    <n v="2021"/>
    <x v="6"/>
    <x v="0"/>
    <n v="248876"/>
    <x v="0"/>
    <n v="39239.120000000003"/>
    <s v="3 Series"/>
    <x v="2"/>
    <x v="1"/>
    <x v="20"/>
    <n v="0.16"/>
    <x v="0"/>
  </r>
  <r>
    <n v="608"/>
    <x v="0"/>
    <n v="2007"/>
    <x v="5"/>
    <x v="1"/>
    <n v="9004"/>
    <x v="1"/>
    <n v="98939.58"/>
    <s v="Model 3"/>
    <x v="0"/>
    <x v="2"/>
    <x v="17"/>
    <n v="10.99"/>
    <x v="0"/>
  </r>
  <r>
    <n v="609"/>
    <x v="4"/>
    <n v="2009"/>
    <x v="20"/>
    <x v="1"/>
    <n v="115018"/>
    <x v="1"/>
    <n v="79380.990000000005"/>
    <s v="Civic"/>
    <x v="3"/>
    <x v="0"/>
    <x v="4"/>
    <n v="0.69"/>
    <x v="1"/>
  </r>
  <r>
    <n v="610"/>
    <x v="6"/>
    <n v="2005"/>
    <x v="35"/>
    <x v="1"/>
    <n v="25792"/>
    <x v="1"/>
    <n v="11783.11"/>
    <s v="Prius"/>
    <x v="2"/>
    <x v="2"/>
    <x v="14"/>
    <n v="0.46"/>
    <x v="1"/>
  </r>
  <r>
    <n v="611"/>
    <x v="1"/>
    <n v="2014"/>
    <x v="31"/>
    <x v="1"/>
    <n v="54645"/>
    <x v="1"/>
    <n v="87879.25"/>
    <s v="5 Series"/>
    <x v="2"/>
    <x v="0"/>
    <x v="12"/>
    <n v="1.61"/>
    <x v="0"/>
  </r>
  <r>
    <n v="612"/>
    <x v="3"/>
    <n v="2015"/>
    <x v="15"/>
    <x v="0"/>
    <n v="7232"/>
    <x v="0"/>
    <n v="65163.82"/>
    <s v="Fiesta"/>
    <x v="2"/>
    <x v="2"/>
    <x v="16"/>
    <n v="9.01"/>
    <x v="1"/>
  </r>
  <r>
    <n v="613"/>
    <x v="1"/>
    <n v="2016"/>
    <x v="43"/>
    <x v="1"/>
    <n v="54766"/>
    <x v="2"/>
    <n v="89606.41"/>
    <s v="X5"/>
    <x v="1"/>
    <x v="0"/>
    <x v="0"/>
    <n v="1.64"/>
    <x v="0"/>
  </r>
  <r>
    <n v="614"/>
    <x v="1"/>
    <n v="2007"/>
    <x v="44"/>
    <x v="1"/>
    <n v="120601"/>
    <x v="0"/>
    <n v="37462.42"/>
    <s v="X5"/>
    <x v="2"/>
    <x v="0"/>
    <x v="17"/>
    <n v="0.31"/>
    <x v="0"/>
  </r>
  <r>
    <n v="615"/>
    <x v="4"/>
    <n v="2007"/>
    <x v="39"/>
    <x v="1"/>
    <n v="81588"/>
    <x v="1"/>
    <n v="49129.29"/>
    <s v="Fit"/>
    <x v="1"/>
    <x v="0"/>
    <x v="17"/>
    <n v="0.6"/>
    <x v="1"/>
  </r>
  <r>
    <n v="616"/>
    <x v="3"/>
    <n v="2008"/>
    <x v="27"/>
    <x v="0"/>
    <n v="179614"/>
    <x v="2"/>
    <n v="90141.57"/>
    <s v="Focus"/>
    <x v="0"/>
    <x v="1"/>
    <x v="22"/>
    <n v="0.5"/>
    <x v="1"/>
  </r>
  <r>
    <n v="617"/>
    <x v="1"/>
    <n v="2001"/>
    <x v="1"/>
    <x v="1"/>
    <n v="5913"/>
    <x v="0"/>
    <n v="30894.45"/>
    <s v="X3"/>
    <x v="2"/>
    <x v="2"/>
    <x v="10"/>
    <n v="5.22"/>
    <x v="0"/>
  </r>
  <r>
    <n v="618"/>
    <x v="6"/>
    <n v="2014"/>
    <x v="45"/>
    <x v="1"/>
    <n v="112406"/>
    <x v="2"/>
    <n v="91972.58"/>
    <s v="RAV4"/>
    <x v="3"/>
    <x v="0"/>
    <x v="12"/>
    <n v="0.82"/>
    <x v="1"/>
  </r>
  <r>
    <n v="619"/>
    <x v="6"/>
    <n v="2017"/>
    <x v="24"/>
    <x v="0"/>
    <n v="113693"/>
    <x v="1"/>
    <n v="83707.47"/>
    <s v="Camry"/>
    <x v="2"/>
    <x v="0"/>
    <x v="7"/>
    <n v="0.74"/>
    <x v="1"/>
  </r>
  <r>
    <n v="620"/>
    <x v="2"/>
    <n v="2002"/>
    <x v="35"/>
    <x v="0"/>
    <n v="93449"/>
    <x v="2"/>
    <n v="98153"/>
    <s v="Q7"/>
    <x v="0"/>
    <x v="0"/>
    <x v="23"/>
    <n v="1.05"/>
    <x v="0"/>
  </r>
  <r>
    <n v="621"/>
    <x v="3"/>
    <n v="2016"/>
    <x v="29"/>
    <x v="1"/>
    <n v="10567"/>
    <x v="2"/>
    <n v="35804.47"/>
    <s v="Mustang"/>
    <x v="0"/>
    <x v="2"/>
    <x v="0"/>
    <n v="3.39"/>
    <x v="1"/>
  </r>
  <r>
    <n v="622"/>
    <x v="3"/>
    <n v="2003"/>
    <x v="16"/>
    <x v="1"/>
    <n v="38379"/>
    <x v="1"/>
    <n v="27396.55"/>
    <s v="Focus"/>
    <x v="2"/>
    <x v="2"/>
    <x v="21"/>
    <n v="0.71"/>
    <x v="1"/>
  </r>
  <r>
    <n v="623"/>
    <x v="2"/>
    <n v="2003"/>
    <x v="32"/>
    <x v="0"/>
    <n v="206040"/>
    <x v="2"/>
    <n v="36432.36"/>
    <s v="Q7"/>
    <x v="0"/>
    <x v="1"/>
    <x v="21"/>
    <n v="0.18"/>
    <x v="0"/>
  </r>
  <r>
    <n v="624"/>
    <x v="1"/>
    <n v="2013"/>
    <x v="34"/>
    <x v="1"/>
    <n v="262463"/>
    <x v="0"/>
    <n v="95691.73"/>
    <s v="3 Series"/>
    <x v="1"/>
    <x v="1"/>
    <x v="2"/>
    <n v="0.36"/>
    <x v="0"/>
  </r>
  <r>
    <n v="625"/>
    <x v="3"/>
    <n v="2008"/>
    <x v="39"/>
    <x v="0"/>
    <n v="90005"/>
    <x v="2"/>
    <n v="36641.96"/>
    <s v="Fiesta"/>
    <x v="1"/>
    <x v="0"/>
    <x v="22"/>
    <n v="0.41"/>
    <x v="1"/>
  </r>
  <r>
    <n v="626"/>
    <x v="6"/>
    <n v="2008"/>
    <x v="27"/>
    <x v="1"/>
    <n v="223098"/>
    <x v="0"/>
    <n v="58695.12"/>
    <s v="Prius"/>
    <x v="2"/>
    <x v="1"/>
    <x v="22"/>
    <n v="0.26"/>
    <x v="1"/>
  </r>
  <r>
    <n v="627"/>
    <x v="6"/>
    <n v="2022"/>
    <x v="46"/>
    <x v="1"/>
    <n v="4791"/>
    <x v="2"/>
    <n v="43349.53"/>
    <s v="Camry"/>
    <x v="1"/>
    <x v="2"/>
    <x v="13"/>
    <n v="9.0500000000000007"/>
    <x v="1"/>
  </r>
  <r>
    <n v="628"/>
    <x v="4"/>
    <n v="2017"/>
    <x v="50"/>
    <x v="1"/>
    <n v="131401"/>
    <x v="2"/>
    <n v="42640.91"/>
    <s v="Fit"/>
    <x v="1"/>
    <x v="0"/>
    <x v="7"/>
    <n v="0.32"/>
    <x v="1"/>
  </r>
  <r>
    <n v="629"/>
    <x v="3"/>
    <n v="2009"/>
    <x v="18"/>
    <x v="1"/>
    <n v="205459"/>
    <x v="1"/>
    <n v="23370.97"/>
    <s v="Explorer"/>
    <x v="3"/>
    <x v="1"/>
    <x v="4"/>
    <n v="0.11"/>
    <x v="1"/>
  </r>
  <r>
    <n v="630"/>
    <x v="1"/>
    <n v="2020"/>
    <x v="38"/>
    <x v="1"/>
    <n v="61032"/>
    <x v="1"/>
    <n v="56022.559999999998"/>
    <s v="X5"/>
    <x v="2"/>
    <x v="0"/>
    <x v="6"/>
    <n v="0.92"/>
    <x v="0"/>
  </r>
  <r>
    <n v="631"/>
    <x v="2"/>
    <n v="2003"/>
    <x v="8"/>
    <x v="0"/>
    <n v="175150"/>
    <x v="0"/>
    <n v="85693.4"/>
    <s v="A4"/>
    <x v="0"/>
    <x v="1"/>
    <x v="21"/>
    <n v="0.49"/>
    <x v="0"/>
  </r>
  <r>
    <n v="632"/>
    <x v="2"/>
    <n v="2011"/>
    <x v="0"/>
    <x v="0"/>
    <n v="21300"/>
    <x v="1"/>
    <n v="9701.08"/>
    <s v="Q7"/>
    <x v="2"/>
    <x v="2"/>
    <x v="3"/>
    <n v="0.46"/>
    <x v="0"/>
  </r>
  <r>
    <n v="633"/>
    <x v="1"/>
    <n v="2007"/>
    <x v="3"/>
    <x v="1"/>
    <n v="55609"/>
    <x v="1"/>
    <n v="89476.53"/>
    <s v="X3"/>
    <x v="1"/>
    <x v="0"/>
    <x v="17"/>
    <n v="1.61"/>
    <x v="0"/>
  </r>
  <r>
    <n v="634"/>
    <x v="0"/>
    <n v="2001"/>
    <x v="1"/>
    <x v="1"/>
    <n v="191634"/>
    <x v="1"/>
    <n v="68219.929999999993"/>
    <s v="Model 3"/>
    <x v="0"/>
    <x v="1"/>
    <x v="10"/>
    <n v="0.36"/>
    <x v="0"/>
  </r>
  <r>
    <n v="635"/>
    <x v="5"/>
    <n v="2021"/>
    <x v="4"/>
    <x v="1"/>
    <n v="90045"/>
    <x v="1"/>
    <n v="63590.12"/>
    <s v="GLA"/>
    <x v="2"/>
    <x v="0"/>
    <x v="20"/>
    <n v="0.71"/>
    <x v="0"/>
  </r>
  <r>
    <n v="636"/>
    <x v="4"/>
    <n v="2012"/>
    <x v="19"/>
    <x v="0"/>
    <n v="267847"/>
    <x v="1"/>
    <n v="64460.52"/>
    <s v="Civic"/>
    <x v="2"/>
    <x v="1"/>
    <x v="15"/>
    <n v="0.24"/>
    <x v="1"/>
  </r>
  <r>
    <n v="637"/>
    <x v="2"/>
    <n v="2020"/>
    <x v="8"/>
    <x v="0"/>
    <n v="223717"/>
    <x v="0"/>
    <n v="33145.629999999997"/>
    <s v="Q7"/>
    <x v="1"/>
    <x v="1"/>
    <x v="6"/>
    <n v="0.15"/>
    <x v="0"/>
  </r>
  <r>
    <n v="638"/>
    <x v="3"/>
    <n v="2015"/>
    <x v="12"/>
    <x v="0"/>
    <n v="219162"/>
    <x v="0"/>
    <n v="44438.73"/>
    <s v="Focus"/>
    <x v="1"/>
    <x v="1"/>
    <x v="16"/>
    <n v="0.2"/>
    <x v="1"/>
  </r>
  <r>
    <n v="639"/>
    <x v="4"/>
    <n v="2001"/>
    <x v="11"/>
    <x v="0"/>
    <n v="27676"/>
    <x v="1"/>
    <n v="80932.55"/>
    <s v="Civic"/>
    <x v="2"/>
    <x v="2"/>
    <x v="10"/>
    <n v="2.92"/>
    <x v="1"/>
  </r>
  <r>
    <n v="640"/>
    <x v="3"/>
    <n v="2010"/>
    <x v="5"/>
    <x v="0"/>
    <n v="220412"/>
    <x v="1"/>
    <n v="34106.199999999997"/>
    <s v="Focus"/>
    <x v="1"/>
    <x v="1"/>
    <x v="9"/>
    <n v="0.15"/>
    <x v="1"/>
  </r>
  <r>
    <n v="641"/>
    <x v="0"/>
    <n v="2009"/>
    <x v="5"/>
    <x v="0"/>
    <n v="176512"/>
    <x v="0"/>
    <n v="49651.92"/>
    <s v="Model X"/>
    <x v="0"/>
    <x v="1"/>
    <x v="4"/>
    <n v="0.28000000000000003"/>
    <x v="0"/>
  </r>
  <r>
    <n v="642"/>
    <x v="6"/>
    <n v="2014"/>
    <x v="18"/>
    <x v="0"/>
    <n v="167995"/>
    <x v="2"/>
    <n v="6865.07"/>
    <s v="Corolla"/>
    <x v="1"/>
    <x v="1"/>
    <x v="12"/>
    <n v="0.04"/>
    <x v="1"/>
  </r>
  <r>
    <n v="643"/>
    <x v="4"/>
    <n v="2016"/>
    <x v="16"/>
    <x v="0"/>
    <n v="291946"/>
    <x v="0"/>
    <n v="74688.039999999994"/>
    <s v="CR-V"/>
    <x v="1"/>
    <x v="1"/>
    <x v="0"/>
    <n v="0.26"/>
    <x v="1"/>
  </r>
  <r>
    <n v="644"/>
    <x v="2"/>
    <n v="2007"/>
    <x v="25"/>
    <x v="1"/>
    <n v="124786"/>
    <x v="2"/>
    <n v="44681.71"/>
    <s v="A4"/>
    <x v="1"/>
    <x v="0"/>
    <x v="17"/>
    <n v="0.36"/>
    <x v="0"/>
  </r>
  <r>
    <n v="645"/>
    <x v="4"/>
    <n v="2017"/>
    <x v="2"/>
    <x v="0"/>
    <n v="68147"/>
    <x v="1"/>
    <n v="54909.08"/>
    <s v="Accord"/>
    <x v="3"/>
    <x v="0"/>
    <x v="7"/>
    <n v="0.81"/>
    <x v="1"/>
  </r>
  <r>
    <n v="646"/>
    <x v="4"/>
    <n v="2022"/>
    <x v="3"/>
    <x v="0"/>
    <n v="22075"/>
    <x v="1"/>
    <n v="15895.49"/>
    <s v="Civic"/>
    <x v="1"/>
    <x v="2"/>
    <x v="13"/>
    <n v="0.72"/>
    <x v="1"/>
  </r>
  <r>
    <n v="647"/>
    <x v="4"/>
    <n v="2008"/>
    <x v="49"/>
    <x v="0"/>
    <n v="205788"/>
    <x v="0"/>
    <n v="99212.85"/>
    <s v="Accord"/>
    <x v="0"/>
    <x v="1"/>
    <x v="22"/>
    <n v="0.48"/>
    <x v="1"/>
  </r>
  <r>
    <n v="648"/>
    <x v="5"/>
    <n v="2007"/>
    <x v="4"/>
    <x v="0"/>
    <n v="9304"/>
    <x v="1"/>
    <n v="33734.44"/>
    <s v="GLA"/>
    <x v="2"/>
    <x v="2"/>
    <x v="17"/>
    <n v="3.63"/>
    <x v="0"/>
  </r>
  <r>
    <n v="649"/>
    <x v="4"/>
    <n v="2013"/>
    <x v="46"/>
    <x v="1"/>
    <n v="129851"/>
    <x v="2"/>
    <n v="65324.02"/>
    <s v="Civic"/>
    <x v="3"/>
    <x v="0"/>
    <x v="2"/>
    <n v="0.5"/>
    <x v="1"/>
  </r>
  <r>
    <n v="650"/>
    <x v="3"/>
    <n v="2017"/>
    <x v="30"/>
    <x v="0"/>
    <n v="59622"/>
    <x v="2"/>
    <n v="60217.45"/>
    <s v="Fiesta"/>
    <x v="3"/>
    <x v="0"/>
    <x v="7"/>
    <n v="1.01"/>
    <x v="1"/>
  </r>
  <r>
    <n v="651"/>
    <x v="6"/>
    <n v="2021"/>
    <x v="23"/>
    <x v="1"/>
    <n v="108654"/>
    <x v="0"/>
    <n v="79583.759999999995"/>
    <s v="Camry"/>
    <x v="1"/>
    <x v="0"/>
    <x v="20"/>
    <n v="0.73"/>
    <x v="1"/>
  </r>
  <r>
    <n v="652"/>
    <x v="0"/>
    <n v="2019"/>
    <x v="0"/>
    <x v="1"/>
    <n v="249109"/>
    <x v="2"/>
    <n v="32914.51"/>
    <s v="Model S"/>
    <x v="0"/>
    <x v="1"/>
    <x v="5"/>
    <n v="0.13"/>
    <x v="0"/>
  </r>
  <r>
    <n v="653"/>
    <x v="1"/>
    <n v="2019"/>
    <x v="46"/>
    <x v="1"/>
    <n v="286172"/>
    <x v="0"/>
    <n v="76813.100000000006"/>
    <s v="X3"/>
    <x v="0"/>
    <x v="1"/>
    <x v="5"/>
    <n v="0.27"/>
    <x v="0"/>
  </r>
  <r>
    <n v="654"/>
    <x v="4"/>
    <n v="2020"/>
    <x v="19"/>
    <x v="0"/>
    <n v="39328"/>
    <x v="0"/>
    <n v="41337.660000000003"/>
    <s v="CR-V"/>
    <x v="1"/>
    <x v="2"/>
    <x v="6"/>
    <n v="1.05"/>
    <x v="1"/>
  </r>
  <r>
    <n v="655"/>
    <x v="2"/>
    <n v="2011"/>
    <x v="8"/>
    <x v="0"/>
    <n v="289445"/>
    <x v="2"/>
    <n v="44060.29"/>
    <s v="Q5"/>
    <x v="2"/>
    <x v="1"/>
    <x v="3"/>
    <n v="0.15"/>
    <x v="0"/>
  </r>
  <r>
    <n v="656"/>
    <x v="4"/>
    <n v="2018"/>
    <x v="20"/>
    <x v="0"/>
    <n v="218348"/>
    <x v="2"/>
    <n v="68907.69"/>
    <s v="Accord"/>
    <x v="1"/>
    <x v="1"/>
    <x v="1"/>
    <n v="0.32"/>
    <x v="1"/>
  </r>
  <r>
    <n v="657"/>
    <x v="2"/>
    <n v="2013"/>
    <x v="35"/>
    <x v="1"/>
    <n v="36845"/>
    <x v="2"/>
    <n v="79507.149999999994"/>
    <s v="A3"/>
    <x v="1"/>
    <x v="2"/>
    <x v="2"/>
    <n v="2.16"/>
    <x v="0"/>
  </r>
  <r>
    <n v="658"/>
    <x v="3"/>
    <n v="2016"/>
    <x v="24"/>
    <x v="1"/>
    <n v="76394"/>
    <x v="2"/>
    <n v="68352.33"/>
    <s v="Explorer"/>
    <x v="1"/>
    <x v="0"/>
    <x v="0"/>
    <n v="0.89"/>
    <x v="1"/>
  </r>
  <r>
    <n v="659"/>
    <x v="2"/>
    <n v="2023"/>
    <x v="29"/>
    <x v="1"/>
    <n v="175231"/>
    <x v="2"/>
    <n v="90488.55"/>
    <s v="Q7"/>
    <x v="1"/>
    <x v="1"/>
    <x v="8"/>
    <n v="0.52"/>
    <x v="0"/>
  </r>
  <r>
    <n v="660"/>
    <x v="1"/>
    <n v="2020"/>
    <x v="9"/>
    <x v="1"/>
    <n v="80722"/>
    <x v="2"/>
    <n v="32090.11"/>
    <s v="3 Series"/>
    <x v="1"/>
    <x v="0"/>
    <x v="6"/>
    <n v="0.4"/>
    <x v="0"/>
  </r>
  <r>
    <n v="661"/>
    <x v="6"/>
    <n v="2002"/>
    <x v="10"/>
    <x v="0"/>
    <n v="287374"/>
    <x v="2"/>
    <n v="90558.59"/>
    <s v="Corolla"/>
    <x v="1"/>
    <x v="1"/>
    <x v="23"/>
    <n v="0.32"/>
    <x v="1"/>
  </r>
  <r>
    <n v="662"/>
    <x v="2"/>
    <n v="2022"/>
    <x v="6"/>
    <x v="0"/>
    <n v="92554"/>
    <x v="1"/>
    <n v="17432.03"/>
    <s v="A4"/>
    <x v="1"/>
    <x v="0"/>
    <x v="13"/>
    <n v="0.19"/>
    <x v="0"/>
  </r>
  <r>
    <n v="663"/>
    <x v="2"/>
    <n v="2006"/>
    <x v="10"/>
    <x v="0"/>
    <n v="49262"/>
    <x v="0"/>
    <n v="67655.38"/>
    <s v="A4"/>
    <x v="0"/>
    <x v="2"/>
    <x v="11"/>
    <n v="1.37"/>
    <x v="0"/>
  </r>
  <r>
    <n v="664"/>
    <x v="6"/>
    <n v="2016"/>
    <x v="18"/>
    <x v="1"/>
    <n v="41722"/>
    <x v="0"/>
    <n v="57024.91"/>
    <s v="Corolla"/>
    <x v="3"/>
    <x v="2"/>
    <x v="0"/>
    <n v="1.37"/>
    <x v="1"/>
  </r>
  <r>
    <n v="665"/>
    <x v="1"/>
    <n v="2011"/>
    <x v="23"/>
    <x v="1"/>
    <n v="171231"/>
    <x v="2"/>
    <n v="51990.41"/>
    <s v="X5"/>
    <x v="0"/>
    <x v="1"/>
    <x v="3"/>
    <n v="0.3"/>
    <x v="0"/>
  </r>
  <r>
    <n v="666"/>
    <x v="4"/>
    <n v="2008"/>
    <x v="42"/>
    <x v="0"/>
    <n v="240740"/>
    <x v="0"/>
    <n v="34536.639999999999"/>
    <s v="Civic"/>
    <x v="1"/>
    <x v="1"/>
    <x v="22"/>
    <n v="0.14000000000000001"/>
    <x v="1"/>
  </r>
  <r>
    <n v="667"/>
    <x v="2"/>
    <n v="2014"/>
    <x v="27"/>
    <x v="0"/>
    <n v="87052"/>
    <x v="2"/>
    <n v="52854.61"/>
    <s v="A3"/>
    <x v="1"/>
    <x v="0"/>
    <x v="12"/>
    <n v="0.61"/>
    <x v="0"/>
  </r>
  <r>
    <n v="668"/>
    <x v="6"/>
    <n v="2017"/>
    <x v="48"/>
    <x v="1"/>
    <n v="100808"/>
    <x v="1"/>
    <n v="20368.47"/>
    <s v="Camry"/>
    <x v="0"/>
    <x v="0"/>
    <x v="7"/>
    <n v="0.2"/>
    <x v="1"/>
  </r>
  <r>
    <n v="669"/>
    <x v="3"/>
    <n v="2020"/>
    <x v="38"/>
    <x v="0"/>
    <n v="255416"/>
    <x v="0"/>
    <n v="40085.49"/>
    <s v="Explorer"/>
    <x v="0"/>
    <x v="1"/>
    <x v="6"/>
    <n v="0.16"/>
    <x v="1"/>
  </r>
  <r>
    <n v="670"/>
    <x v="6"/>
    <n v="2012"/>
    <x v="43"/>
    <x v="0"/>
    <n v="262128"/>
    <x v="0"/>
    <n v="14374.69"/>
    <s v="Camry"/>
    <x v="3"/>
    <x v="1"/>
    <x v="15"/>
    <n v="0.05"/>
    <x v="1"/>
  </r>
  <r>
    <n v="671"/>
    <x v="3"/>
    <n v="2020"/>
    <x v="43"/>
    <x v="1"/>
    <n v="221281"/>
    <x v="1"/>
    <n v="59325.43"/>
    <s v="Focus"/>
    <x v="0"/>
    <x v="1"/>
    <x v="6"/>
    <n v="0.27"/>
    <x v="1"/>
  </r>
  <r>
    <n v="672"/>
    <x v="1"/>
    <n v="2007"/>
    <x v="14"/>
    <x v="1"/>
    <n v="246052"/>
    <x v="1"/>
    <n v="14097.95"/>
    <s v="X5"/>
    <x v="3"/>
    <x v="1"/>
    <x v="17"/>
    <n v="0.06"/>
    <x v="0"/>
  </r>
  <r>
    <n v="673"/>
    <x v="4"/>
    <n v="2013"/>
    <x v="37"/>
    <x v="1"/>
    <n v="104697"/>
    <x v="1"/>
    <n v="20232.740000000002"/>
    <s v="Fit"/>
    <x v="1"/>
    <x v="0"/>
    <x v="2"/>
    <n v="0.19"/>
    <x v="1"/>
  </r>
  <r>
    <n v="674"/>
    <x v="6"/>
    <n v="2007"/>
    <x v="32"/>
    <x v="0"/>
    <n v="231572"/>
    <x v="0"/>
    <n v="13119.35"/>
    <s v="RAV4"/>
    <x v="2"/>
    <x v="1"/>
    <x v="17"/>
    <n v="0.06"/>
    <x v="1"/>
  </r>
  <r>
    <n v="675"/>
    <x v="0"/>
    <n v="2013"/>
    <x v="43"/>
    <x v="1"/>
    <n v="232842"/>
    <x v="0"/>
    <n v="41224.51"/>
    <s v="Model X"/>
    <x v="0"/>
    <x v="1"/>
    <x v="2"/>
    <n v="0.18"/>
    <x v="0"/>
  </r>
  <r>
    <n v="676"/>
    <x v="0"/>
    <n v="2006"/>
    <x v="29"/>
    <x v="0"/>
    <n v="96299"/>
    <x v="1"/>
    <n v="84986.05"/>
    <s v="Model Y"/>
    <x v="0"/>
    <x v="0"/>
    <x v="11"/>
    <n v="0.88"/>
    <x v="0"/>
  </r>
  <r>
    <n v="677"/>
    <x v="5"/>
    <n v="2022"/>
    <x v="22"/>
    <x v="0"/>
    <n v="165746"/>
    <x v="1"/>
    <n v="91155.16"/>
    <s v="GLC"/>
    <x v="2"/>
    <x v="1"/>
    <x v="13"/>
    <n v="0.55000000000000004"/>
    <x v="0"/>
  </r>
  <r>
    <n v="678"/>
    <x v="2"/>
    <n v="2011"/>
    <x v="28"/>
    <x v="1"/>
    <n v="149177"/>
    <x v="1"/>
    <n v="11829.5"/>
    <s v="A3"/>
    <x v="1"/>
    <x v="0"/>
    <x v="3"/>
    <n v="0.08"/>
    <x v="0"/>
  </r>
  <r>
    <n v="679"/>
    <x v="1"/>
    <n v="2010"/>
    <x v="38"/>
    <x v="0"/>
    <n v="160811"/>
    <x v="1"/>
    <n v="65282.26"/>
    <s v="X5"/>
    <x v="2"/>
    <x v="1"/>
    <x v="9"/>
    <n v="0.41"/>
    <x v="0"/>
  </r>
  <r>
    <n v="680"/>
    <x v="6"/>
    <n v="2021"/>
    <x v="40"/>
    <x v="1"/>
    <n v="163041"/>
    <x v="1"/>
    <n v="70016.62"/>
    <s v="Prius"/>
    <x v="0"/>
    <x v="1"/>
    <x v="20"/>
    <n v="0.43"/>
    <x v="1"/>
  </r>
  <r>
    <n v="681"/>
    <x v="0"/>
    <n v="2021"/>
    <x v="15"/>
    <x v="1"/>
    <n v="14497"/>
    <x v="2"/>
    <n v="55708.14"/>
    <s v="Model X"/>
    <x v="0"/>
    <x v="2"/>
    <x v="20"/>
    <n v="3.84"/>
    <x v="0"/>
  </r>
  <r>
    <n v="682"/>
    <x v="2"/>
    <n v="2010"/>
    <x v="12"/>
    <x v="0"/>
    <n v="254204"/>
    <x v="1"/>
    <n v="68363.56"/>
    <s v="Q5"/>
    <x v="2"/>
    <x v="1"/>
    <x v="9"/>
    <n v="0.27"/>
    <x v="0"/>
  </r>
  <r>
    <n v="683"/>
    <x v="0"/>
    <n v="2021"/>
    <x v="37"/>
    <x v="0"/>
    <n v="257471"/>
    <x v="2"/>
    <n v="27200.62"/>
    <s v="Model Y"/>
    <x v="0"/>
    <x v="1"/>
    <x v="20"/>
    <n v="0.11"/>
    <x v="0"/>
  </r>
  <r>
    <n v="684"/>
    <x v="6"/>
    <n v="2012"/>
    <x v="37"/>
    <x v="1"/>
    <n v="92019"/>
    <x v="0"/>
    <n v="51516.2"/>
    <s v="RAV4"/>
    <x v="3"/>
    <x v="0"/>
    <x v="15"/>
    <n v="0.56000000000000005"/>
    <x v="1"/>
  </r>
  <r>
    <n v="685"/>
    <x v="3"/>
    <n v="2017"/>
    <x v="4"/>
    <x v="1"/>
    <n v="190326"/>
    <x v="0"/>
    <n v="42133.21"/>
    <s v="Explorer"/>
    <x v="1"/>
    <x v="1"/>
    <x v="7"/>
    <n v="0.22"/>
    <x v="1"/>
  </r>
  <r>
    <n v="686"/>
    <x v="6"/>
    <n v="2001"/>
    <x v="2"/>
    <x v="1"/>
    <n v="109017"/>
    <x v="2"/>
    <n v="13522.26"/>
    <s v="Prius"/>
    <x v="2"/>
    <x v="0"/>
    <x v="10"/>
    <n v="0.12"/>
    <x v="1"/>
  </r>
  <r>
    <n v="687"/>
    <x v="5"/>
    <n v="2020"/>
    <x v="5"/>
    <x v="1"/>
    <n v="218220"/>
    <x v="1"/>
    <n v="64427.86"/>
    <s v="C-Class"/>
    <x v="2"/>
    <x v="1"/>
    <x v="6"/>
    <n v="0.3"/>
    <x v="0"/>
  </r>
  <r>
    <n v="688"/>
    <x v="6"/>
    <n v="2014"/>
    <x v="13"/>
    <x v="1"/>
    <n v="105153"/>
    <x v="0"/>
    <n v="52045.440000000002"/>
    <s v="Corolla"/>
    <x v="1"/>
    <x v="0"/>
    <x v="12"/>
    <n v="0.49"/>
    <x v="1"/>
  </r>
  <r>
    <n v="689"/>
    <x v="6"/>
    <n v="2019"/>
    <x v="20"/>
    <x v="1"/>
    <n v="33826"/>
    <x v="1"/>
    <n v="31141.53"/>
    <s v="RAV4"/>
    <x v="0"/>
    <x v="2"/>
    <x v="5"/>
    <n v="0.92"/>
    <x v="1"/>
  </r>
  <r>
    <n v="690"/>
    <x v="5"/>
    <n v="2017"/>
    <x v="46"/>
    <x v="0"/>
    <n v="110034"/>
    <x v="1"/>
    <n v="50000.1"/>
    <s v="C-Class"/>
    <x v="1"/>
    <x v="0"/>
    <x v="7"/>
    <n v="0.45"/>
    <x v="0"/>
  </r>
  <r>
    <n v="691"/>
    <x v="1"/>
    <n v="2014"/>
    <x v="40"/>
    <x v="0"/>
    <n v="84242"/>
    <x v="2"/>
    <n v="78653.31"/>
    <s v="5 Series"/>
    <x v="1"/>
    <x v="0"/>
    <x v="12"/>
    <n v="0.93"/>
    <x v="0"/>
  </r>
  <r>
    <n v="692"/>
    <x v="6"/>
    <n v="2018"/>
    <x v="19"/>
    <x v="0"/>
    <n v="50100"/>
    <x v="0"/>
    <n v="81157.490000000005"/>
    <s v="RAV4"/>
    <x v="0"/>
    <x v="0"/>
    <x v="1"/>
    <n v="1.62"/>
    <x v="1"/>
  </r>
  <r>
    <n v="693"/>
    <x v="5"/>
    <n v="2022"/>
    <x v="44"/>
    <x v="0"/>
    <n v="221171"/>
    <x v="0"/>
    <n v="66704.98"/>
    <s v="GLC"/>
    <x v="1"/>
    <x v="1"/>
    <x v="13"/>
    <n v="0.3"/>
    <x v="0"/>
  </r>
  <r>
    <n v="694"/>
    <x v="2"/>
    <n v="2023"/>
    <x v="11"/>
    <x v="1"/>
    <n v="12809"/>
    <x v="2"/>
    <n v="49436.04"/>
    <s v="Q5"/>
    <x v="0"/>
    <x v="2"/>
    <x v="8"/>
    <n v="3.86"/>
    <x v="0"/>
  </r>
  <r>
    <n v="695"/>
    <x v="3"/>
    <n v="2011"/>
    <x v="33"/>
    <x v="0"/>
    <n v="64450"/>
    <x v="1"/>
    <n v="59696.22"/>
    <s v="Explorer"/>
    <x v="0"/>
    <x v="0"/>
    <x v="3"/>
    <n v="0.93"/>
    <x v="1"/>
  </r>
  <r>
    <n v="696"/>
    <x v="3"/>
    <n v="2012"/>
    <x v="5"/>
    <x v="0"/>
    <n v="111126"/>
    <x v="1"/>
    <n v="41576.46"/>
    <s v="Focus"/>
    <x v="1"/>
    <x v="0"/>
    <x v="15"/>
    <n v="0.37"/>
    <x v="1"/>
  </r>
  <r>
    <n v="697"/>
    <x v="6"/>
    <n v="2021"/>
    <x v="42"/>
    <x v="1"/>
    <n v="264237"/>
    <x v="0"/>
    <n v="17022.849999999999"/>
    <s v="RAV4"/>
    <x v="3"/>
    <x v="1"/>
    <x v="20"/>
    <n v="0.06"/>
    <x v="1"/>
  </r>
  <r>
    <n v="698"/>
    <x v="1"/>
    <n v="2010"/>
    <x v="41"/>
    <x v="0"/>
    <n v="44498"/>
    <x v="2"/>
    <n v="41633.96"/>
    <s v="X5"/>
    <x v="0"/>
    <x v="2"/>
    <x v="9"/>
    <n v="0.94"/>
    <x v="0"/>
  </r>
  <r>
    <n v="699"/>
    <x v="1"/>
    <n v="2004"/>
    <x v="6"/>
    <x v="1"/>
    <n v="116251"/>
    <x v="2"/>
    <n v="55381.61"/>
    <s v="X3"/>
    <x v="1"/>
    <x v="0"/>
    <x v="19"/>
    <n v="0.48"/>
    <x v="0"/>
  </r>
  <r>
    <n v="700"/>
    <x v="2"/>
    <n v="2000"/>
    <x v="23"/>
    <x v="1"/>
    <n v="40985"/>
    <x v="1"/>
    <n v="61889.23"/>
    <s v="Q7"/>
    <x v="0"/>
    <x v="2"/>
    <x v="18"/>
    <n v="1.51"/>
    <x v="0"/>
  </r>
  <r>
    <n v="701"/>
    <x v="6"/>
    <n v="2023"/>
    <x v="10"/>
    <x v="1"/>
    <n v="294153"/>
    <x v="1"/>
    <n v="93901.09"/>
    <s v="Corolla"/>
    <x v="3"/>
    <x v="1"/>
    <x v="8"/>
    <n v="0.32"/>
    <x v="1"/>
  </r>
  <r>
    <n v="702"/>
    <x v="3"/>
    <n v="2002"/>
    <x v="44"/>
    <x v="1"/>
    <n v="17718"/>
    <x v="2"/>
    <n v="78846.679999999993"/>
    <s v="Fiesta"/>
    <x v="3"/>
    <x v="2"/>
    <x v="23"/>
    <n v="4.45"/>
    <x v="1"/>
  </r>
  <r>
    <n v="703"/>
    <x v="1"/>
    <n v="2021"/>
    <x v="33"/>
    <x v="1"/>
    <n v="278849"/>
    <x v="0"/>
    <n v="19439.29"/>
    <s v="X3"/>
    <x v="2"/>
    <x v="1"/>
    <x v="20"/>
    <n v="7.0000000000000007E-2"/>
    <x v="0"/>
  </r>
  <r>
    <n v="704"/>
    <x v="6"/>
    <n v="2018"/>
    <x v="37"/>
    <x v="0"/>
    <n v="62598"/>
    <x v="1"/>
    <n v="21547.31"/>
    <s v="Prius"/>
    <x v="0"/>
    <x v="0"/>
    <x v="1"/>
    <n v="0.34"/>
    <x v="1"/>
  </r>
  <r>
    <n v="705"/>
    <x v="0"/>
    <n v="2022"/>
    <x v="46"/>
    <x v="0"/>
    <n v="274383"/>
    <x v="2"/>
    <n v="14547"/>
    <s v="Model 3"/>
    <x v="0"/>
    <x v="1"/>
    <x v="13"/>
    <n v="0.05"/>
    <x v="0"/>
  </r>
  <r>
    <n v="706"/>
    <x v="1"/>
    <n v="2006"/>
    <x v="11"/>
    <x v="0"/>
    <n v="46665"/>
    <x v="2"/>
    <n v="75127.259999999995"/>
    <s v="3 Series"/>
    <x v="1"/>
    <x v="2"/>
    <x v="11"/>
    <n v="1.61"/>
    <x v="0"/>
  </r>
  <r>
    <n v="707"/>
    <x v="5"/>
    <n v="2011"/>
    <x v="38"/>
    <x v="1"/>
    <n v="294418"/>
    <x v="2"/>
    <n v="72081.62"/>
    <s v="C-Class"/>
    <x v="0"/>
    <x v="1"/>
    <x v="3"/>
    <n v="0.24"/>
    <x v="0"/>
  </r>
  <r>
    <n v="708"/>
    <x v="0"/>
    <n v="2014"/>
    <x v="8"/>
    <x v="0"/>
    <n v="146075"/>
    <x v="0"/>
    <n v="98704.48"/>
    <s v="Model 3"/>
    <x v="0"/>
    <x v="0"/>
    <x v="12"/>
    <n v="0.68"/>
    <x v="0"/>
  </r>
  <r>
    <n v="709"/>
    <x v="1"/>
    <n v="2004"/>
    <x v="32"/>
    <x v="0"/>
    <n v="161938"/>
    <x v="1"/>
    <n v="54592.22"/>
    <s v="X5"/>
    <x v="3"/>
    <x v="1"/>
    <x v="19"/>
    <n v="0.34"/>
    <x v="0"/>
  </r>
  <r>
    <n v="710"/>
    <x v="3"/>
    <n v="2014"/>
    <x v="45"/>
    <x v="0"/>
    <n v="153060"/>
    <x v="1"/>
    <n v="83509.42"/>
    <s v="Focus"/>
    <x v="3"/>
    <x v="1"/>
    <x v="12"/>
    <n v="0.55000000000000004"/>
    <x v="1"/>
  </r>
  <r>
    <n v="711"/>
    <x v="4"/>
    <n v="2007"/>
    <x v="38"/>
    <x v="0"/>
    <n v="221516"/>
    <x v="1"/>
    <n v="59761.79"/>
    <s v="CR-V"/>
    <x v="2"/>
    <x v="1"/>
    <x v="17"/>
    <n v="0.27"/>
    <x v="1"/>
  </r>
  <r>
    <n v="712"/>
    <x v="0"/>
    <n v="2009"/>
    <x v="37"/>
    <x v="1"/>
    <n v="136746"/>
    <x v="0"/>
    <n v="88038.24"/>
    <s v="Model Y"/>
    <x v="0"/>
    <x v="0"/>
    <x v="4"/>
    <n v="0.64"/>
    <x v="0"/>
  </r>
  <r>
    <n v="713"/>
    <x v="2"/>
    <n v="2015"/>
    <x v="15"/>
    <x v="0"/>
    <n v="201610"/>
    <x v="1"/>
    <n v="73497"/>
    <s v="A4"/>
    <x v="0"/>
    <x v="1"/>
    <x v="16"/>
    <n v="0.36"/>
    <x v="0"/>
  </r>
  <r>
    <n v="714"/>
    <x v="2"/>
    <n v="2007"/>
    <x v="4"/>
    <x v="1"/>
    <n v="66446"/>
    <x v="1"/>
    <n v="66073.98"/>
    <s v="A3"/>
    <x v="2"/>
    <x v="0"/>
    <x v="17"/>
    <n v="0.99"/>
    <x v="0"/>
  </r>
  <r>
    <n v="715"/>
    <x v="3"/>
    <n v="2000"/>
    <x v="16"/>
    <x v="1"/>
    <n v="29072"/>
    <x v="1"/>
    <n v="58686.65"/>
    <s v="Mustang"/>
    <x v="1"/>
    <x v="2"/>
    <x v="18"/>
    <n v="2.02"/>
    <x v="1"/>
  </r>
  <r>
    <n v="716"/>
    <x v="1"/>
    <n v="2011"/>
    <x v="32"/>
    <x v="0"/>
    <n v="33717"/>
    <x v="1"/>
    <n v="73682.2"/>
    <s v="3 Series"/>
    <x v="3"/>
    <x v="2"/>
    <x v="3"/>
    <n v="2.19"/>
    <x v="0"/>
  </r>
  <r>
    <n v="717"/>
    <x v="6"/>
    <n v="2004"/>
    <x v="31"/>
    <x v="1"/>
    <n v="218417"/>
    <x v="0"/>
    <n v="44867.12"/>
    <s v="Prius"/>
    <x v="2"/>
    <x v="1"/>
    <x v="19"/>
    <n v="0.21"/>
    <x v="1"/>
  </r>
  <r>
    <n v="718"/>
    <x v="1"/>
    <n v="2002"/>
    <x v="9"/>
    <x v="1"/>
    <n v="157723"/>
    <x v="2"/>
    <n v="14174.78"/>
    <s v="X3"/>
    <x v="2"/>
    <x v="1"/>
    <x v="23"/>
    <n v="0.09"/>
    <x v="0"/>
  </r>
  <r>
    <n v="719"/>
    <x v="3"/>
    <n v="2000"/>
    <x v="14"/>
    <x v="1"/>
    <n v="109525"/>
    <x v="2"/>
    <n v="8798.68"/>
    <s v="Focus"/>
    <x v="0"/>
    <x v="0"/>
    <x v="18"/>
    <n v="0.08"/>
    <x v="1"/>
  </r>
  <r>
    <n v="720"/>
    <x v="2"/>
    <n v="2003"/>
    <x v="17"/>
    <x v="1"/>
    <n v="213092"/>
    <x v="1"/>
    <n v="50507.25"/>
    <s v="Q7"/>
    <x v="3"/>
    <x v="1"/>
    <x v="21"/>
    <n v="0.24"/>
    <x v="0"/>
  </r>
  <r>
    <n v="721"/>
    <x v="1"/>
    <n v="2007"/>
    <x v="44"/>
    <x v="1"/>
    <n v="4646"/>
    <x v="1"/>
    <n v="61932.7"/>
    <s v="3 Series"/>
    <x v="0"/>
    <x v="2"/>
    <x v="17"/>
    <n v="13.33"/>
    <x v="0"/>
  </r>
  <r>
    <n v="722"/>
    <x v="2"/>
    <n v="2002"/>
    <x v="21"/>
    <x v="1"/>
    <n v="175403"/>
    <x v="1"/>
    <n v="12490.66"/>
    <s v="A3"/>
    <x v="2"/>
    <x v="1"/>
    <x v="23"/>
    <n v="7.0000000000000007E-2"/>
    <x v="0"/>
  </r>
  <r>
    <n v="723"/>
    <x v="0"/>
    <n v="2009"/>
    <x v="28"/>
    <x v="1"/>
    <n v="284329"/>
    <x v="0"/>
    <n v="32255.84"/>
    <s v="Model S"/>
    <x v="0"/>
    <x v="1"/>
    <x v="4"/>
    <n v="0.11"/>
    <x v="0"/>
  </r>
  <r>
    <n v="724"/>
    <x v="6"/>
    <n v="2001"/>
    <x v="29"/>
    <x v="0"/>
    <n v="229728"/>
    <x v="1"/>
    <n v="35593.06"/>
    <s v="Corolla"/>
    <x v="3"/>
    <x v="1"/>
    <x v="10"/>
    <n v="0.15"/>
    <x v="1"/>
  </r>
  <r>
    <n v="725"/>
    <x v="0"/>
    <n v="2010"/>
    <x v="6"/>
    <x v="0"/>
    <n v="52107"/>
    <x v="0"/>
    <n v="58465.58"/>
    <s v="Model Y"/>
    <x v="0"/>
    <x v="0"/>
    <x v="9"/>
    <n v="1.1200000000000001"/>
    <x v="0"/>
  </r>
  <r>
    <n v="726"/>
    <x v="2"/>
    <n v="2009"/>
    <x v="11"/>
    <x v="1"/>
    <n v="244865"/>
    <x v="1"/>
    <n v="31455.83"/>
    <s v="Q5"/>
    <x v="2"/>
    <x v="1"/>
    <x v="4"/>
    <n v="0.13"/>
    <x v="0"/>
  </r>
  <r>
    <n v="727"/>
    <x v="2"/>
    <n v="2020"/>
    <x v="50"/>
    <x v="1"/>
    <n v="279707"/>
    <x v="1"/>
    <n v="14086.62"/>
    <s v="A3"/>
    <x v="1"/>
    <x v="1"/>
    <x v="6"/>
    <n v="0.05"/>
    <x v="0"/>
  </r>
  <r>
    <n v="728"/>
    <x v="4"/>
    <n v="2013"/>
    <x v="38"/>
    <x v="0"/>
    <n v="70729"/>
    <x v="2"/>
    <n v="20661.39"/>
    <s v="Accord"/>
    <x v="2"/>
    <x v="0"/>
    <x v="2"/>
    <n v="0.28999999999999998"/>
    <x v="1"/>
  </r>
  <r>
    <n v="729"/>
    <x v="4"/>
    <n v="2006"/>
    <x v="33"/>
    <x v="0"/>
    <n v="277845"/>
    <x v="1"/>
    <n v="21525.040000000001"/>
    <s v="Civic"/>
    <x v="2"/>
    <x v="1"/>
    <x v="11"/>
    <n v="0.08"/>
    <x v="1"/>
  </r>
  <r>
    <n v="730"/>
    <x v="0"/>
    <n v="2001"/>
    <x v="9"/>
    <x v="0"/>
    <n v="200144"/>
    <x v="0"/>
    <n v="85056.02"/>
    <s v="Model S"/>
    <x v="0"/>
    <x v="1"/>
    <x v="10"/>
    <n v="0.42"/>
    <x v="0"/>
  </r>
  <r>
    <n v="731"/>
    <x v="5"/>
    <n v="2008"/>
    <x v="20"/>
    <x v="0"/>
    <n v="215494"/>
    <x v="2"/>
    <n v="32010.37"/>
    <s v="GLC"/>
    <x v="3"/>
    <x v="1"/>
    <x v="22"/>
    <n v="0.15"/>
    <x v="0"/>
  </r>
  <r>
    <n v="732"/>
    <x v="0"/>
    <n v="2015"/>
    <x v="45"/>
    <x v="1"/>
    <n v="252615"/>
    <x v="0"/>
    <n v="72895.710000000006"/>
    <s v="Model X"/>
    <x v="0"/>
    <x v="1"/>
    <x v="16"/>
    <n v="0.28999999999999998"/>
    <x v="0"/>
  </r>
  <r>
    <n v="733"/>
    <x v="4"/>
    <n v="2012"/>
    <x v="41"/>
    <x v="1"/>
    <n v="128331"/>
    <x v="2"/>
    <n v="58944.68"/>
    <s v="Fit"/>
    <x v="0"/>
    <x v="0"/>
    <x v="15"/>
    <n v="0.46"/>
    <x v="1"/>
  </r>
  <r>
    <n v="734"/>
    <x v="2"/>
    <n v="2008"/>
    <x v="8"/>
    <x v="0"/>
    <n v="160482"/>
    <x v="0"/>
    <n v="97818.68"/>
    <s v="A4"/>
    <x v="1"/>
    <x v="1"/>
    <x v="22"/>
    <n v="0.61"/>
    <x v="0"/>
  </r>
  <r>
    <n v="735"/>
    <x v="3"/>
    <n v="2019"/>
    <x v="32"/>
    <x v="0"/>
    <n v="99280"/>
    <x v="2"/>
    <n v="30918.15"/>
    <s v="Fiesta"/>
    <x v="3"/>
    <x v="0"/>
    <x v="5"/>
    <n v="0.31"/>
    <x v="1"/>
  </r>
  <r>
    <n v="736"/>
    <x v="0"/>
    <n v="2003"/>
    <x v="21"/>
    <x v="0"/>
    <n v="189787"/>
    <x v="0"/>
    <n v="20045.439999999999"/>
    <s v="Model S"/>
    <x v="0"/>
    <x v="1"/>
    <x v="21"/>
    <n v="0.11"/>
    <x v="0"/>
  </r>
  <r>
    <n v="737"/>
    <x v="2"/>
    <n v="2021"/>
    <x v="0"/>
    <x v="0"/>
    <n v="38665"/>
    <x v="0"/>
    <n v="9943.59"/>
    <s v="A3"/>
    <x v="0"/>
    <x v="2"/>
    <x v="20"/>
    <n v="0.26"/>
    <x v="0"/>
  </r>
  <r>
    <n v="738"/>
    <x v="3"/>
    <n v="2009"/>
    <x v="18"/>
    <x v="1"/>
    <n v="278101"/>
    <x v="1"/>
    <n v="27891.17"/>
    <s v="Explorer"/>
    <x v="1"/>
    <x v="1"/>
    <x v="4"/>
    <n v="0.1"/>
    <x v="1"/>
  </r>
  <r>
    <n v="739"/>
    <x v="3"/>
    <n v="2021"/>
    <x v="23"/>
    <x v="0"/>
    <n v="259285"/>
    <x v="2"/>
    <n v="69986.73"/>
    <s v="Focus"/>
    <x v="1"/>
    <x v="1"/>
    <x v="20"/>
    <n v="0.27"/>
    <x v="1"/>
  </r>
  <r>
    <n v="740"/>
    <x v="4"/>
    <n v="2011"/>
    <x v="46"/>
    <x v="0"/>
    <n v="163947"/>
    <x v="2"/>
    <n v="13099.53"/>
    <s v="CR-V"/>
    <x v="2"/>
    <x v="1"/>
    <x v="3"/>
    <n v="0.08"/>
    <x v="1"/>
  </r>
  <r>
    <n v="741"/>
    <x v="0"/>
    <n v="2016"/>
    <x v="29"/>
    <x v="0"/>
    <n v="113828"/>
    <x v="1"/>
    <n v="28246.68"/>
    <s v="Model 3"/>
    <x v="0"/>
    <x v="0"/>
    <x v="0"/>
    <n v="0.25"/>
    <x v="0"/>
  </r>
  <r>
    <n v="742"/>
    <x v="1"/>
    <n v="2013"/>
    <x v="29"/>
    <x v="1"/>
    <n v="132698"/>
    <x v="0"/>
    <n v="86254.29"/>
    <s v="3 Series"/>
    <x v="3"/>
    <x v="0"/>
    <x v="2"/>
    <n v="0.65"/>
    <x v="0"/>
  </r>
  <r>
    <n v="743"/>
    <x v="6"/>
    <n v="2013"/>
    <x v="2"/>
    <x v="1"/>
    <n v="90815"/>
    <x v="0"/>
    <n v="60380.53"/>
    <s v="RAV4"/>
    <x v="1"/>
    <x v="0"/>
    <x v="2"/>
    <n v="0.66"/>
    <x v="1"/>
  </r>
  <r>
    <n v="744"/>
    <x v="4"/>
    <n v="2001"/>
    <x v="17"/>
    <x v="1"/>
    <n v="194894"/>
    <x v="2"/>
    <n v="11604.55"/>
    <s v="Fit"/>
    <x v="0"/>
    <x v="1"/>
    <x v="10"/>
    <n v="0.06"/>
    <x v="1"/>
  </r>
  <r>
    <n v="745"/>
    <x v="4"/>
    <n v="2020"/>
    <x v="28"/>
    <x v="0"/>
    <n v="203485"/>
    <x v="0"/>
    <n v="9529.9"/>
    <s v="Civic"/>
    <x v="3"/>
    <x v="1"/>
    <x v="6"/>
    <n v="0.05"/>
    <x v="1"/>
  </r>
  <r>
    <n v="746"/>
    <x v="1"/>
    <n v="2019"/>
    <x v="3"/>
    <x v="0"/>
    <n v="164714"/>
    <x v="2"/>
    <n v="10806.67"/>
    <s v="X5"/>
    <x v="0"/>
    <x v="1"/>
    <x v="5"/>
    <n v="7.0000000000000007E-2"/>
    <x v="0"/>
  </r>
  <r>
    <n v="747"/>
    <x v="6"/>
    <n v="2010"/>
    <x v="0"/>
    <x v="0"/>
    <n v="32356"/>
    <x v="2"/>
    <n v="94478.13"/>
    <s v="Prius"/>
    <x v="1"/>
    <x v="2"/>
    <x v="9"/>
    <n v="2.92"/>
    <x v="1"/>
  </r>
  <r>
    <n v="748"/>
    <x v="2"/>
    <n v="2015"/>
    <x v="14"/>
    <x v="1"/>
    <n v="265953"/>
    <x v="0"/>
    <n v="85737.79"/>
    <s v="Q5"/>
    <x v="2"/>
    <x v="1"/>
    <x v="16"/>
    <n v="0.32"/>
    <x v="0"/>
  </r>
  <r>
    <n v="749"/>
    <x v="5"/>
    <n v="2018"/>
    <x v="36"/>
    <x v="1"/>
    <n v="297019"/>
    <x v="0"/>
    <n v="85269.3"/>
    <s v="C-Class"/>
    <x v="0"/>
    <x v="1"/>
    <x v="1"/>
    <n v="0.28999999999999998"/>
    <x v="0"/>
  </r>
  <r>
    <n v="750"/>
    <x v="0"/>
    <n v="2022"/>
    <x v="32"/>
    <x v="0"/>
    <n v="241121"/>
    <x v="0"/>
    <n v="92800.59"/>
    <s v="Model 3"/>
    <x v="0"/>
    <x v="1"/>
    <x v="13"/>
    <n v="0.38"/>
    <x v="0"/>
  </r>
  <r>
    <n v="751"/>
    <x v="5"/>
    <n v="2005"/>
    <x v="32"/>
    <x v="0"/>
    <n v="271609"/>
    <x v="1"/>
    <n v="52999.26"/>
    <s v="C-Class"/>
    <x v="1"/>
    <x v="1"/>
    <x v="14"/>
    <n v="0.2"/>
    <x v="0"/>
  </r>
  <r>
    <n v="752"/>
    <x v="2"/>
    <n v="2023"/>
    <x v="48"/>
    <x v="1"/>
    <n v="197167"/>
    <x v="2"/>
    <n v="28497.74"/>
    <s v="Q7"/>
    <x v="2"/>
    <x v="1"/>
    <x v="8"/>
    <n v="0.14000000000000001"/>
    <x v="0"/>
  </r>
  <r>
    <n v="753"/>
    <x v="4"/>
    <n v="2018"/>
    <x v="36"/>
    <x v="0"/>
    <n v="196322"/>
    <x v="0"/>
    <n v="43128.06"/>
    <s v="Fit"/>
    <x v="3"/>
    <x v="1"/>
    <x v="1"/>
    <n v="0.22"/>
    <x v="1"/>
  </r>
  <r>
    <n v="754"/>
    <x v="6"/>
    <n v="2004"/>
    <x v="36"/>
    <x v="0"/>
    <n v="15250"/>
    <x v="1"/>
    <n v="73292.09"/>
    <s v="Prius"/>
    <x v="3"/>
    <x v="2"/>
    <x v="19"/>
    <n v="4.8099999999999996"/>
    <x v="1"/>
  </r>
  <r>
    <n v="755"/>
    <x v="4"/>
    <n v="2003"/>
    <x v="31"/>
    <x v="0"/>
    <n v="46023"/>
    <x v="0"/>
    <n v="88223.12"/>
    <s v="Accord"/>
    <x v="3"/>
    <x v="2"/>
    <x v="21"/>
    <n v="1.92"/>
    <x v="1"/>
  </r>
  <r>
    <n v="756"/>
    <x v="3"/>
    <n v="2014"/>
    <x v="4"/>
    <x v="1"/>
    <n v="101350"/>
    <x v="2"/>
    <n v="46333.64"/>
    <s v="Fiesta"/>
    <x v="0"/>
    <x v="0"/>
    <x v="12"/>
    <n v="0.46"/>
    <x v="1"/>
  </r>
  <r>
    <n v="757"/>
    <x v="4"/>
    <n v="2003"/>
    <x v="13"/>
    <x v="0"/>
    <n v="177696"/>
    <x v="1"/>
    <n v="55861.19"/>
    <s v="Fit"/>
    <x v="1"/>
    <x v="1"/>
    <x v="21"/>
    <n v="0.31"/>
    <x v="1"/>
  </r>
  <r>
    <n v="758"/>
    <x v="4"/>
    <n v="2019"/>
    <x v="30"/>
    <x v="0"/>
    <n v="16427"/>
    <x v="2"/>
    <n v="93519.38"/>
    <s v="Accord"/>
    <x v="3"/>
    <x v="2"/>
    <x v="5"/>
    <n v="5.69"/>
    <x v="1"/>
  </r>
  <r>
    <n v="759"/>
    <x v="2"/>
    <n v="2009"/>
    <x v="17"/>
    <x v="0"/>
    <n v="210084"/>
    <x v="0"/>
    <n v="15212.37"/>
    <s v="A3"/>
    <x v="0"/>
    <x v="1"/>
    <x v="4"/>
    <n v="7.0000000000000007E-2"/>
    <x v="0"/>
  </r>
  <r>
    <n v="760"/>
    <x v="2"/>
    <n v="2023"/>
    <x v="48"/>
    <x v="0"/>
    <n v="134511"/>
    <x v="0"/>
    <n v="86918.43"/>
    <s v="A4"/>
    <x v="1"/>
    <x v="0"/>
    <x v="8"/>
    <n v="0.65"/>
    <x v="0"/>
  </r>
  <r>
    <n v="761"/>
    <x v="2"/>
    <n v="2021"/>
    <x v="19"/>
    <x v="1"/>
    <n v="218403"/>
    <x v="0"/>
    <n v="20134.21"/>
    <s v="A3"/>
    <x v="1"/>
    <x v="1"/>
    <x v="20"/>
    <n v="0.09"/>
    <x v="0"/>
  </r>
  <r>
    <n v="762"/>
    <x v="5"/>
    <n v="2002"/>
    <x v="28"/>
    <x v="1"/>
    <n v="78672"/>
    <x v="1"/>
    <n v="50966.83"/>
    <s v="E-Class"/>
    <x v="0"/>
    <x v="0"/>
    <x v="23"/>
    <n v="0.65"/>
    <x v="0"/>
  </r>
  <r>
    <n v="763"/>
    <x v="3"/>
    <n v="2004"/>
    <x v="35"/>
    <x v="1"/>
    <n v="17300"/>
    <x v="1"/>
    <n v="25750.2"/>
    <s v="Mustang"/>
    <x v="0"/>
    <x v="2"/>
    <x v="19"/>
    <n v="1.49"/>
    <x v="1"/>
  </r>
  <r>
    <n v="764"/>
    <x v="2"/>
    <n v="2005"/>
    <x v="31"/>
    <x v="0"/>
    <n v="19659"/>
    <x v="1"/>
    <n v="62280.02"/>
    <s v="A3"/>
    <x v="3"/>
    <x v="2"/>
    <x v="14"/>
    <n v="3.17"/>
    <x v="0"/>
  </r>
  <r>
    <n v="765"/>
    <x v="6"/>
    <n v="2020"/>
    <x v="32"/>
    <x v="1"/>
    <n v="162475"/>
    <x v="1"/>
    <n v="58064.480000000003"/>
    <s v="Camry"/>
    <x v="1"/>
    <x v="1"/>
    <x v="6"/>
    <n v="0.36"/>
    <x v="1"/>
  </r>
  <r>
    <n v="766"/>
    <x v="5"/>
    <n v="2021"/>
    <x v="35"/>
    <x v="0"/>
    <n v="245259"/>
    <x v="0"/>
    <n v="41100.699999999997"/>
    <s v="GLC"/>
    <x v="2"/>
    <x v="1"/>
    <x v="20"/>
    <n v="0.17"/>
    <x v="0"/>
  </r>
  <r>
    <n v="767"/>
    <x v="1"/>
    <n v="2007"/>
    <x v="17"/>
    <x v="1"/>
    <n v="10360"/>
    <x v="0"/>
    <n v="87013.83"/>
    <s v="X3"/>
    <x v="0"/>
    <x v="2"/>
    <x v="17"/>
    <n v="8.4"/>
    <x v="0"/>
  </r>
  <r>
    <n v="768"/>
    <x v="6"/>
    <n v="2006"/>
    <x v="41"/>
    <x v="0"/>
    <n v="283568"/>
    <x v="0"/>
    <n v="67682.27"/>
    <s v="Camry"/>
    <x v="1"/>
    <x v="1"/>
    <x v="11"/>
    <n v="0.24"/>
    <x v="1"/>
  </r>
  <r>
    <n v="769"/>
    <x v="0"/>
    <n v="2020"/>
    <x v="8"/>
    <x v="1"/>
    <n v="98035"/>
    <x v="1"/>
    <n v="73514.490000000005"/>
    <s v="Model Y"/>
    <x v="0"/>
    <x v="0"/>
    <x v="6"/>
    <n v="0.75"/>
    <x v="0"/>
  </r>
  <r>
    <n v="770"/>
    <x v="0"/>
    <n v="2009"/>
    <x v="44"/>
    <x v="1"/>
    <n v="48791"/>
    <x v="1"/>
    <n v="19312.68"/>
    <s v="Model X"/>
    <x v="0"/>
    <x v="2"/>
    <x v="4"/>
    <n v="0.4"/>
    <x v="0"/>
  </r>
  <r>
    <n v="771"/>
    <x v="6"/>
    <n v="2005"/>
    <x v="8"/>
    <x v="1"/>
    <n v="199867"/>
    <x v="0"/>
    <n v="88900.74"/>
    <s v="RAV4"/>
    <x v="2"/>
    <x v="1"/>
    <x v="14"/>
    <n v="0.44"/>
    <x v="1"/>
  </r>
  <r>
    <n v="772"/>
    <x v="2"/>
    <n v="2013"/>
    <x v="1"/>
    <x v="0"/>
    <n v="274444"/>
    <x v="0"/>
    <n v="20868.82"/>
    <s v="Q5"/>
    <x v="3"/>
    <x v="1"/>
    <x v="2"/>
    <n v="0.08"/>
    <x v="0"/>
  </r>
  <r>
    <n v="773"/>
    <x v="1"/>
    <n v="2003"/>
    <x v="33"/>
    <x v="0"/>
    <n v="33370"/>
    <x v="1"/>
    <n v="26164.57"/>
    <s v="X5"/>
    <x v="2"/>
    <x v="2"/>
    <x v="21"/>
    <n v="0.78"/>
    <x v="0"/>
  </r>
  <r>
    <n v="774"/>
    <x v="1"/>
    <n v="2012"/>
    <x v="50"/>
    <x v="0"/>
    <n v="200903"/>
    <x v="2"/>
    <n v="17165.240000000002"/>
    <s v="3 Series"/>
    <x v="2"/>
    <x v="1"/>
    <x v="15"/>
    <n v="0.09"/>
    <x v="0"/>
  </r>
  <r>
    <n v="775"/>
    <x v="5"/>
    <n v="2019"/>
    <x v="48"/>
    <x v="1"/>
    <n v="27209"/>
    <x v="0"/>
    <n v="46834.12"/>
    <s v="GLC"/>
    <x v="0"/>
    <x v="2"/>
    <x v="5"/>
    <n v="1.72"/>
    <x v="0"/>
  </r>
  <r>
    <n v="776"/>
    <x v="1"/>
    <n v="2016"/>
    <x v="15"/>
    <x v="0"/>
    <n v="283071"/>
    <x v="0"/>
    <n v="89332.38"/>
    <s v="5 Series"/>
    <x v="1"/>
    <x v="1"/>
    <x v="0"/>
    <n v="0.32"/>
    <x v="0"/>
  </r>
  <r>
    <n v="777"/>
    <x v="0"/>
    <n v="2022"/>
    <x v="10"/>
    <x v="0"/>
    <n v="34579"/>
    <x v="0"/>
    <n v="28982.51"/>
    <s v="Model 3"/>
    <x v="0"/>
    <x v="2"/>
    <x v="13"/>
    <n v="0.84"/>
    <x v="0"/>
  </r>
  <r>
    <n v="778"/>
    <x v="3"/>
    <n v="2006"/>
    <x v="38"/>
    <x v="0"/>
    <n v="271176"/>
    <x v="1"/>
    <n v="40506.57"/>
    <s v="Mustang"/>
    <x v="1"/>
    <x v="1"/>
    <x v="11"/>
    <n v="0.15"/>
    <x v="1"/>
  </r>
  <r>
    <n v="779"/>
    <x v="2"/>
    <n v="2003"/>
    <x v="21"/>
    <x v="0"/>
    <n v="93254"/>
    <x v="0"/>
    <n v="85376.31"/>
    <s v="A3"/>
    <x v="2"/>
    <x v="0"/>
    <x v="21"/>
    <n v="0.92"/>
    <x v="0"/>
  </r>
  <r>
    <n v="780"/>
    <x v="1"/>
    <n v="2013"/>
    <x v="45"/>
    <x v="0"/>
    <n v="113528"/>
    <x v="0"/>
    <n v="63692.45"/>
    <s v="3 Series"/>
    <x v="1"/>
    <x v="0"/>
    <x v="2"/>
    <n v="0.56000000000000005"/>
    <x v="0"/>
  </r>
  <r>
    <n v="781"/>
    <x v="5"/>
    <n v="2002"/>
    <x v="25"/>
    <x v="0"/>
    <n v="223274"/>
    <x v="0"/>
    <n v="76403.56"/>
    <s v="GLA"/>
    <x v="0"/>
    <x v="1"/>
    <x v="23"/>
    <n v="0.34"/>
    <x v="0"/>
  </r>
  <r>
    <n v="782"/>
    <x v="0"/>
    <n v="2023"/>
    <x v="29"/>
    <x v="1"/>
    <n v="238292"/>
    <x v="0"/>
    <n v="25330"/>
    <s v="Model X"/>
    <x v="0"/>
    <x v="1"/>
    <x v="8"/>
    <n v="0.11"/>
    <x v="0"/>
  </r>
  <r>
    <n v="783"/>
    <x v="3"/>
    <n v="2004"/>
    <x v="40"/>
    <x v="1"/>
    <n v="181026"/>
    <x v="0"/>
    <n v="73066.539999999994"/>
    <s v="Focus"/>
    <x v="2"/>
    <x v="1"/>
    <x v="19"/>
    <n v="0.4"/>
    <x v="1"/>
  </r>
  <r>
    <n v="784"/>
    <x v="4"/>
    <n v="2015"/>
    <x v="44"/>
    <x v="0"/>
    <n v="248342"/>
    <x v="2"/>
    <n v="26623"/>
    <s v="CR-V"/>
    <x v="2"/>
    <x v="1"/>
    <x v="16"/>
    <n v="0.11"/>
    <x v="1"/>
  </r>
  <r>
    <n v="785"/>
    <x v="4"/>
    <n v="2022"/>
    <x v="3"/>
    <x v="1"/>
    <n v="219437"/>
    <x v="2"/>
    <n v="98794.83"/>
    <s v="CR-V"/>
    <x v="2"/>
    <x v="1"/>
    <x v="13"/>
    <n v="0.45"/>
    <x v="1"/>
  </r>
  <r>
    <n v="786"/>
    <x v="3"/>
    <n v="2019"/>
    <x v="8"/>
    <x v="1"/>
    <n v="278076"/>
    <x v="0"/>
    <n v="58189.18"/>
    <s v="Fiesta"/>
    <x v="0"/>
    <x v="1"/>
    <x v="5"/>
    <n v="0.21"/>
    <x v="1"/>
  </r>
  <r>
    <n v="787"/>
    <x v="0"/>
    <n v="2003"/>
    <x v="38"/>
    <x v="0"/>
    <n v="287858"/>
    <x v="0"/>
    <n v="71085.73"/>
    <s v="Model 3"/>
    <x v="0"/>
    <x v="1"/>
    <x v="21"/>
    <n v="0.25"/>
    <x v="0"/>
  </r>
  <r>
    <n v="788"/>
    <x v="5"/>
    <n v="2023"/>
    <x v="30"/>
    <x v="0"/>
    <n v="57803"/>
    <x v="0"/>
    <n v="16248.15"/>
    <s v="E-Class"/>
    <x v="0"/>
    <x v="0"/>
    <x v="8"/>
    <n v="0.28000000000000003"/>
    <x v="0"/>
  </r>
  <r>
    <n v="789"/>
    <x v="3"/>
    <n v="2023"/>
    <x v="36"/>
    <x v="1"/>
    <n v="133624"/>
    <x v="0"/>
    <n v="28812.32"/>
    <s v="Mustang"/>
    <x v="1"/>
    <x v="0"/>
    <x v="8"/>
    <n v="0.22"/>
    <x v="1"/>
  </r>
  <r>
    <n v="790"/>
    <x v="2"/>
    <n v="2001"/>
    <x v="45"/>
    <x v="0"/>
    <n v="56627"/>
    <x v="1"/>
    <n v="18275.36"/>
    <s v="A3"/>
    <x v="0"/>
    <x v="0"/>
    <x v="10"/>
    <n v="0.32"/>
    <x v="0"/>
  </r>
  <r>
    <n v="791"/>
    <x v="2"/>
    <n v="2017"/>
    <x v="15"/>
    <x v="1"/>
    <n v="177059"/>
    <x v="1"/>
    <n v="42066.22"/>
    <s v="Q5"/>
    <x v="3"/>
    <x v="1"/>
    <x v="7"/>
    <n v="0.24"/>
    <x v="0"/>
  </r>
  <r>
    <n v="792"/>
    <x v="4"/>
    <n v="2018"/>
    <x v="19"/>
    <x v="1"/>
    <n v="45380"/>
    <x v="1"/>
    <n v="31992.91"/>
    <s v="Fit"/>
    <x v="3"/>
    <x v="2"/>
    <x v="1"/>
    <n v="0.71"/>
    <x v="1"/>
  </r>
  <r>
    <n v="793"/>
    <x v="1"/>
    <n v="2018"/>
    <x v="32"/>
    <x v="1"/>
    <n v="160322"/>
    <x v="2"/>
    <n v="74627.61"/>
    <s v="5 Series"/>
    <x v="3"/>
    <x v="1"/>
    <x v="1"/>
    <n v="0.47"/>
    <x v="0"/>
  </r>
  <r>
    <n v="794"/>
    <x v="5"/>
    <n v="2016"/>
    <x v="3"/>
    <x v="0"/>
    <n v="199416"/>
    <x v="0"/>
    <n v="15327.35"/>
    <s v="E-Class"/>
    <x v="3"/>
    <x v="1"/>
    <x v="0"/>
    <n v="0.08"/>
    <x v="0"/>
  </r>
  <r>
    <n v="795"/>
    <x v="4"/>
    <n v="2013"/>
    <x v="35"/>
    <x v="1"/>
    <n v="146367"/>
    <x v="1"/>
    <n v="76445.64"/>
    <s v="Fit"/>
    <x v="2"/>
    <x v="0"/>
    <x v="2"/>
    <n v="0.52"/>
    <x v="1"/>
  </r>
  <r>
    <n v="796"/>
    <x v="1"/>
    <n v="2018"/>
    <x v="0"/>
    <x v="0"/>
    <n v="272667"/>
    <x v="0"/>
    <n v="9341.9599999999991"/>
    <s v="X3"/>
    <x v="2"/>
    <x v="1"/>
    <x v="1"/>
    <n v="0.03"/>
    <x v="0"/>
  </r>
  <r>
    <n v="797"/>
    <x v="1"/>
    <n v="2021"/>
    <x v="9"/>
    <x v="0"/>
    <n v="259125"/>
    <x v="0"/>
    <n v="24191.69"/>
    <s v="X3"/>
    <x v="0"/>
    <x v="1"/>
    <x v="20"/>
    <n v="0.09"/>
    <x v="0"/>
  </r>
  <r>
    <n v="798"/>
    <x v="2"/>
    <n v="2023"/>
    <x v="36"/>
    <x v="0"/>
    <n v="13769"/>
    <x v="2"/>
    <n v="80236.67"/>
    <s v="A4"/>
    <x v="0"/>
    <x v="2"/>
    <x v="8"/>
    <n v="5.83"/>
    <x v="0"/>
  </r>
  <r>
    <n v="799"/>
    <x v="0"/>
    <n v="2012"/>
    <x v="40"/>
    <x v="0"/>
    <n v="112035"/>
    <x v="2"/>
    <n v="75563.78"/>
    <s v="Model X"/>
    <x v="0"/>
    <x v="0"/>
    <x v="15"/>
    <n v="0.67"/>
    <x v="0"/>
  </r>
  <r>
    <n v="800"/>
    <x v="6"/>
    <n v="2011"/>
    <x v="1"/>
    <x v="0"/>
    <n v="175717"/>
    <x v="1"/>
    <n v="50250.98"/>
    <s v="Camry"/>
    <x v="1"/>
    <x v="1"/>
    <x v="3"/>
    <n v="0.28999999999999998"/>
    <x v="1"/>
  </r>
  <r>
    <n v="801"/>
    <x v="0"/>
    <n v="2005"/>
    <x v="38"/>
    <x v="1"/>
    <n v="221815"/>
    <x v="1"/>
    <n v="9748.36"/>
    <s v="Model Y"/>
    <x v="0"/>
    <x v="1"/>
    <x v="14"/>
    <n v="0.04"/>
    <x v="0"/>
  </r>
  <r>
    <n v="802"/>
    <x v="6"/>
    <n v="2020"/>
    <x v="30"/>
    <x v="0"/>
    <n v="231832"/>
    <x v="2"/>
    <n v="62939.91"/>
    <s v="Camry"/>
    <x v="0"/>
    <x v="1"/>
    <x v="6"/>
    <n v="0.27"/>
    <x v="1"/>
  </r>
  <r>
    <n v="803"/>
    <x v="3"/>
    <n v="2003"/>
    <x v="15"/>
    <x v="0"/>
    <n v="156629"/>
    <x v="2"/>
    <n v="43638.79"/>
    <s v="Focus"/>
    <x v="3"/>
    <x v="1"/>
    <x v="21"/>
    <n v="0.28000000000000003"/>
    <x v="1"/>
  </r>
  <r>
    <n v="804"/>
    <x v="2"/>
    <n v="2018"/>
    <x v="20"/>
    <x v="0"/>
    <n v="234799"/>
    <x v="0"/>
    <n v="35070.17"/>
    <s v="Q7"/>
    <x v="0"/>
    <x v="1"/>
    <x v="1"/>
    <n v="0.15"/>
    <x v="0"/>
  </r>
  <r>
    <n v="805"/>
    <x v="1"/>
    <n v="2015"/>
    <x v="10"/>
    <x v="0"/>
    <n v="168157"/>
    <x v="0"/>
    <n v="65839.009999999995"/>
    <s v="5 Series"/>
    <x v="3"/>
    <x v="1"/>
    <x v="16"/>
    <n v="0.39"/>
    <x v="0"/>
  </r>
  <r>
    <n v="806"/>
    <x v="5"/>
    <n v="2012"/>
    <x v="32"/>
    <x v="0"/>
    <n v="144542"/>
    <x v="1"/>
    <n v="46478.38"/>
    <s v="GLA"/>
    <x v="1"/>
    <x v="0"/>
    <x v="15"/>
    <n v="0.32"/>
    <x v="0"/>
  </r>
  <r>
    <n v="807"/>
    <x v="6"/>
    <n v="2003"/>
    <x v="50"/>
    <x v="1"/>
    <n v="118643"/>
    <x v="1"/>
    <n v="13780"/>
    <s v="Corolla"/>
    <x v="3"/>
    <x v="0"/>
    <x v="21"/>
    <n v="0.12"/>
    <x v="1"/>
  </r>
  <r>
    <n v="808"/>
    <x v="0"/>
    <n v="2022"/>
    <x v="40"/>
    <x v="0"/>
    <n v="210154"/>
    <x v="2"/>
    <n v="92015.29"/>
    <s v="Model S"/>
    <x v="0"/>
    <x v="1"/>
    <x v="13"/>
    <n v="0.44"/>
    <x v="0"/>
  </r>
  <r>
    <n v="809"/>
    <x v="1"/>
    <n v="2016"/>
    <x v="10"/>
    <x v="0"/>
    <n v="137877"/>
    <x v="1"/>
    <n v="78956.84"/>
    <s v="3 Series"/>
    <x v="1"/>
    <x v="0"/>
    <x v="0"/>
    <n v="0.56999999999999995"/>
    <x v="0"/>
  </r>
  <r>
    <n v="810"/>
    <x v="6"/>
    <n v="2022"/>
    <x v="12"/>
    <x v="1"/>
    <n v="213396"/>
    <x v="0"/>
    <n v="10355.93"/>
    <s v="Prius"/>
    <x v="0"/>
    <x v="1"/>
    <x v="13"/>
    <n v="0.05"/>
    <x v="1"/>
  </r>
  <r>
    <n v="811"/>
    <x v="6"/>
    <n v="2000"/>
    <x v="45"/>
    <x v="0"/>
    <n v="225956"/>
    <x v="2"/>
    <n v="54881.07"/>
    <s v="Prius"/>
    <x v="1"/>
    <x v="1"/>
    <x v="18"/>
    <n v="0.24"/>
    <x v="1"/>
  </r>
  <r>
    <n v="812"/>
    <x v="6"/>
    <n v="2017"/>
    <x v="27"/>
    <x v="1"/>
    <n v="181844"/>
    <x v="0"/>
    <n v="12920.87"/>
    <s v="Corolla"/>
    <x v="2"/>
    <x v="1"/>
    <x v="7"/>
    <n v="7.0000000000000007E-2"/>
    <x v="1"/>
  </r>
  <r>
    <n v="813"/>
    <x v="5"/>
    <n v="2019"/>
    <x v="42"/>
    <x v="1"/>
    <n v="101422"/>
    <x v="2"/>
    <n v="84542.54"/>
    <s v="GLA"/>
    <x v="2"/>
    <x v="0"/>
    <x v="5"/>
    <n v="0.83"/>
    <x v="0"/>
  </r>
  <r>
    <n v="814"/>
    <x v="2"/>
    <n v="2016"/>
    <x v="11"/>
    <x v="1"/>
    <n v="268774"/>
    <x v="2"/>
    <n v="63236.33"/>
    <s v="Q7"/>
    <x v="2"/>
    <x v="1"/>
    <x v="0"/>
    <n v="0.24"/>
    <x v="0"/>
  </r>
  <r>
    <n v="815"/>
    <x v="5"/>
    <n v="2014"/>
    <x v="18"/>
    <x v="1"/>
    <n v="277845"/>
    <x v="0"/>
    <n v="21382.67"/>
    <s v="C-Class"/>
    <x v="0"/>
    <x v="1"/>
    <x v="12"/>
    <n v="0.08"/>
    <x v="0"/>
  </r>
  <r>
    <n v="816"/>
    <x v="4"/>
    <n v="2010"/>
    <x v="28"/>
    <x v="0"/>
    <n v="145931"/>
    <x v="1"/>
    <n v="6970.43"/>
    <s v="CR-V"/>
    <x v="2"/>
    <x v="0"/>
    <x v="9"/>
    <n v="0.05"/>
    <x v="1"/>
  </r>
  <r>
    <n v="817"/>
    <x v="1"/>
    <n v="2021"/>
    <x v="12"/>
    <x v="0"/>
    <n v="117556"/>
    <x v="1"/>
    <n v="8000.2"/>
    <s v="5 Series"/>
    <x v="0"/>
    <x v="0"/>
    <x v="20"/>
    <n v="7.0000000000000007E-2"/>
    <x v="0"/>
  </r>
  <r>
    <n v="818"/>
    <x v="2"/>
    <n v="2012"/>
    <x v="8"/>
    <x v="1"/>
    <n v="228495"/>
    <x v="1"/>
    <n v="53199.72"/>
    <s v="Q7"/>
    <x v="0"/>
    <x v="1"/>
    <x v="15"/>
    <n v="0.23"/>
    <x v="0"/>
  </r>
  <r>
    <n v="819"/>
    <x v="2"/>
    <n v="2000"/>
    <x v="24"/>
    <x v="1"/>
    <n v="254809"/>
    <x v="1"/>
    <n v="74765.48"/>
    <s v="Q7"/>
    <x v="2"/>
    <x v="1"/>
    <x v="18"/>
    <n v="0.28999999999999998"/>
    <x v="0"/>
  </r>
  <r>
    <n v="820"/>
    <x v="2"/>
    <n v="2016"/>
    <x v="26"/>
    <x v="0"/>
    <n v="205384"/>
    <x v="0"/>
    <n v="16479.84"/>
    <s v="Q7"/>
    <x v="1"/>
    <x v="1"/>
    <x v="0"/>
    <n v="0.08"/>
    <x v="0"/>
  </r>
  <r>
    <n v="821"/>
    <x v="0"/>
    <n v="2005"/>
    <x v="3"/>
    <x v="1"/>
    <n v="15021"/>
    <x v="2"/>
    <n v="26021.99"/>
    <s v="Model S"/>
    <x v="0"/>
    <x v="2"/>
    <x v="14"/>
    <n v="1.73"/>
    <x v="0"/>
  </r>
  <r>
    <n v="822"/>
    <x v="2"/>
    <n v="2003"/>
    <x v="15"/>
    <x v="1"/>
    <n v="200935"/>
    <x v="0"/>
    <n v="36089.69"/>
    <s v="Q5"/>
    <x v="0"/>
    <x v="1"/>
    <x v="21"/>
    <n v="0.18"/>
    <x v="0"/>
  </r>
  <r>
    <n v="823"/>
    <x v="5"/>
    <n v="2019"/>
    <x v="43"/>
    <x v="1"/>
    <n v="204222"/>
    <x v="1"/>
    <n v="25717.29"/>
    <s v="GLA"/>
    <x v="2"/>
    <x v="1"/>
    <x v="5"/>
    <n v="0.13"/>
    <x v="0"/>
  </r>
  <r>
    <n v="824"/>
    <x v="2"/>
    <n v="2015"/>
    <x v="33"/>
    <x v="0"/>
    <n v="64361"/>
    <x v="1"/>
    <n v="42176.97"/>
    <s v="Q7"/>
    <x v="0"/>
    <x v="0"/>
    <x v="16"/>
    <n v="0.66"/>
    <x v="0"/>
  </r>
  <r>
    <n v="825"/>
    <x v="3"/>
    <n v="2014"/>
    <x v="1"/>
    <x v="1"/>
    <n v="272499"/>
    <x v="0"/>
    <n v="58163.43"/>
    <s v="Explorer"/>
    <x v="1"/>
    <x v="1"/>
    <x v="12"/>
    <n v="0.21"/>
    <x v="1"/>
  </r>
  <r>
    <n v="826"/>
    <x v="1"/>
    <n v="2014"/>
    <x v="40"/>
    <x v="0"/>
    <n v="98841"/>
    <x v="2"/>
    <n v="70068.990000000005"/>
    <s v="5 Series"/>
    <x v="1"/>
    <x v="0"/>
    <x v="12"/>
    <n v="0.71"/>
    <x v="0"/>
  </r>
  <r>
    <n v="827"/>
    <x v="2"/>
    <n v="2005"/>
    <x v="11"/>
    <x v="0"/>
    <n v="180076"/>
    <x v="0"/>
    <n v="96558.64"/>
    <s v="A3"/>
    <x v="2"/>
    <x v="1"/>
    <x v="14"/>
    <n v="0.54"/>
    <x v="0"/>
  </r>
  <r>
    <n v="828"/>
    <x v="1"/>
    <n v="2014"/>
    <x v="32"/>
    <x v="0"/>
    <n v="246300"/>
    <x v="0"/>
    <n v="93430.15"/>
    <s v="5 Series"/>
    <x v="0"/>
    <x v="1"/>
    <x v="12"/>
    <n v="0.38"/>
    <x v="0"/>
  </r>
  <r>
    <n v="829"/>
    <x v="3"/>
    <n v="2013"/>
    <x v="47"/>
    <x v="1"/>
    <n v="160786"/>
    <x v="0"/>
    <n v="59162.06"/>
    <s v="Explorer"/>
    <x v="3"/>
    <x v="1"/>
    <x v="2"/>
    <n v="0.37"/>
    <x v="1"/>
  </r>
  <r>
    <n v="830"/>
    <x v="3"/>
    <n v="2010"/>
    <x v="19"/>
    <x v="1"/>
    <n v="17198"/>
    <x v="2"/>
    <n v="74744.259999999995"/>
    <s v="Explorer"/>
    <x v="3"/>
    <x v="2"/>
    <x v="9"/>
    <n v="4.3499999999999996"/>
    <x v="1"/>
  </r>
  <r>
    <n v="831"/>
    <x v="1"/>
    <n v="2006"/>
    <x v="33"/>
    <x v="0"/>
    <n v="258466"/>
    <x v="0"/>
    <n v="95332.86"/>
    <s v="X3"/>
    <x v="0"/>
    <x v="1"/>
    <x v="11"/>
    <n v="0.37"/>
    <x v="0"/>
  </r>
  <r>
    <n v="832"/>
    <x v="6"/>
    <n v="2008"/>
    <x v="19"/>
    <x v="0"/>
    <n v="18740"/>
    <x v="0"/>
    <n v="12929.83"/>
    <s v="Corolla"/>
    <x v="0"/>
    <x v="2"/>
    <x v="22"/>
    <n v="0.69"/>
    <x v="1"/>
  </r>
  <r>
    <n v="833"/>
    <x v="4"/>
    <n v="2015"/>
    <x v="23"/>
    <x v="0"/>
    <n v="265954"/>
    <x v="1"/>
    <n v="5535.3"/>
    <s v="Civic"/>
    <x v="0"/>
    <x v="1"/>
    <x v="16"/>
    <n v="0.02"/>
    <x v="1"/>
  </r>
  <r>
    <n v="834"/>
    <x v="0"/>
    <n v="2004"/>
    <x v="35"/>
    <x v="1"/>
    <n v="258308"/>
    <x v="0"/>
    <n v="7830.98"/>
    <s v="Model Y"/>
    <x v="0"/>
    <x v="1"/>
    <x v="19"/>
    <n v="0.03"/>
    <x v="0"/>
  </r>
  <r>
    <n v="835"/>
    <x v="6"/>
    <n v="2019"/>
    <x v="24"/>
    <x v="1"/>
    <n v="99855"/>
    <x v="1"/>
    <n v="58518.19"/>
    <s v="Corolla"/>
    <x v="1"/>
    <x v="0"/>
    <x v="5"/>
    <n v="0.59"/>
    <x v="1"/>
  </r>
  <r>
    <n v="836"/>
    <x v="6"/>
    <n v="2009"/>
    <x v="0"/>
    <x v="0"/>
    <n v="210192"/>
    <x v="1"/>
    <n v="77469.179999999993"/>
    <s v="RAV4"/>
    <x v="3"/>
    <x v="1"/>
    <x v="4"/>
    <n v="0.37"/>
    <x v="1"/>
  </r>
  <r>
    <n v="837"/>
    <x v="5"/>
    <n v="2017"/>
    <x v="19"/>
    <x v="0"/>
    <n v="288927"/>
    <x v="1"/>
    <n v="39872.120000000003"/>
    <s v="E-Class"/>
    <x v="2"/>
    <x v="1"/>
    <x v="7"/>
    <n v="0.14000000000000001"/>
    <x v="0"/>
  </r>
  <r>
    <n v="838"/>
    <x v="0"/>
    <n v="2002"/>
    <x v="48"/>
    <x v="1"/>
    <n v="121701"/>
    <x v="2"/>
    <n v="56797.72"/>
    <s v="Model Y"/>
    <x v="0"/>
    <x v="0"/>
    <x v="23"/>
    <n v="0.47"/>
    <x v="0"/>
  </r>
  <r>
    <n v="839"/>
    <x v="0"/>
    <n v="2012"/>
    <x v="34"/>
    <x v="0"/>
    <n v="271615"/>
    <x v="1"/>
    <n v="54054.8"/>
    <s v="Model Y"/>
    <x v="0"/>
    <x v="1"/>
    <x v="15"/>
    <n v="0.2"/>
    <x v="0"/>
  </r>
  <r>
    <n v="840"/>
    <x v="6"/>
    <n v="2010"/>
    <x v="41"/>
    <x v="1"/>
    <n v="110771"/>
    <x v="0"/>
    <n v="14003.23"/>
    <s v="Corolla"/>
    <x v="1"/>
    <x v="0"/>
    <x v="9"/>
    <n v="0.13"/>
    <x v="1"/>
  </r>
  <r>
    <n v="841"/>
    <x v="2"/>
    <n v="2016"/>
    <x v="14"/>
    <x v="1"/>
    <n v="6163"/>
    <x v="0"/>
    <n v="35550.89"/>
    <s v="A4"/>
    <x v="0"/>
    <x v="2"/>
    <x v="0"/>
    <n v="5.77"/>
    <x v="0"/>
  </r>
  <r>
    <n v="842"/>
    <x v="5"/>
    <n v="2021"/>
    <x v="4"/>
    <x v="0"/>
    <n v="16065"/>
    <x v="1"/>
    <n v="6846.34"/>
    <s v="GLA"/>
    <x v="2"/>
    <x v="2"/>
    <x v="20"/>
    <n v="0.43"/>
    <x v="0"/>
  </r>
  <r>
    <n v="843"/>
    <x v="5"/>
    <n v="2012"/>
    <x v="50"/>
    <x v="0"/>
    <n v="241262"/>
    <x v="1"/>
    <n v="15517.04"/>
    <s v="C-Class"/>
    <x v="2"/>
    <x v="1"/>
    <x v="15"/>
    <n v="0.06"/>
    <x v="0"/>
  </r>
  <r>
    <n v="844"/>
    <x v="3"/>
    <n v="2005"/>
    <x v="5"/>
    <x v="1"/>
    <n v="248924"/>
    <x v="0"/>
    <n v="82126.53"/>
    <s v="Fiesta"/>
    <x v="1"/>
    <x v="1"/>
    <x v="14"/>
    <n v="0.33"/>
    <x v="1"/>
  </r>
  <r>
    <n v="845"/>
    <x v="0"/>
    <n v="2016"/>
    <x v="22"/>
    <x v="1"/>
    <n v="179420"/>
    <x v="1"/>
    <n v="83794.28"/>
    <s v="Model 3"/>
    <x v="0"/>
    <x v="1"/>
    <x v="0"/>
    <n v="0.47"/>
    <x v="0"/>
  </r>
  <r>
    <n v="846"/>
    <x v="6"/>
    <n v="2012"/>
    <x v="21"/>
    <x v="1"/>
    <n v="281298"/>
    <x v="2"/>
    <n v="81184.899999999994"/>
    <s v="Camry"/>
    <x v="3"/>
    <x v="1"/>
    <x v="15"/>
    <n v="0.28999999999999998"/>
    <x v="1"/>
  </r>
  <r>
    <n v="847"/>
    <x v="3"/>
    <n v="2018"/>
    <x v="18"/>
    <x v="1"/>
    <n v="20229"/>
    <x v="1"/>
    <n v="74047.77"/>
    <s v="Focus"/>
    <x v="2"/>
    <x v="2"/>
    <x v="1"/>
    <n v="3.66"/>
    <x v="1"/>
  </r>
  <r>
    <n v="848"/>
    <x v="1"/>
    <n v="2020"/>
    <x v="15"/>
    <x v="1"/>
    <n v="250470"/>
    <x v="2"/>
    <n v="80364.72"/>
    <s v="X5"/>
    <x v="2"/>
    <x v="1"/>
    <x v="6"/>
    <n v="0.32"/>
    <x v="0"/>
  </r>
  <r>
    <n v="849"/>
    <x v="4"/>
    <n v="2018"/>
    <x v="25"/>
    <x v="0"/>
    <n v="158069"/>
    <x v="2"/>
    <n v="68743.320000000007"/>
    <s v="Civic"/>
    <x v="2"/>
    <x v="1"/>
    <x v="1"/>
    <n v="0.43"/>
    <x v="1"/>
  </r>
  <r>
    <n v="850"/>
    <x v="5"/>
    <n v="2009"/>
    <x v="46"/>
    <x v="1"/>
    <n v="21101"/>
    <x v="2"/>
    <n v="68634.17"/>
    <s v="GLC"/>
    <x v="3"/>
    <x v="2"/>
    <x v="4"/>
    <n v="3.25"/>
    <x v="0"/>
  </r>
  <r>
    <n v="851"/>
    <x v="1"/>
    <n v="2002"/>
    <x v="1"/>
    <x v="1"/>
    <n v="40391"/>
    <x v="1"/>
    <n v="68399.37"/>
    <s v="3 Series"/>
    <x v="0"/>
    <x v="2"/>
    <x v="23"/>
    <n v="1.69"/>
    <x v="0"/>
  </r>
  <r>
    <n v="852"/>
    <x v="1"/>
    <n v="2013"/>
    <x v="31"/>
    <x v="1"/>
    <n v="206935"/>
    <x v="2"/>
    <n v="53834.07"/>
    <s v="3 Series"/>
    <x v="2"/>
    <x v="1"/>
    <x v="2"/>
    <n v="0.26"/>
    <x v="0"/>
  </r>
  <r>
    <n v="853"/>
    <x v="2"/>
    <n v="2018"/>
    <x v="8"/>
    <x v="0"/>
    <n v="72723"/>
    <x v="2"/>
    <n v="39517.99"/>
    <s v="Q7"/>
    <x v="1"/>
    <x v="0"/>
    <x v="1"/>
    <n v="0.54"/>
    <x v="0"/>
  </r>
  <r>
    <n v="854"/>
    <x v="4"/>
    <n v="2004"/>
    <x v="15"/>
    <x v="0"/>
    <n v="226293"/>
    <x v="1"/>
    <n v="74368.55"/>
    <s v="Civic"/>
    <x v="3"/>
    <x v="1"/>
    <x v="19"/>
    <n v="0.33"/>
    <x v="1"/>
  </r>
  <r>
    <n v="855"/>
    <x v="1"/>
    <n v="2004"/>
    <x v="39"/>
    <x v="1"/>
    <n v="190477"/>
    <x v="2"/>
    <n v="33371.370000000003"/>
    <s v="5 Series"/>
    <x v="1"/>
    <x v="1"/>
    <x v="19"/>
    <n v="0.18"/>
    <x v="0"/>
  </r>
  <r>
    <n v="856"/>
    <x v="1"/>
    <n v="2019"/>
    <x v="0"/>
    <x v="1"/>
    <n v="166020"/>
    <x v="1"/>
    <n v="56575.7"/>
    <s v="X5"/>
    <x v="2"/>
    <x v="1"/>
    <x v="5"/>
    <n v="0.34"/>
    <x v="0"/>
  </r>
  <r>
    <n v="857"/>
    <x v="4"/>
    <n v="2016"/>
    <x v="49"/>
    <x v="0"/>
    <n v="290604"/>
    <x v="0"/>
    <n v="46168.78"/>
    <s v="Accord"/>
    <x v="1"/>
    <x v="1"/>
    <x v="0"/>
    <n v="0.16"/>
    <x v="1"/>
  </r>
  <r>
    <n v="858"/>
    <x v="4"/>
    <n v="2020"/>
    <x v="16"/>
    <x v="0"/>
    <n v="197190"/>
    <x v="2"/>
    <n v="31279.119999999999"/>
    <s v="CR-V"/>
    <x v="2"/>
    <x v="1"/>
    <x v="6"/>
    <n v="0.16"/>
    <x v="1"/>
  </r>
  <r>
    <n v="859"/>
    <x v="1"/>
    <n v="2009"/>
    <x v="6"/>
    <x v="0"/>
    <n v="179354"/>
    <x v="1"/>
    <n v="97595.54"/>
    <s v="3 Series"/>
    <x v="3"/>
    <x v="1"/>
    <x v="4"/>
    <n v="0.54"/>
    <x v="0"/>
  </r>
  <r>
    <n v="860"/>
    <x v="4"/>
    <n v="2004"/>
    <x v="38"/>
    <x v="0"/>
    <n v="91725"/>
    <x v="0"/>
    <n v="29581.41"/>
    <s v="Accord"/>
    <x v="1"/>
    <x v="0"/>
    <x v="19"/>
    <n v="0.32"/>
    <x v="1"/>
  </r>
  <r>
    <n v="861"/>
    <x v="1"/>
    <n v="2003"/>
    <x v="1"/>
    <x v="1"/>
    <n v="212139"/>
    <x v="2"/>
    <n v="34382.839999999997"/>
    <s v="3 Series"/>
    <x v="1"/>
    <x v="1"/>
    <x v="21"/>
    <n v="0.16"/>
    <x v="0"/>
  </r>
  <r>
    <n v="862"/>
    <x v="1"/>
    <n v="2005"/>
    <x v="44"/>
    <x v="0"/>
    <n v="85779"/>
    <x v="2"/>
    <n v="20350.810000000001"/>
    <s v="3 Series"/>
    <x v="2"/>
    <x v="0"/>
    <x v="14"/>
    <n v="0.24"/>
    <x v="0"/>
  </r>
  <r>
    <n v="863"/>
    <x v="2"/>
    <n v="2003"/>
    <x v="8"/>
    <x v="1"/>
    <n v="3060"/>
    <x v="1"/>
    <n v="83183.16"/>
    <s v="A4"/>
    <x v="2"/>
    <x v="2"/>
    <x v="21"/>
    <n v="27.18"/>
    <x v="0"/>
  </r>
  <r>
    <n v="864"/>
    <x v="6"/>
    <n v="2006"/>
    <x v="20"/>
    <x v="1"/>
    <n v="125806"/>
    <x v="0"/>
    <n v="60725.99"/>
    <s v="RAV4"/>
    <x v="0"/>
    <x v="0"/>
    <x v="11"/>
    <n v="0.48"/>
    <x v="1"/>
  </r>
  <r>
    <n v="865"/>
    <x v="1"/>
    <n v="2006"/>
    <x v="3"/>
    <x v="0"/>
    <n v="275875"/>
    <x v="1"/>
    <n v="63238.73"/>
    <s v="3 Series"/>
    <x v="2"/>
    <x v="1"/>
    <x v="11"/>
    <n v="0.23"/>
    <x v="0"/>
  </r>
  <r>
    <n v="866"/>
    <x v="3"/>
    <n v="2017"/>
    <x v="28"/>
    <x v="0"/>
    <n v="115871"/>
    <x v="2"/>
    <n v="82953.33"/>
    <s v="Explorer"/>
    <x v="2"/>
    <x v="0"/>
    <x v="7"/>
    <n v="0.72"/>
    <x v="1"/>
  </r>
  <r>
    <n v="867"/>
    <x v="5"/>
    <n v="2002"/>
    <x v="41"/>
    <x v="0"/>
    <n v="20719"/>
    <x v="2"/>
    <n v="37577.370000000003"/>
    <s v="GLC"/>
    <x v="0"/>
    <x v="2"/>
    <x v="23"/>
    <n v="1.81"/>
    <x v="0"/>
  </r>
  <r>
    <n v="868"/>
    <x v="0"/>
    <n v="2000"/>
    <x v="33"/>
    <x v="0"/>
    <n v="49116"/>
    <x v="2"/>
    <n v="23395.18"/>
    <s v="Model 3"/>
    <x v="0"/>
    <x v="2"/>
    <x v="18"/>
    <n v="0.48"/>
    <x v="0"/>
  </r>
  <r>
    <n v="869"/>
    <x v="6"/>
    <n v="2023"/>
    <x v="40"/>
    <x v="1"/>
    <n v="26325"/>
    <x v="2"/>
    <n v="23848.51"/>
    <s v="RAV4"/>
    <x v="2"/>
    <x v="2"/>
    <x v="8"/>
    <n v="0.91"/>
    <x v="1"/>
  </r>
  <r>
    <n v="870"/>
    <x v="6"/>
    <n v="2003"/>
    <x v="10"/>
    <x v="1"/>
    <n v="14551"/>
    <x v="0"/>
    <n v="74598.880000000005"/>
    <s v="RAV4"/>
    <x v="0"/>
    <x v="2"/>
    <x v="21"/>
    <n v="5.13"/>
    <x v="1"/>
  </r>
  <r>
    <n v="871"/>
    <x v="6"/>
    <n v="2005"/>
    <x v="20"/>
    <x v="1"/>
    <n v="286422"/>
    <x v="0"/>
    <n v="63340.94"/>
    <s v="Prius"/>
    <x v="3"/>
    <x v="1"/>
    <x v="14"/>
    <n v="0.22"/>
    <x v="1"/>
  </r>
  <r>
    <n v="872"/>
    <x v="2"/>
    <n v="2008"/>
    <x v="40"/>
    <x v="0"/>
    <n v="15141"/>
    <x v="1"/>
    <n v="24602.19"/>
    <s v="Q7"/>
    <x v="3"/>
    <x v="2"/>
    <x v="22"/>
    <n v="1.62"/>
    <x v="0"/>
  </r>
  <r>
    <n v="873"/>
    <x v="1"/>
    <n v="2021"/>
    <x v="43"/>
    <x v="1"/>
    <n v="295759"/>
    <x v="1"/>
    <n v="18781.21"/>
    <s v="X3"/>
    <x v="2"/>
    <x v="1"/>
    <x v="20"/>
    <n v="0.06"/>
    <x v="0"/>
  </r>
  <r>
    <n v="874"/>
    <x v="2"/>
    <n v="2013"/>
    <x v="37"/>
    <x v="0"/>
    <n v="122058"/>
    <x v="1"/>
    <n v="16465.29"/>
    <s v="A4"/>
    <x v="2"/>
    <x v="0"/>
    <x v="2"/>
    <n v="0.13"/>
    <x v="0"/>
  </r>
  <r>
    <n v="875"/>
    <x v="1"/>
    <n v="2011"/>
    <x v="30"/>
    <x v="1"/>
    <n v="193823"/>
    <x v="2"/>
    <n v="64640.87"/>
    <s v="X3"/>
    <x v="0"/>
    <x v="1"/>
    <x v="3"/>
    <n v="0.33"/>
    <x v="0"/>
  </r>
  <r>
    <n v="876"/>
    <x v="2"/>
    <n v="2019"/>
    <x v="15"/>
    <x v="0"/>
    <n v="112684"/>
    <x v="1"/>
    <n v="5011.2700000000004"/>
    <s v="A4"/>
    <x v="0"/>
    <x v="0"/>
    <x v="5"/>
    <n v="0.04"/>
    <x v="0"/>
  </r>
  <r>
    <n v="877"/>
    <x v="2"/>
    <n v="2023"/>
    <x v="9"/>
    <x v="1"/>
    <n v="289596"/>
    <x v="0"/>
    <n v="6740.34"/>
    <s v="A3"/>
    <x v="3"/>
    <x v="1"/>
    <x v="8"/>
    <n v="0.02"/>
    <x v="0"/>
  </r>
  <r>
    <n v="878"/>
    <x v="5"/>
    <n v="2003"/>
    <x v="16"/>
    <x v="1"/>
    <n v="50391"/>
    <x v="1"/>
    <n v="42007.55"/>
    <s v="C-Class"/>
    <x v="1"/>
    <x v="0"/>
    <x v="21"/>
    <n v="0.83"/>
    <x v="0"/>
  </r>
  <r>
    <n v="879"/>
    <x v="3"/>
    <n v="2020"/>
    <x v="38"/>
    <x v="0"/>
    <n v="120288"/>
    <x v="1"/>
    <n v="70678.240000000005"/>
    <s v="Explorer"/>
    <x v="2"/>
    <x v="0"/>
    <x v="6"/>
    <n v="0.59"/>
    <x v="1"/>
  </r>
  <r>
    <n v="880"/>
    <x v="2"/>
    <n v="2023"/>
    <x v="6"/>
    <x v="1"/>
    <n v="206132"/>
    <x v="0"/>
    <n v="71028.740000000005"/>
    <s v="A3"/>
    <x v="1"/>
    <x v="1"/>
    <x v="8"/>
    <n v="0.34"/>
    <x v="0"/>
  </r>
  <r>
    <n v="881"/>
    <x v="5"/>
    <n v="2011"/>
    <x v="10"/>
    <x v="1"/>
    <n v="113535"/>
    <x v="0"/>
    <n v="45861.24"/>
    <s v="GLC"/>
    <x v="1"/>
    <x v="0"/>
    <x v="3"/>
    <n v="0.4"/>
    <x v="0"/>
  </r>
  <r>
    <n v="882"/>
    <x v="4"/>
    <n v="2009"/>
    <x v="27"/>
    <x v="0"/>
    <n v="142770"/>
    <x v="2"/>
    <n v="70651.990000000005"/>
    <s v="CR-V"/>
    <x v="0"/>
    <x v="0"/>
    <x v="4"/>
    <n v="0.49"/>
    <x v="1"/>
  </r>
  <r>
    <n v="883"/>
    <x v="3"/>
    <n v="2021"/>
    <x v="16"/>
    <x v="0"/>
    <n v="239947"/>
    <x v="0"/>
    <n v="54504.14"/>
    <s v="Mustang"/>
    <x v="2"/>
    <x v="1"/>
    <x v="20"/>
    <n v="0.23"/>
    <x v="1"/>
  </r>
  <r>
    <n v="884"/>
    <x v="2"/>
    <n v="2006"/>
    <x v="19"/>
    <x v="0"/>
    <n v="86711"/>
    <x v="0"/>
    <n v="97808.48"/>
    <s v="Q5"/>
    <x v="2"/>
    <x v="0"/>
    <x v="11"/>
    <n v="1.1299999999999999"/>
    <x v="0"/>
  </r>
  <r>
    <n v="885"/>
    <x v="0"/>
    <n v="2002"/>
    <x v="21"/>
    <x v="0"/>
    <n v="264509"/>
    <x v="1"/>
    <n v="20433.72"/>
    <s v="Model Y"/>
    <x v="0"/>
    <x v="1"/>
    <x v="23"/>
    <n v="0.08"/>
    <x v="0"/>
  </r>
  <r>
    <n v="886"/>
    <x v="6"/>
    <n v="2022"/>
    <x v="47"/>
    <x v="0"/>
    <n v="228625"/>
    <x v="0"/>
    <n v="62063.39"/>
    <s v="Prius"/>
    <x v="1"/>
    <x v="1"/>
    <x v="13"/>
    <n v="0.27"/>
    <x v="1"/>
  </r>
  <r>
    <n v="887"/>
    <x v="4"/>
    <n v="2013"/>
    <x v="27"/>
    <x v="1"/>
    <n v="43372"/>
    <x v="2"/>
    <n v="51667.68"/>
    <s v="Civic"/>
    <x v="0"/>
    <x v="2"/>
    <x v="2"/>
    <n v="1.19"/>
    <x v="1"/>
  </r>
  <r>
    <n v="888"/>
    <x v="4"/>
    <n v="2023"/>
    <x v="7"/>
    <x v="0"/>
    <n v="44134"/>
    <x v="1"/>
    <n v="23474.3"/>
    <s v="CR-V"/>
    <x v="3"/>
    <x v="2"/>
    <x v="8"/>
    <n v="0.53"/>
    <x v="1"/>
  </r>
  <r>
    <n v="889"/>
    <x v="5"/>
    <n v="2009"/>
    <x v="24"/>
    <x v="1"/>
    <n v="299967"/>
    <x v="2"/>
    <n v="76249.09"/>
    <s v="GLA"/>
    <x v="2"/>
    <x v="1"/>
    <x v="4"/>
    <n v="0.25"/>
    <x v="0"/>
  </r>
  <r>
    <n v="890"/>
    <x v="4"/>
    <n v="2015"/>
    <x v="40"/>
    <x v="1"/>
    <n v="71158"/>
    <x v="0"/>
    <n v="31173.26"/>
    <s v="Accord"/>
    <x v="3"/>
    <x v="0"/>
    <x v="16"/>
    <n v="0.44"/>
    <x v="1"/>
  </r>
  <r>
    <n v="891"/>
    <x v="3"/>
    <n v="2015"/>
    <x v="29"/>
    <x v="0"/>
    <n v="237159"/>
    <x v="2"/>
    <n v="41262.43"/>
    <s v="Fiesta"/>
    <x v="0"/>
    <x v="1"/>
    <x v="16"/>
    <n v="0.17"/>
    <x v="1"/>
  </r>
  <r>
    <n v="892"/>
    <x v="2"/>
    <n v="2021"/>
    <x v="50"/>
    <x v="1"/>
    <n v="133021"/>
    <x v="2"/>
    <n v="40608.9"/>
    <s v="A3"/>
    <x v="2"/>
    <x v="0"/>
    <x v="20"/>
    <n v="0.31"/>
    <x v="0"/>
  </r>
  <r>
    <n v="893"/>
    <x v="2"/>
    <n v="2009"/>
    <x v="14"/>
    <x v="1"/>
    <n v="49396"/>
    <x v="0"/>
    <n v="28199.42"/>
    <s v="Q7"/>
    <x v="3"/>
    <x v="2"/>
    <x v="4"/>
    <n v="0.56999999999999995"/>
    <x v="0"/>
  </r>
  <r>
    <n v="894"/>
    <x v="0"/>
    <n v="2012"/>
    <x v="15"/>
    <x v="0"/>
    <n v="31912"/>
    <x v="0"/>
    <n v="45917.01"/>
    <s v="Model S"/>
    <x v="0"/>
    <x v="2"/>
    <x v="15"/>
    <n v="1.44"/>
    <x v="0"/>
  </r>
  <r>
    <n v="895"/>
    <x v="6"/>
    <n v="2005"/>
    <x v="16"/>
    <x v="1"/>
    <n v="56947"/>
    <x v="1"/>
    <n v="49967.86"/>
    <s v="Prius"/>
    <x v="1"/>
    <x v="0"/>
    <x v="14"/>
    <n v="0.88"/>
    <x v="1"/>
  </r>
  <r>
    <n v="896"/>
    <x v="5"/>
    <n v="2011"/>
    <x v="14"/>
    <x v="0"/>
    <n v="44387"/>
    <x v="1"/>
    <n v="75701.06"/>
    <s v="E-Class"/>
    <x v="2"/>
    <x v="2"/>
    <x v="3"/>
    <n v="1.71"/>
    <x v="0"/>
  </r>
  <r>
    <n v="897"/>
    <x v="6"/>
    <n v="2008"/>
    <x v="16"/>
    <x v="0"/>
    <n v="278652"/>
    <x v="1"/>
    <n v="77681.509999999995"/>
    <s v="Camry"/>
    <x v="3"/>
    <x v="1"/>
    <x v="22"/>
    <n v="0.28000000000000003"/>
    <x v="1"/>
  </r>
  <r>
    <n v="898"/>
    <x v="4"/>
    <n v="2012"/>
    <x v="39"/>
    <x v="0"/>
    <n v="109249"/>
    <x v="0"/>
    <n v="20062.82"/>
    <s v="Civic"/>
    <x v="3"/>
    <x v="0"/>
    <x v="15"/>
    <n v="0.18"/>
    <x v="1"/>
  </r>
  <r>
    <n v="899"/>
    <x v="0"/>
    <n v="2003"/>
    <x v="41"/>
    <x v="1"/>
    <n v="1919"/>
    <x v="2"/>
    <n v="61313.37"/>
    <s v="Model 3"/>
    <x v="0"/>
    <x v="2"/>
    <x v="21"/>
    <n v="31.95"/>
    <x v="0"/>
  </r>
  <r>
    <n v="900"/>
    <x v="6"/>
    <n v="2023"/>
    <x v="50"/>
    <x v="1"/>
    <n v="140689"/>
    <x v="2"/>
    <n v="90138.79"/>
    <s v="Corolla"/>
    <x v="3"/>
    <x v="0"/>
    <x v="8"/>
    <n v="0.64"/>
    <x v="1"/>
  </r>
  <r>
    <n v="901"/>
    <x v="3"/>
    <n v="2010"/>
    <x v="14"/>
    <x v="1"/>
    <n v="33298"/>
    <x v="1"/>
    <n v="15334.73"/>
    <s v="Mustang"/>
    <x v="3"/>
    <x v="2"/>
    <x v="9"/>
    <n v="0.46"/>
    <x v="1"/>
  </r>
  <r>
    <n v="902"/>
    <x v="2"/>
    <n v="2019"/>
    <x v="15"/>
    <x v="1"/>
    <n v="237225"/>
    <x v="1"/>
    <n v="49926.83"/>
    <s v="A3"/>
    <x v="3"/>
    <x v="1"/>
    <x v="5"/>
    <n v="0.21"/>
    <x v="0"/>
  </r>
  <r>
    <n v="903"/>
    <x v="4"/>
    <n v="2017"/>
    <x v="21"/>
    <x v="0"/>
    <n v="233725"/>
    <x v="0"/>
    <n v="76283.55"/>
    <s v="Fit"/>
    <x v="1"/>
    <x v="1"/>
    <x v="7"/>
    <n v="0.33"/>
    <x v="1"/>
  </r>
  <r>
    <n v="904"/>
    <x v="0"/>
    <n v="2010"/>
    <x v="33"/>
    <x v="1"/>
    <n v="276600"/>
    <x v="2"/>
    <n v="63091.68"/>
    <s v="Model X"/>
    <x v="0"/>
    <x v="1"/>
    <x v="9"/>
    <n v="0.23"/>
    <x v="0"/>
  </r>
  <r>
    <n v="905"/>
    <x v="6"/>
    <n v="2020"/>
    <x v="5"/>
    <x v="0"/>
    <n v="109599"/>
    <x v="1"/>
    <n v="14555.64"/>
    <s v="Camry"/>
    <x v="3"/>
    <x v="0"/>
    <x v="6"/>
    <n v="0.13"/>
    <x v="1"/>
  </r>
  <r>
    <n v="906"/>
    <x v="5"/>
    <n v="2003"/>
    <x v="2"/>
    <x v="1"/>
    <n v="83721"/>
    <x v="0"/>
    <n v="42677.58"/>
    <s v="GLC"/>
    <x v="2"/>
    <x v="0"/>
    <x v="21"/>
    <n v="0.51"/>
    <x v="0"/>
  </r>
  <r>
    <n v="907"/>
    <x v="3"/>
    <n v="2017"/>
    <x v="5"/>
    <x v="1"/>
    <n v="286384"/>
    <x v="1"/>
    <n v="53187.75"/>
    <s v="Explorer"/>
    <x v="2"/>
    <x v="1"/>
    <x v="7"/>
    <n v="0.19"/>
    <x v="1"/>
  </r>
  <r>
    <n v="908"/>
    <x v="3"/>
    <n v="2000"/>
    <x v="37"/>
    <x v="1"/>
    <n v="271372"/>
    <x v="0"/>
    <n v="99605.33"/>
    <s v="Focus"/>
    <x v="1"/>
    <x v="1"/>
    <x v="18"/>
    <n v="0.37"/>
    <x v="1"/>
  </r>
  <r>
    <n v="909"/>
    <x v="6"/>
    <n v="2006"/>
    <x v="35"/>
    <x v="1"/>
    <n v="283830"/>
    <x v="2"/>
    <n v="21967.75"/>
    <s v="Camry"/>
    <x v="0"/>
    <x v="1"/>
    <x v="11"/>
    <n v="0.08"/>
    <x v="1"/>
  </r>
  <r>
    <n v="910"/>
    <x v="2"/>
    <n v="2005"/>
    <x v="33"/>
    <x v="1"/>
    <n v="11920"/>
    <x v="0"/>
    <n v="98330.26"/>
    <s v="Q7"/>
    <x v="2"/>
    <x v="2"/>
    <x v="14"/>
    <n v="8.25"/>
    <x v="0"/>
  </r>
  <r>
    <n v="911"/>
    <x v="6"/>
    <n v="2014"/>
    <x v="29"/>
    <x v="0"/>
    <n v="7432"/>
    <x v="1"/>
    <n v="40734.230000000003"/>
    <s v="Camry"/>
    <x v="1"/>
    <x v="2"/>
    <x v="12"/>
    <n v="5.48"/>
    <x v="1"/>
  </r>
  <r>
    <n v="912"/>
    <x v="4"/>
    <n v="2017"/>
    <x v="40"/>
    <x v="1"/>
    <n v="110507"/>
    <x v="1"/>
    <n v="24030.45"/>
    <s v="Civic"/>
    <x v="3"/>
    <x v="0"/>
    <x v="7"/>
    <n v="0.22"/>
    <x v="1"/>
  </r>
  <r>
    <n v="913"/>
    <x v="6"/>
    <n v="2023"/>
    <x v="19"/>
    <x v="1"/>
    <n v="224647"/>
    <x v="2"/>
    <n v="44340.36"/>
    <s v="Corolla"/>
    <x v="3"/>
    <x v="1"/>
    <x v="8"/>
    <n v="0.2"/>
    <x v="1"/>
  </r>
  <r>
    <n v="914"/>
    <x v="3"/>
    <n v="2010"/>
    <x v="31"/>
    <x v="1"/>
    <n v="164982"/>
    <x v="2"/>
    <n v="63329.54"/>
    <s v="Focus"/>
    <x v="1"/>
    <x v="1"/>
    <x v="9"/>
    <n v="0.38"/>
    <x v="1"/>
  </r>
  <r>
    <n v="915"/>
    <x v="0"/>
    <n v="2019"/>
    <x v="28"/>
    <x v="1"/>
    <n v="121764"/>
    <x v="1"/>
    <n v="25282.25"/>
    <s v="Model X"/>
    <x v="0"/>
    <x v="0"/>
    <x v="5"/>
    <n v="0.21"/>
    <x v="0"/>
  </r>
  <r>
    <n v="916"/>
    <x v="6"/>
    <n v="2023"/>
    <x v="28"/>
    <x v="0"/>
    <n v="161298"/>
    <x v="1"/>
    <n v="32686.71"/>
    <s v="RAV4"/>
    <x v="3"/>
    <x v="1"/>
    <x v="8"/>
    <n v="0.2"/>
    <x v="1"/>
  </r>
  <r>
    <n v="917"/>
    <x v="2"/>
    <n v="2014"/>
    <x v="32"/>
    <x v="1"/>
    <n v="204222"/>
    <x v="1"/>
    <n v="86181.92"/>
    <s v="Q7"/>
    <x v="0"/>
    <x v="1"/>
    <x v="12"/>
    <n v="0.42"/>
    <x v="0"/>
  </r>
  <r>
    <n v="918"/>
    <x v="0"/>
    <n v="2015"/>
    <x v="8"/>
    <x v="0"/>
    <n v="112557"/>
    <x v="2"/>
    <n v="99905.9"/>
    <s v="Model S"/>
    <x v="0"/>
    <x v="0"/>
    <x v="16"/>
    <n v="0.89"/>
    <x v="0"/>
  </r>
  <r>
    <n v="919"/>
    <x v="5"/>
    <n v="2006"/>
    <x v="9"/>
    <x v="1"/>
    <n v="18013"/>
    <x v="1"/>
    <n v="35226.410000000003"/>
    <s v="C-Class"/>
    <x v="2"/>
    <x v="2"/>
    <x v="11"/>
    <n v="1.96"/>
    <x v="0"/>
  </r>
  <r>
    <n v="920"/>
    <x v="1"/>
    <n v="2020"/>
    <x v="17"/>
    <x v="0"/>
    <n v="21446"/>
    <x v="2"/>
    <n v="19141.400000000001"/>
    <s v="3 Series"/>
    <x v="3"/>
    <x v="2"/>
    <x v="6"/>
    <n v="0.89"/>
    <x v="0"/>
  </r>
  <r>
    <n v="921"/>
    <x v="6"/>
    <n v="2009"/>
    <x v="46"/>
    <x v="0"/>
    <n v="201447"/>
    <x v="1"/>
    <n v="80351.23"/>
    <s v="Corolla"/>
    <x v="1"/>
    <x v="1"/>
    <x v="4"/>
    <n v="0.4"/>
    <x v="1"/>
  </r>
  <r>
    <n v="922"/>
    <x v="2"/>
    <n v="2011"/>
    <x v="12"/>
    <x v="0"/>
    <n v="102261"/>
    <x v="0"/>
    <n v="62043.29"/>
    <s v="Q5"/>
    <x v="0"/>
    <x v="0"/>
    <x v="3"/>
    <n v="0.61"/>
    <x v="0"/>
  </r>
  <r>
    <n v="923"/>
    <x v="0"/>
    <n v="2023"/>
    <x v="30"/>
    <x v="0"/>
    <n v="262701"/>
    <x v="0"/>
    <n v="14538.11"/>
    <s v="Model X"/>
    <x v="0"/>
    <x v="1"/>
    <x v="8"/>
    <n v="0.06"/>
    <x v="0"/>
  </r>
  <r>
    <n v="924"/>
    <x v="2"/>
    <n v="2013"/>
    <x v="28"/>
    <x v="0"/>
    <n v="168461"/>
    <x v="1"/>
    <n v="94943.29"/>
    <s v="Q7"/>
    <x v="1"/>
    <x v="1"/>
    <x v="2"/>
    <n v="0.56000000000000005"/>
    <x v="0"/>
  </r>
  <r>
    <n v="925"/>
    <x v="5"/>
    <n v="2004"/>
    <x v="43"/>
    <x v="1"/>
    <n v="178772"/>
    <x v="0"/>
    <n v="12414.71"/>
    <s v="GLC"/>
    <x v="2"/>
    <x v="1"/>
    <x v="19"/>
    <n v="7.0000000000000007E-2"/>
    <x v="0"/>
  </r>
  <r>
    <n v="926"/>
    <x v="3"/>
    <n v="2020"/>
    <x v="29"/>
    <x v="0"/>
    <n v="130878"/>
    <x v="2"/>
    <n v="64408.86"/>
    <s v="Explorer"/>
    <x v="3"/>
    <x v="0"/>
    <x v="6"/>
    <n v="0.49"/>
    <x v="1"/>
  </r>
  <r>
    <n v="927"/>
    <x v="2"/>
    <n v="2017"/>
    <x v="42"/>
    <x v="1"/>
    <n v="99143"/>
    <x v="0"/>
    <n v="45274.04"/>
    <s v="A3"/>
    <x v="0"/>
    <x v="0"/>
    <x v="7"/>
    <n v="0.46"/>
    <x v="0"/>
  </r>
  <r>
    <n v="928"/>
    <x v="0"/>
    <n v="2004"/>
    <x v="23"/>
    <x v="0"/>
    <n v="24578"/>
    <x v="0"/>
    <n v="57879.27"/>
    <s v="Model 3"/>
    <x v="0"/>
    <x v="2"/>
    <x v="19"/>
    <n v="2.35"/>
    <x v="0"/>
  </r>
  <r>
    <n v="929"/>
    <x v="2"/>
    <n v="2002"/>
    <x v="46"/>
    <x v="0"/>
    <n v="74779"/>
    <x v="2"/>
    <n v="25255.35"/>
    <s v="A4"/>
    <x v="1"/>
    <x v="0"/>
    <x v="23"/>
    <n v="0.34"/>
    <x v="0"/>
  </r>
  <r>
    <n v="930"/>
    <x v="2"/>
    <n v="2022"/>
    <x v="15"/>
    <x v="1"/>
    <n v="140668"/>
    <x v="0"/>
    <n v="70370.490000000005"/>
    <s v="A3"/>
    <x v="0"/>
    <x v="0"/>
    <x v="13"/>
    <n v="0.5"/>
    <x v="0"/>
  </r>
  <r>
    <n v="931"/>
    <x v="2"/>
    <n v="2004"/>
    <x v="34"/>
    <x v="0"/>
    <n v="72534"/>
    <x v="0"/>
    <n v="96173.37"/>
    <s v="Q7"/>
    <x v="3"/>
    <x v="0"/>
    <x v="19"/>
    <n v="1.33"/>
    <x v="0"/>
  </r>
  <r>
    <n v="932"/>
    <x v="4"/>
    <n v="2023"/>
    <x v="10"/>
    <x v="0"/>
    <n v="272273"/>
    <x v="1"/>
    <n v="48550.46"/>
    <s v="CR-V"/>
    <x v="2"/>
    <x v="1"/>
    <x v="8"/>
    <n v="0.18"/>
    <x v="1"/>
  </r>
  <r>
    <n v="933"/>
    <x v="4"/>
    <n v="2016"/>
    <x v="14"/>
    <x v="0"/>
    <n v="197118"/>
    <x v="2"/>
    <n v="54681.04"/>
    <s v="CR-V"/>
    <x v="0"/>
    <x v="1"/>
    <x v="0"/>
    <n v="0.28000000000000003"/>
    <x v="1"/>
  </r>
  <r>
    <n v="934"/>
    <x v="3"/>
    <n v="2018"/>
    <x v="31"/>
    <x v="0"/>
    <n v="273740"/>
    <x v="2"/>
    <n v="27782.11"/>
    <s v="Fiesta"/>
    <x v="2"/>
    <x v="1"/>
    <x v="1"/>
    <n v="0.1"/>
    <x v="1"/>
  </r>
  <r>
    <n v="935"/>
    <x v="6"/>
    <n v="2018"/>
    <x v="43"/>
    <x v="1"/>
    <n v="65355"/>
    <x v="1"/>
    <n v="89727.46"/>
    <s v="RAV4"/>
    <x v="1"/>
    <x v="0"/>
    <x v="1"/>
    <n v="1.37"/>
    <x v="1"/>
  </r>
  <r>
    <n v="936"/>
    <x v="2"/>
    <n v="2020"/>
    <x v="10"/>
    <x v="0"/>
    <n v="12974"/>
    <x v="1"/>
    <n v="97261.57"/>
    <s v="Q5"/>
    <x v="3"/>
    <x v="2"/>
    <x v="6"/>
    <n v="7.5"/>
    <x v="0"/>
  </r>
  <r>
    <n v="937"/>
    <x v="5"/>
    <n v="2011"/>
    <x v="47"/>
    <x v="0"/>
    <n v="197745"/>
    <x v="0"/>
    <n v="79698.2"/>
    <s v="C-Class"/>
    <x v="2"/>
    <x v="1"/>
    <x v="3"/>
    <n v="0.4"/>
    <x v="0"/>
  </r>
  <r>
    <n v="938"/>
    <x v="6"/>
    <n v="2008"/>
    <x v="0"/>
    <x v="1"/>
    <n v="251366"/>
    <x v="0"/>
    <n v="56563.48"/>
    <s v="RAV4"/>
    <x v="1"/>
    <x v="1"/>
    <x v="22"/>
    <n v="0.23"/>
    <x v="1"/>
  </r>
  <r>
    <n v="939"/>
    <x v="5"/>
    <n v="2000"/>
    <x v="36"/>
    <x v="1"/>
    <n v="74442"/>
    <x v="0"/>
    <n v="95895.7"/>
    <s v="GLA"/>
    <x v="3"/>
    <x v="0"/>
    <x v="18"/>
    <n v="1.29"/>
    <x v="0"/>
  </r>
  <r>
    <n v="940"/>
    <x v="6"/>
    <n v="2017"/>
    <x v="15"/>
    <x v="0"/>
    <n v="152890"/>
    <x v="1"/>
    <n v="19615.759999999998"/>
    <s v="Prius"/>
    <x v="1"/>
    <x v="1"/>
    <x v="7"/>
    <n v="0.13"/>
    <x v="1"/>
  </r>
  <r>
    <n v="941"/>
    <x v="3"/>
    <n v="2020"/>
    <x v="1"/>
    <x v="0"/>
    <n v="55598"/>
    <x v="2"/>
    <n v="50456.63"/>
    <s v="Focus"/>
    <x v="2"/>
    <x v="0"/>
    <x v="6"/>
    <n v="0.91"/>
    <x v="1"/>
  </r>
  <r>
    <n v="942"/>
    <x v="2"/>
    <n v="2003"/>
    <x v="29"/>
    <x v="1"/>
    <n v="133726"/>
    <x v="0"/>
    <n v="56072.54"/>
    <s v="A4"/>
    <x v="1"/>
    <x v="0"/>
    <x v="21"/>
    <n v="0.42"/>
    <x v="0"/>
  </r>
  <r>
    <n v="943"/>
    <x v="2"/>
    <n v="2009"/>
    <x v="50"/>
    <x v="0"/>
    <n v="33758"/>
    <x v="1"/>
    <n v="51732.06"/>
    <s v="Q7"/>
    <x v="0"/>
    <x v="2"/>
    <x v="4"/>
    <n v="1.53"/>
    <x v="0"/>
  </r>
  <r>
    <n v="944"/>
    <x v="1"/>
    <n v="2006"/>
    <x v="15"/>
    <x v="1"/>
    <n v="286348"/>
    <x v="2"/>
    <n v="81229.740000000005"/>
    <s v="5 Series"/>
    <x v="3"/>
    <x v="1"/>
    <x v="11"/>
    <n v="0.28000000000000003"/>
    <x v="0"/>
  </r>
  <r>
    <n v="945"/>
    <x v="5"/>
    <n v="2021"/>
    <x v="2"/>
    <x v="0"/>
    <n v="127309"/>
    <x v="1"/>
    <n v="68688.27"/>
    <s v="C-Class"/>
    <x v="1"/>
    <x v="0"/>
    <x v="20"/>
    <n v="0.54"/>
    <x v="0"/>
  </r>
  <r>
    <n v="946"/>
    <x v="6"/>
    <n v="2022"/>
    <x v="13"/>
    <x v="1"/>
    <n v="166000"/>
    <x v="0"/>
    <n v="17032.55"/>
    <s v="RAV4"/>
    <x v="2"/>
    <x v="1"/>
    <x v="13"/>
    <n v="0.1"/>
    <x v="1"/>
  </r>
  <r>
    <n v="947"/>
    <x v="6"/>
    <n v="2000"/>
    <x v="26"/>
    <x v="1"/>
    <n v="184681"/>
    <x v="1"/>
    <n v="37912.870000000003"/>
    <s v="Camry"/>
    <x v="3"/>
    <x v="1"/>
    <x v="18"/>
    <n v="0.21"/>
    <x v="1"/>
  </r>
  <r>
    <n v="948"/>
    <x v="4"/>
    <n v="2016"/>
    <x v="0"/>
    <x v="1"/>
    <n v="30552"/>
    <x v="1"/>
    <n v="37212.300000000003"/>
    <s v="Civic"/>
    <x v="0"/>
    <x v="2"/>
    <x v="0"/>
    <n v="1.22"/>
    <x v="1"/>
  </r>
  <r>
    <n v="949"/>
    <x v="1"/>
    <n v="2023"/>
    <x v="12"/>
    <x v="0"/>
    <n v="147278"/>
    <x v="1"/>
    <n v="58735.06"/>
    <s v="X3"/>
    <x v="3"/>
    <x v="0"/>
    <x v="8"/>
    <n v="0.4"/>
    <x v="0"/>
  </r>
  <r>
    <n v="950"/>
    <x v="0"/>
    <n v="2001"/>
    <x v="37"/>
    <x v="0"/>
    <n v="34831"/>
    <x v="1"/>
    <n v="32688.55"/>
    <s v="Model Y"/>
    <x v="0"/>
    <x v="2"/>
    <x v="10"/>
    <n v="0.94"/>
    <x v="0"/>
  </r>
  <r>
    <n v="951"/>
    <x v="0"/>
    <n v="2010"/>
    <x v="41"/>
    <x v="0"/>
    <n v="43563"/>
    <x v="2"/>
    <n v="16140.82"/>
    <s v="Model Y"/>
    <x v="0"/>
    <x v="2"/>
    <x v="9"/>
    <n v="0.37"/>
    <x v="0"/>
  </r>
  <r>
    <n v="952"/>
    <x v="4"/>
    <n v="2008"/>
    <x v="28"/>
    <x v="0"/>
    <n v="18361"/>
    <x v="0"/>
    <n v="67099.850000000006"/>
    <s v="Civic"/>
    <x v="1"/>
    <x v="2"/>
    <x v="22"/>
    <n v="3.65"/>
    <x v="1"/>
  </r>
  <r>
    <n v="953"/>
    <x v="4"/>
    <n v="2006"/>
    <x v="40"/>
    <x v="1"/>
    <n v="74469"/>
    <x v="2"/>
    <n v="85848.51"/>
    <s v="CR-V"/>
    <x v="1"/>
    <x v="0"/>
    <x v="11"/>
    <n v="1.1499999999999999"/>
    <x v="1"/>
  </r>
  <r>
    <n v="954"/>
    <x v="4"/>
    <n v="2021"/>
    <x v="27"/>
    <x v="1"/>
    <n v="25816"/>
    <x v="1"/>
    <n v="93502.77"/>
    <s v="Fit"/>
    <x v="2"/>
    <x v="2"/>
    <x v="20"/>
    <n v="3.62"/>
    <x v="1"/>
  </r>
  <r>
    <n v="955"/>
    <x v="5"/>
    <n v="2016"/>
    <x v="1"/>
    <x v="1"/>
    <n v="257422"/>
    <x v="1"/>
    <n v="97394.95"/>
    <s v="E-Class"/>
    <x v="0"/>
    <x v="1"/>
    <x v="0"/>
    <n v="0.38"/>
    <x v="0"/>
  </r>
  <r>
    <n v="956"/>
    <x v="5"/>
    <n v="2016"/>
    <x v="32"/>
    <x v="0"/>
    <n v="146691"/>
    <x v="0"/>
    <n v="79206.100000000006"/>
    <s v="GLC"/>
    <x v="2"/>
    <x v="0"/>
    <x v="0"/>
    <n v="0.54"/>
    <x v="0"/>
  </r>
  <r>
    <n v="957"/>
    <x v="3"/>
    <n v="2001"/>
    <x v="1"/>
    <x v="0"/>
    <n v="234295"/>
    <x v="0"/>
    <n v="18271.73"/>
    <s v="Focus"/>
    <x v="1"/>
    <x v="1"/>
    <x v="10"/>
    <n v="0.08"/>
    <x v="1"/>
  </r>
  <r>
    <n v="958"/>
    <x v="3"/>
    <n v="2005"/>
    <x v="32"/>
    <x v="0"/>
    <n v="92479"/>
    <x v="2"/>
    <n v="86045.62"/>
    <s v="Explorer"/>
    <x v="0"/>
    <x v="0"/>
    <x v="14"/>
    <n v="0.93"/>
    <x v="1"/>
  </r>
  <r>
    <n v="959"/>
    <x v="4"/>
    <n v="2013"/>
    <x v="15"/>
    <x v="1"/>
    <n v="26819"/>
    <x v="2"/>
    <n v="42996.21"/>
    <s v="CR-V"/>
    <x v="2"/>
    <x v="2"/>
    <x v="2"/>
    <n v="1.6"/>
    <x v="1"/>
  </r>
  <r>
    <n v="960"/>
    <x v="1"/>
    <n v="2005"/>
    <x v="10"/>
    <x v="0"/>
    <n v="8798"/>
    <x v="0"/>
    <n v="74341.570000000007"/>
    <s v="5 Series"/>
    <x v="2"/>
    <x v="2"/>
    <x v="14"/>
    <n v="8.4499999999999993"/>
    <x v="0"/>
  </r>
  <r>
    <n v="961"/>
    <x v="6"/>
    <n v="2001"/>
    <x v="11"/>
    <x v="0"/>
    <n v="156215"/>
    <x v="2"/>
    <n v="55470.46"/>
    <s v="RAV4"/>
    <x v="2"/>
    <x v="1"/>
    <x v="10"/>
    <n v="0.36"/>
    <x v="1"/>
  </r>
  <r>
    <n v="962"/>
    <x v="5"/>
    <n v="2000"/>
    <x v="36"/>
    <x v="1"/>
    <n v="243942"/>
    <x v="1"/>
    <n v="83717.58"/>
    <s v="GLC"/>
    <x v="2"/>
    <x v="1"/>
    <x v="18"/>
    <n v="0.34"/>
    <x v="0"/>
  </r>
  <r>
    <n v="963"/>
    <x v="1"/>
    <n v="2009"/>
    <x v="1"/>
    <x v="1"/>
    <n v="230259"/>
    <x v="1"/>
    <n v="45423.040000000001"/>
    <s v="5 Series"/>
    <x v="2"/>
    <x v="1"/>
    <x v="4"/>
    <n v="0.2"/>
    <x v="0"/>
  </r>
  <r>
    <n v="964"/>
    <x v="2"/>
    <n v="2020"/>
    <x v="5"/>
    <x v="0"/>
    <n v="129544"/>
    <x v="0"/>
    <n v="10870.41"/>
    <s v="Q5"/>
    <x v="0"/>
    <x v="0"/>
    <x v="6"/>
    <n v="0.08"/>
    <x v="0"/>
  </r>
  <r>
    <n v="965"/>
    <x v="5"/>
    <n v="2004"/>
    <x v="30"/>
    <x v="1"/>
    <n v="152254"/>
    <x v="2"/>
    <n v="57898.25"/>
    <s v="GLA"/>
    <x v="2"/>
    <x v="1"/>
    <x v="19"/>
    <n v="0.38"/>
    <x v="0"/>
  </r>
  <r>
    <n v="966"/>
    <x v="5"/>
    <n v="2001"/>
    <x v="49"/>
    <x v="0"/>
    <n v="253800"/>
    <x v="1"/>
    <n v="21272.6"/>
    <s v="C-Class"/>
    <x v="0"/>
    <x v="1"/>
    <x v="10"/>
    <n v="0.08"/>
    <x v="0"/>
  </r>
  <r>
    <n v="967"/>
    <x v="3"/>
    <n v="2021"/>
    <x v="10"/>
    <x v="1"/>
    <n v="9415"/>
    <x v="0"/>
    <n v="96724.18"/>
    <s v="Focus"/>
    <x v="2"/>
    <x v="2"/>
    <x v="20"/>
    <n v="10.27"/>
    <x v="1"/>
  </r>
  <r>
    <n v="968"/>
    <x v="6"/>
    <n v="2015"/>
    <x v="21"/>
    <x v="1"/>
    <n v="87638"/>
    <x v="2"/>
    <n v="55061.49"/>
    <s v="Camry"/>
    <x v="1"/>
    <x v="0"/>
    <x v="16"/>
    <n v="0.63"/>
    <x v="1"/>
  </r>
  <r>
    <n v="969"/>
    <x v="6"/>
    <n v="2001"/>
    <x v="21"/>
    <x v="1"/>
    <n v="18452"/>
    <x v="1"/>
    <n v="57588.09"/>
    <s v="RAV4"/>
    <x v="1"/>
    <x v="2"/>
    <x v="10"/>
    <n v="3.12"/>
    <x v="1"/>
  </r>
  <r>
    <n v="970"/>
    <x v="0"/>
    <n v="2009"/>
    <x v="31"/>
    <x v="0"/>
    <n v="195457"/>
    <x v="2"/>
    <n v="91190.24"/>
    <s v="Model Y"/>
    <x v="0"/>
    <x v="1"/>
    <x v="4"/>
    <n v="0.47"/>
    <x v="0"/>
  </r>
  <r>
    <n v="971"/>
    <x v="0"/>
    <n v="2001"/>
    <x v="38"/>
    <x v="0"/>
    <n v="110205"/>
    <x v="2"/>
    <n v="64335.6"/>
    <s v="Model Y"/>
    <x v="0"/>
    <x v="0"/>
    <x v="10"/>
    <n v="0.57999999999999996"/>
    <x v="0"/>
  </r>
  <r>
    <n v="972"/>
    <x v="0"/>
    <n v="2015"/>
    <x v="14"/>
    <x v="0"/>
    <n v="18170"/>
    <x v="2"/>
    <n v="33759.29"/>
    <s v="Model 3"/>
    <x v="0"/>
    <x v="2"/>
    <x v="16"/>
    <n v="1.86"/>
    <x v="0"/>
  </r>
  <r>
    <n v="973"/>
    <x v="0"/>
    <n v="2015"/>
    <x v="7"/>
    <x v="1"/>
    <n v="16259"/>
    <x v="0"/>
    <n v="33128.99"/>
    <s v="Model Y"/>
    <x v="0"/>
    <x v="2"/>
    <x v="16"/>
    <n v="2.04"/>
    <x v="0"/>
  </r>
  <r>
    <n v="974"/>
    <x v="2"/>
    <n v="2018"/>
    <x v="5"/>
    <x v="1"/>
    <n v="284243"/>
    <x v="1"/>
    <n v="52649.97"/>
    <s v="Q5"/>
    <x v="2"/>
    <x v="1"/>
    <x v="1"/>
    <n v="0.19"/>
    <x v="0"/>
  </r>
  <r>
    <n v="975"/>
    <x v="2"/>
    <n v="2006"/>
    <x v="17"/>
    <x v="1"/>
    <n v="140721"/>
    <x v="0"/>
    <n v="87327.78"/>
    <s v="A4"/>
    <x v="0"/>
    <x v="0"/>
    <x v="11"/>
    <n v="0.62"/>
    <x v="0"/>
  </r>
  <r>
    <n v="976"/>
    <x v="5"/>
    <n v="2021"/>
    <x v="3"/>
    <x v="1"/>
    <n v="129394"/>
    <x v="1"/>
    <n v="80499.289999999994"/>
    <s v="GLA"/>
    <x v="3"/>
    <x v="0"/>
    <x v="20"/>
    <n v="0.62"/>
    <x v="0"/>
  </r>
  <r>
    <n v="977"/>
    <x v="4"/>
    <n v="2011"/>
    <x v="40"/>
    <x v="0"/>
    <n v="172109"/>
    <x v="1"/>
    <n v="96460.36"/>
    <s v="Fit"/>
    <x v="2"/>
    <x v="1"/>
    <x v="3"/>
    <n v="0.56000000000000005"/>
    <x v="1"/>
  </r>
  <r>
    <n v="978"/>
    <x v="3"/>
    <n v="2023"/>
    <x v="40"/>
    <x v="0"/>
    <n v="273949"/>
    <x v="0"/>
    <n v="11829.18"/>
    <s v="Focus"/>
    <x v="1"/>
    <x v="1"/>
    <x v="8"/>
    <n v="0.04"/>
    <x v="1"/>
  </r>
  <r>
    <n v="979"/>
    <x v="3"/>
    <n v="2014"/>
    <x v="46"/>
    <x v="0"/>
    <n v="254599"/>
    <x v="0"/>
    <n v="30490.98"/>
    <s v="Focus"/>
    <x v="0"/>
    <x v="1"/>
    <x v="12"/>
    <n v="0.12"/>
    <x v="1"/>
  </r>
  <r>
    <n v="980"/>
    <x v="0"/>
    <n v="2007"/>
    <x v="45"/>
    <x v="1"/>
    <n v="43147"/>
    <x v="1"/>
    <n v="12619.73"/>
    <s v="Model S"/>
    <x v="0"/>
    <x v="2"/>
    <x v="17"/>
    <n v="0.28999999999999998"/>
    <x v="0"/>
  </r>
  <r>
    <n v="981"/>
    <x v="5"/>
    <n v="2005"/>
    <x v="7"/>
    <x v="1"/>
    <n v="74280"/>
    <x v="1"/>
    <n v="76352.52"/>
    <s v="C-Class"/>
    <x v="1"/>
    <x v="0"/>
    <x v="14"/>
    <n v="1.03"/>
    <x v="0"/>
  </r>
  <r>
    <n v="982"/>
    <x v="1"/>
    <n v="2009"/>
    <x v="13"/>
    <x v="0"/>
    <n v="177125"/>
    <x v="1"/>
    <n v="18379.2"/>
    <s v="X3"/>
    <x v="2"/>
    <x v="1"/>
    <x v="4"/>
    <n v="0.1"/>
    <x v="0"/>
  </r>
  <r>
    <n v="983"/>
    <x v="4"/>
    <n v="2002"/>
    <x v="8"/>
    <x v="1"/>
    <n v="97841"/>
    <x v="2"/>
    <n v="14489.2"/>
    <s v="Fit"/>
    <x v="0"/>
    <x v="0"/>
    <x v="23"/>
    <n v="0.15"/>
    <x v="1"/>
  </r>
  <r>
    <n v="984"/>
    <x v="5"/>
    <n v="2018"/>
    <x v="1"/>
    <x v="0"/>
    <n v="124726"/>
    <x v="1"/>
    <n v="58358.86"/>
    <s v="E-Class"/>
    <x v="3"/>
    <x v="0"/>
    <x v="1"/>
    <n v="0.47"/>
    <x v="0"/>
  </r>
  <r>
    <n v="985"/>
    <x v="4"/>
    <n v="2016"/>
    <x v="32"/>
    <x v="1"/>
    <n v="76215"/>
    <x v="0"/>
    <n v="44091.05"/>
    <s v="Fit"/>
    <x v="1"/>
    <x v="0"/>
    <x v="0"/>
    <n v="0.57999999999999996"/>
    <x v="1"/>
  </r>
  <r>
    <n v="986"/>
    <x v="4"/>
    <n v="2006"/>
    <x v="45"/>
    <x v="1"/>
    <n v="112909"/>
    <x v="0"/>
    <n v="72934.63"/>
    <s v="Fit"/>
    <x v="2"/>
    <x v="0"/>
    <x v="11"/>
    <n v="0.65"/>
    <x v="1"/>
  </r>
  <r>
    <n v="987"/>
    <x v="4"/>
    <n v="2020"/>
    <x v="39"/>
    <x v="0"/>
    <n v="273129"/>
    <x v="0"/>
    <n v="51266.46"/>
    <s v="Fit"/>
    <x v="2"/>
    <x v="1"/>
    <x v="6"/>
    <n v="0.19"/>
    <x v="1"/>
  </r>
  <r>
    <n v="988"/>
    <x v="5"/>
    <n v="2019"/>
    <x v="16"/>
    <x v="0"/>
    <n v="274535"/>
    <x v="1"/>
    <n v="45406.79"/>
    <s v="C-Class"/>
    <x v="3"/>
    <x v="1"/>
    <x v="5"/>
    <n v="0.17"/>
    <x v="0"/>
  </r>
  <r>
    <n v="989"/>
    <x v="0"/>
    <n v="2003"/>
    <x v="32"/>
    <x v="1"/>
    <n v="4861"/>
    <x v="1"/>
    <n v="45422.54"/>
    <s v="Model S"/>
    <x v="0"/>
    <x v="2"/>
    <x v="21"/>
    <n v="9.34"/>
    <x v="0"/>
  </r>
  <r>
    <n v="990"/>
    <x v="3"/>
    <n v="2013"/>
    <x v="50"/>
    <x v="0"/>
    <n v="261968"/>
    <x v="2"/>
    <n v="87828.26"/>
    <s v="Explorer"/>
    <x v="1"/>
    <x v="1"/>
    <x v="2"/>
    <n v="0.34"/>
    <x v="1"/>
  </r>
  <r>
    <n v="991"/>
    <x v="3"/>
    <n v="2019"/>
    <x v="12"/>
    <x v="0"/>
    <n v="183000"/>
    <x v="2"/>
    <n v="42546.44"/>
    <s v="Fiesta"/>
    <x v="2"/>
    <x v="1"/>
    <x v="5"/>
    <n v="0.23"/>
    <x v="1"/>
  </r>
  <r>
    <n v="992"/>
    <x v="0"/>
    <n v="2021"/>
    <x v="49"/>
    <x v="1"/>
    <n v="296508"/>
    <x v="0"/>
    <n v="36672.730000000003"/>
    <s v="Model X"/>
    <x v="0"/>
    <x v="1"/>
    <x v="20"/>
    <n v="0.12"/>
    <x v="0"/>
  </r>
  <r>
    <n v="993"/>
    <x v="4"/>
    <n v="2014"/>
    <x v="41"/>
    <x v="1"/>
    <n v="249072"/>
    <x v="2"/>
    <n v="37160.83"/>
    <s v="CR-V"/>
    <x v="0"/>
    <x v="1"/>
    <x v="12"/>
    <n v="0.15"/>
    <x v="1"/>
  </r>
  <r>
    <n v="994"/>
    <x v="1"/>
    <n v="2023"/>
    <x v="28"/>
    <x v="1"/>
    <n v="224402"/>
    <x v="2"/>
    <n v="23677.08"/>
    <s v="5 Series"/>
    <x v="1"/>
    <x v="1"/>
    <x v="8"/>
    <n v="0.11"/>
    <x v="0"/>
  </r>
  <r>
    <n v="995"/>
    <x v="6"/>
    <n v="2007"/>
    <x v="43"/>
    <x v="0"/>
    <n v="42923"/>
    <x v="0"/>
    <n v="86765.440000000002"/>
    <s v="RAV4"/>
    <x v="0"/>
    <x v="2"/>
    <x v="17"/>
    <n v="2.02"/>
    <x v="1"/>
  </r>
  <r>
    <n v="996"/>
    <x v="5"/>
    <n v="2020"/>
    <x v="0"/>
    <x v="1"/>
    <n v="186968"/>
    <x v="1"/>
    <n v="18929.93"/>
    <s v="E-Class"/>
    <x v="3"/>
    <x v="1"/>
    <x v="6"/>
    <n v="0.1"/>
    <x v="0"/>
  </r>
  <r>
    <n v="997"/>
    <x v="6"/>
    <n v="2014"/>
    <x v="7"/>
    <x v="1"/>
    <n v="165912"/>
    <x v="2"/>
    <n v="91318.02"/>
    <s v="Corolla"/>
    <x v="2"/>
    <x v="1"/>
    <x v="12"/>
    <n v="0.55000000000000004"/>
    <x v="1"/>
  </r>
  <r>
    <n v="998"/>
    <x v="0"/>
    <n v="2021"/>
    <x v="9"/>
    <x v="1"/>
    <n v="173327"/>
    <x v="1"/>
    <n v="31929.43"/>
    <s v="Model Y"/>
    <x v="0"/>
    <x v="1"/>
    <x v="20"/>
    <n v="0.18"/>
    <x v="0"/>
  </r>
  <r>
    <n v="999"/>
    <x v="1"/>
    <n v="2019"/>
    <x v="44"/>
    <x v="1"/>
    <n v="128165"/>
    <x v="0"/>
    <n v="90445.55"/>
    <s v="X3"/>
    <x v="3"/>
    <x v="0"/>
    <x v="5"/>
    <n v="0.71"/>
    <x v="0"/>
  </r>
  <r>
    <n v="1000"/>
    <x v="5"/>
    <n v="2013"/>
    <x v="21"/>
    <x v="1"/>
    <n v="230314"/>
    <x v="0"/>
    <n v="80127.960000000006"/>
    <s v="GLA"/>
    <x v="2"/>
    <x v="1"/>
    <x v="2"/>
    <n v="0.35"/>
    <x v="0"/>
  </r>
  <r>
    <n v="1001"/>
    <x v="0"/>
    <n v="2008"/>
    <x v="1"/>
    <x v="0"/>
    <n v="295673"/>
    <x v="2"/>
    <n v="60288.81"/>
    <s v="Model S"/>
    <x v="0"/>
    <x v="1"/>
    <x v="22"/>
    <n v="0.2"/>
    <x v="0"/>
  </r>
  <r>
    <n v="1002"/>
    <x v="4"/>
    <n v="2007"/>
    <x v="19"/>
    <x v="1"/>
    <n v="144013"/>
    <x v="0"/>
    <n v="68599.649999999994"/>
    <s v="Accord"/>
    <x v="1"/>
    <x v="0"/>
    <x v="17"/>
    <n v="0.48"/>
    <x v="1"/>
  </r>
  <r>
    <n v="1003"/>
    <x v="3"/>
    <n v="2016"/>
    <x v="4"/>
    <x v="1"/>
    <n v="1669"/>
    <x v="0"/>
    <n v="35955.19"/>
    <s v="Fiesta"/>
    <x v="1"/>
    <x v="2"/>
    <x v="0"/>
    <n v="21.54"/>
    <x v="1"/>
  </r>
  <r>
    <n v="1004"/>
    <x v="6"/>
    <n v="2001"/>
    <x v="1"/>
    <x v="0"/>
    <n v="216854"/>
    <x v="0"/>
    <n v="59551.72"/>
    <s v="RAV4"/>
    <x v="3"/>
    <x v="1"/>
    <x v="10"/>
    <n v="0.27"/>
    <x v="1"/>
  </r>
  <r>
    <n v="1005"/>
    <x v="2"/>
    <n v="2023"/>
    <x v="6"/>
    <x v="1"/>
    <n v="55786"/>
    <x v="2"/>
    <n v="32778.28"/>
    <s v="A4"/>
    <x v="2"/>
    <x v="0"/>
    <x v="8"/>
    <n v="0.59"/>
    <x v="0"/>
  </r>
  <r>
    <n v="1006"/>
    <x v="2"/>
    <n v="2002"/>
    <x v="6"/>
    <x v="1"/>
    <n v="182155"/>
    <x v="2"/>
    <n v="43215.92"/>
    <s v="Q7"/>
    <x v="0"/>
    <x v="1"/>
    <x v="23"/>
    <n v="0.24"/>
    <x v="0"/>
  </r>
  <r>
    <n v="1007"/>
    <x v="1"/>
    <n v="2007"/>
    <x v="1"/>
    <x v="0"/>
    <n v="20323"/>
    <x v="2"/>
    <n v="77642.94"/>
    <s v="X5"/>
    <x v="0"/>
    <x v="2"/>
    <x v="17"/>
    <n v="3.82"/>
    <x v="0"/>
  </r>
  <r>
    <n v="1008"/>
    <x v="4"/>
    <n v="2011"/>
    <x v="14"/>
    <x v="1"/>
    <n v="230502"/>
    <x v="0"/>
    <n v="28173.59"/>
    <s v="CR-V"/>
    <x v="3"/>
    <x v="1"/>
    <x v="3"/>
    <n v="0.12"/>
    <x v="1"/>
  </r>
  <r>
    <n v="1009"/>
    <x v="6"/>
    <n v="2000"/>
    <x v="40"/>
    <x v="0"/>
    <n v="257249"/>
    <x v="1"/>
    <n v="84690.37"/>
    <s v="Prius"/>
    <x v="1"/>
    <x v="1"/>
    <x v="18"/>
    <n v="0.33"/>
    <x v="1"/>
  </r>
  <r>
    <n v="1010"/>
    <x v="4"/>
    <n v="2009"/>
    <x v="5"/>
    <x v="1"/>
    <n v="6021"/>
    <x v="0"/>
    <n v="40708.870000000003"/>
    <s v="CR-V"/>
    <x v="2"/>
    <x v="2"/>
    <x v="4"/>
    <n v="6.76"/>
    <x v="1"/>
  </r>
  <r>
    <n v="1011"/>
    <x v="6"/>
    <n v="2019"/>
    <x v="43"/>
    <x v="0"/>
    <n v="113415"/>
    <x v="2"/>
    <n v="55556.15"/>
    <s v="Corolla"/>
    <x v="2"/>
    <x v="0"/>
    <x v="5"/>
    <n v="0.49"/>
    <x v="1"/>
  </r>
  <r>
    <n v="1012"/>
    <x v="1"/>
    <n v="2002"/>
    <x v="28"/>
    <x v="0"/>
    <n v="270855"/>
    <x v="1"/>
    <n v="94486.25"/>
    <s v="X3"/>
    <x v="1"/>
    <x v="1"/>
    <x v="23"/>
    <n v="0.35"/>
    <x v="0"/>
  </r>
  <r>
    <n v="1013"/>
    <x v="1"/>
    <n v="2005"/>
    <x v="2"/>
    <x v="1"/>
    <n v="7904"/>
    <x v="1"/>
    <n v="69719.28"/>
    <s v="3 Series"/>
    <x v="0"/>
    <x v="2"/>
    <x v="14"/>
    <n v="8.82"/>
    <x v="0"/>
  </r>
  <r>
    <n v="1014"/>
    <x v="2"/>
    <n v="2006"/>
    <x v="27"/>
    <x v="0"/>
    <n v="64033"/>
    <x v="2"/>
    <n v="66332.39"/>
    <s v="A4"/>
    <x v="2"/>
    <x v="0"/>
    <x v="11"/>
    <n v="1.04"/>
    <x v="0"/>
  </r>
  <r>
    <n v="1015"/>
    <x v="4"/>
    <n v="2019"/>
    <x v="3"/>
    <x v="0"/>
    <n v="231659"/>
    <x v="1"/>
    <n v="72602.73"/>
    <s v="Fit"/>
    <x v="3"/>
    <x v="1"/>
    <x v="5"/>
    <n v="0.31"/>
    <x v="1"/>
  </r>
  <r>
    <n v="1016"/>
    <x v="5"/>
    <n v="2022"/>
    <x v="11"/>
    <x v="1"/>
    <n v="120035"/>
    <x v="1"/>
    <n v="92220.58"/>
    <s v="GLC"/>
    <x v="0"/>
    <x v="0"/>
    <x v="13"/>
    <n v="0.77"/>
    <x v="0"/>
  </r>
  <r>
    <n v="1017"/>
    <x v="2"/>
    <n v="2017"/>
    <x v="28"/>
    <x v="1"/>
    <n v="220859"/>
    <x v="2"/>
    <n v="28608.799999999999"/>
    <s v="A3"/>
    <x v="3"/>
    <x v="1"/>
    <x v="7"/>
    <n v="0.13"/>
    <x v="0"/>
  </r>
  <r>
    <n v="1018"/>
    <x v="4"/>
    <n v="2010"/>
    <x v="29"/>
    <x v="0"/>
    <n v="186168"/>
    <x v="1"/>
    <n v="63257.91"/>
    <s v="Civic"/>
    <x v="0"/>
    <x v="1"/>
    <x v="9"/>
    <n v="0.34"/>
    <x v="1"/>
  </r>
  <r>
    <n v="1019"/>
    <x v="2"/>
    <n v="2018"/>
    <x v="47"/>
    <x v="1"/>
    <n v="221666"/>
    <x v="1"/>
    <n v="43037.42"/>
    <s v="A3"/>
    <x v="1"/>
    <x v="1"/>
    <x v="1"/>
    <n v="0.19"/>
    <x v="0"/>
  </r>
  <r>
    <n v="1020"/>
    <x v="5"/>
    <n v="2004"/>
    <x v="6"/>
    <x v="0"/>
    <n v="231853"/>
    <x v="2"/>
    <n v="6126.25"/>
    <s v="GLA"/>
    <x v="3"/>
    <x v="1"/>
    <x v="19"/>
    <n v="0.03"/>
    <x v="0"/>
  </r>
  <r>
    <n v="1021"/>
    <x v="3"/>
    <n v="2018"/>
    <x v="19"/>
    <x v="0"/>
    <n v="265237"/>
    <x v="1"/>
    <n v="16903.59"/>
    <s v="Explorer"/>
    <x v="3"/>
    <x v="1"/>
    <x v="1"/>
    <n v="0.06"/>
    <x v="1"/>
  </r>
  <r>
    <n v="1022"/>
    <x v="3"/>
    <n v="2010"/>
    <x v="50"/>
    <x v="1"/>
    <n v="287062"/>
    <x v="1"/>
    <n v="35874.230000000003"/>
    <s v="Fiesta"/>
    <x v="1"/>
    <x v="1"/>
    <x v="9"/>
    <n v="0.12"/>
    <x v="1"/>
  </r>
  <r>
    <n v="1023"/>
    <x v="3"/>
    <n v="2023"/>
    <x v="11"/>
    <x v="1"/>
    <n v="193708"/>
    <x v="1"/>
    <n v="58675"/>
    <s v="Fiesta"/>
    <x v="3"/>
    <x v="1"/>
    <x v="8"/>
    <n v="0.3"/>
    <x v="1"/>
  </r>
  <r>
    <n v="1024"/>
    <x v="3"/>
    <n v="2011"/>
    <x v="46"/>
    <x v="0"/>
    <n v="189878"/>
    <x v="1"/>
    <n v="88740.1"/>
    <s v="Fiesta"/>
    <x v="0"/>
    <x v="1"/>
    <x v="3"/>
    <n v="0.47"/>
    <x v="1"/>
  </r>
  <r>
    <n v="1025"/>
    <x v="0"/>
    <n v="2009"/>
    <x v="48"/>
    <x v="1"/>
    <n v="140466"/>
    <x v="2"/>
    <n v="80155.839999999997"/>
    <s v="Model Y"/>
    <x v="0"/>
    <x v="0"/>
    <x v="4"/>
    <n v="0.56999999999999995"/>
    <x v="0"/>
  </r>
  <r>
    <n v="1026"/>
    <x v="6"/>
    <n v="2007"/>
    <x v="24"/>
    <x v="1"/>
    <n v="124501"/>
    <x v="0"/>
    <n v="57566.7"/>
    <s v="RAV4"/>
    <x v="2"/>
    <x v="0"/>
    <x v="17"/>
    <n v="0.46"/>
    <x v="1"/>
  </r>
  <r>
    <n v="1027"/>
    <x v="0"/>
    <n v="2023"/>
    <x v="46"/>
    <x v="0"/>
    <n v="260228"/>
    <x v="0"/>
    <n v="12017.69"/>
    <s v="Model S"/>
    <x v="0"/>
    <x v="1"/>
    <x v="8"/>
    <n v="0.05"/>
    <x v="0"/>
  </r>
  <r>
    <n v="1028"/>
    <x v="0"/>
    <n v="2008"/>
    <x v="17"/>
    <x v="0"/>
    <n v="92510"/>
    <x v="1"/>
    <n v="32161.1"/>
    <s v="Model X"/>
    <x v="0"/>
    <x v="0"/>
    <x v="22"/>
    <n v="0.35"/>
    <x v="0"/>
  </r>
  <r>
    <n v="1029"/>
    <x v="0"/>
    <n v="2003"/>
    <x v="16"/>
    <x v="0"/>
    <n v="93708"/>
    <x v="2"/>
    <n v="39837.32"/>
    <s v="Model Y"/>
    <x v="0"/>
    <x v="0"/>
    <x v="21"/>
    <n v="0.43"/>
    <x v="0"/>
  </r>
  <r>
    <n v="1030"/>
    <x v="3"/>
    <n v="2004"/>
    <x v="30"/>
    <x v="0"/>
    <n v="97819"/>
    <x v="2"/>
    <n v="64063.13"/>
    <s v="Fiesta"/>
    <x v="3"/>
    <x v="0"/>
    <x v="19"/>
    <n v="0.65"/>
    <x v="1"/>
  </r>
  <r>
    <n v="1031"/>
    <x v="5"/>
    <n v="2020"/>
    <x v="0"/>
    <x v="0"/>
    <n v="235603"/>
    <x v="1"/>
    <n v="11167.74"/>
    <s v="GLC"/>
    <x v="2"/>
    <x v="1"/>
    <x v="6"/>
    <n v="0.05"/>
    <x v="0"/>
  </r>
  <r>
    <n v="1032"/>
    <x v="1"/>
    <n v="2007"/>
    <x v="16"/>
    <x v="0"/>
    <n v="36303"/>
    <x v="0"/>
    <n v="55368.39"/>
    <s v="5 Series"/>
    <x v="3"/>
    <x v="2"/>
    <x v="17"/>
    <n v="1.53"/>
    <x v="0"/>
  </r>
  <r>
    <n v="1033"/>
    <x v="1"/>
    <n v="2022"/>
    <x v="26"/>
    <x v="1"/>
    <n v="27453"/>
    <x v="1"/>
    <n v="90639.13"/>
    <s v="3 Series"/>
    <x v="2"/>
    <x v="2"/>
    <x v="13"/>
    <n v="3.3"/>
    <x v="0"/>
  </r>
  <r>
    <n v="1034"/>
    <x v="6"/>
    <n v="2008"/>
    <x v="40"/>
    <x v="0"/>
    <n v="199521"/>
    <x v="2"/>
    <n v="72016.11"/>
    <s v="Corolla"/>
    <x v="1"/>
    <x v="1"/>
    <x v="22"/>
    <n v="0.36"/>
    <x v="1"/>
  </r>
  <r>
    <n v="1035"/>
    <x v="3"/>
    <n v="2014"/>
    <x v="33"/>
    <x v="1"/>
    <n v="156837"/>
    <x v="2"/>
    <n v="80722.3"/>
    <s v="Explorer"/>
    <x v="3"/>
    <x v="1"/>
    <x v="12"/>
    <n v="0.51"/>
    <x v="1"/>
  </r>
  <r>
    <n v="1036"/>
    <x v="3"/>
    <n v="2014"/>
    <x v="20"/>
    <x v="1"/>
    <n v="222787"/>
    <x v="0"/>
    <n v="69759.19"/>
    <s v="Fiesta"/>
    <x v="0"/>
    <x v="1"/>
    <x v="12"/>
    <n v="0.31"/>
    <x v="1"/>
  </r>
  <r>
    <n v="1037"/>
    <x v="3"/>
    <n v="2015"/>
    <x v="41"/>
    <x v="0"/>
    <n v="38057"/>
    <x v="2"/>
    <n v="24625.97"/>
    <s v="Fiesta"/>
    <x v="3"/>
    <x v="2"/>
    <x v="16"/>
    <n v="0.65"/>
    <x v="1"/>
  </r>
  <r>
    <n v="1038"/>
    <x v="2"/>
    <n v="2013"/>
    <x v="38"/>
    <x v="1"/>
    <n v="189060"/>
    <x v="2"/>
    <n v="15495.96"/>
    <s v="A4"/>
    <x v="2"/>
    <x v="1"/>
    <x v="2"/>
    <n v="0.08"/>
    <x v="0"/>
  </r>
  <r>
    <n v="1039"/>
    <x v="4"/>
    <n v="2007"/>
    <x v="18"/>
    <x v="0"/>
    <n v="94655"/>
    <x v="2"/>
    <n v="83801.61"/>
    <s v="Accord"/>
    <x v="1"/>
    <x v="0"/>
    <x v="17"/>
    <n v="0.89"/>
    <x v="1"/>
  </r>
  <r>
    <n v="1040"/>
    <x v="2"/>
    <n v="2017"/>
    <x v="29"/>
    <x v="1"/>
    <n v="277169"/>
    <x v="0"/>
    <n v="71072.92"/>
    <s v="A4"/>
    <x v="2"/>
    <x v="1"/>
    <x v="7"/>
    <n v="0.26"/>
    <x v="0"/>
  </r>
  <r>
    <n v="1041"/>
    <x v="4"/>
    <n v="2009"/>
    <x v="37"/>
    <x v="0"/>
    <n v="269289"/>
    <x v="2"/>
    <n v="59630.85"/>
    <s v="Accord"/>
    <x v="3"/>
    <x v="1"/>
    <x v="4"/>
    <n v="0.22"/>
    <x v="1"/>
  </r>
  <r>
    <n v="1042"/>
    <x v="3"/>
    <n v="2019"/>
    <x v="14"/>
    <x v="0"/>
    <n v="101206"/>
    <x v="1"/>
    <n v="22981.87"/>
    <s v="Focus"/>
    <x v="2"/>
    <x v="0"/>
    <x v="5"/>
    <n v="0.23"/>
    <x v="1"/>
  </r>
  <r>
    <n v="1043"/>
    <x v="3"/>
    <n v="2005"/>
    <x v="45"/>
    <x v="0"/>
    <n v="186869"/>
    <x v="0"/>
    <n v="62317.77"/>
    <s v="Explorer"/>
    <x v="2"/>
    <x v="1"/>
    <x v="14"/>
    <n v="0.33"/>
    <x v="1"/>
  </r>
  <r>
    <n v="1044"/>
    <x v="2"/>
    <n v="2011"/>
    <x v="42"/>
    <x v="0"/>
    <n v="73230"/>
    <x v="1"/>
    <n v="7975.57"/>
    <s v="Q7"/>
    <x v="1"/>
    <x v="0"/>
    <x v="3"/>
    <n v="0.11"/>
    <x v="0"/>
  </r>
  <r>
    <n v="1045"/>
    <x v="2"/>
    <n v="2001"/>
    <x v="29"/>
    <x v="1"/>
    <n v="155002"/>
    <x v="1"/>
    <n v="16289.72"/>
    <s v="Q5"/>
    <x v="0"/>
    <x v="1"/>
    <x v="10"/>
    <n v="0.11"/>
    <x v="0"/>
  </r>
  <r>
    <n v="1046"/>
    <x v="4"/>
    <n v="2006"/>
    <x v="30"/>
    <x v="1"/>
    <n v="108138"/>
    <x v="0"/>
    <n v="34629.56"/>
    <s v="Accord"/>
    <x v="3"/>
    <x v="0"/>
    <x v="11"/>
    <n v="0.32"/>
    <x v="1"/>
  </r>
  <r>
    <n v="1047"/>
    <x v="1"/>
    <n v="2015"/>
    <x v="6"/>
    <x v="1"/>
    <n v="207097"/>
    <x v="1"/>
    <n v="47155.14"/>
    <s v="X3"/>
    <x v="1"/>
    <x v="1"/>
    <x v="16"/>
    <n v="0.23"/>
    <x v="0"/>
  </r>
  <r>
    <n v="1048"/>
    <x v="4"/>
    <n v="2002"/>
    <x v="46"/>
    <x v="1"/>
    <n v="212376"/>
    <x v="0"/>
    <n v="16453.63"/>
    <s v="Civic"/>
    <x v="0"/>
    <x v="1"/>
    <x v="23"/>
    <n v="0.08"/>
    <x v="1"/>
  </r>
  <r>
    <n v="1049"/>
    <x v="2"/>
    <n v="2012"/>
    <x v="24"/>
    <x v="1"/>
    <n v="62040"/>
    <x v="1"/>
    <n v="16394.32"/>
    <s v="A4"/>
    <x v="2"/>
    <x v="0"/>
    <x v="15"/>
    <n v="0.26"/>
    <x v="0"/>
  </r>
  <r>
    <n v="1050"/>
    <x v="5"/>
    <n v="2002"/>
    <x v="15"/>
    <x v="0"/>
    <n v="108668"/>
    <x v="0"/>
    <n v="73959.899999999994"/>
    <s v="E-Class"/>
    <x v="0"/>
    <x v="0"/>
    <x v="23"/>
    <n v="0.68"/>
    <x v="0"/>
  </r>
  <r>
    <n v="1051"/>
    <x v="2"/>
    <n v="2017"/>
    <x v="47"/>
    <x v="0"/>
    <n v="198768"/>
    <x v="2"/>
    <n v="59123.34"/>
    <s v="A4"/>
    <x v="2"/>
    <x v="1"/>
    <x v="7"/>
    <n v="0.3"/>
    <x v="0"/>
  </r>
  <r>
    <n v="1052"/>
    <x v="5"/>
    <n v="2010"/>
    <x v="25"/>
    <x v="0"/>
    <n v="56815"/>
    <x v="2"/>
    <n v="55705.49"/>
    <s v="E-Class"/>
    <x v="2"/>
    <x v="0"/>
    <x v="9"/>
    <n v="0.98"/>
    <x v="0"/>
  </r>
  <r>
    <n v="1053"/>
    <x v="6"/>
    <n v="2007"/>
    <x v="41"/>
    <x v="0"/>
    <n v="216741"/>
    <x v="1"/>
    <n v="47981.279999999999"/>
    <s v="Corolla"/>
    <x v="1"/>
    <x v="1"/>
    <x v="17"/>
    <n v="0.22"/>
    <x v="1"/>
  </r>
  <r>
    <n v="1054"/>
    <x v="2"/>
    <n v="2005"/>
    <x v="34"/>
    <x v="0"/>
    <n v="112789"/>
    <x v="2"/>
    <n v="97771.6"/>
    <s v="A3"/>
    <x v="2"/>
    <x v="0"/>
    <x v="14"/>
    <n v="0.87"/>
    <x v="0"/>
  </r>
  <r>
    <n v="1055"/>
    <x v="6"/>
    <n v="2000"/>
    <x v="2"/>
    <x v="1"/>
    <n v="219478"/>
    <x v="0"/>
    <n v="9731.0300000000007"/>
    <s v="Prius"/>
    <x v="1"/>
    <x v="1"/>
    <x v="18"/>
    <n v="0.04"/>
    <x v="1"/>
  </r>
  <r>
    <n v="1056"/>
    <x v="1"/>
    <n v="2000"/>
    <x v="37"/>
    <x v="0"/>
    <n v="167644"/>
    <x v="1"/>
    <n v="22159.58"/>
    <s v="X5"/>
    <x v="0"/>
    <x v="1"/>
    <x v="18"/>
    <n v="0.13"/>
    <x v="0"/>
  </r>
  <r>
    <n v="1057"/>
    <x v="4"/>
    <n v="2022"/>
    <x v="31"/>
    <x v="0"/>
    <n v="185102"/>
    <x v="2"/>
    <n v="66513.240000000005"/>
    <s v="Accord"/>
    <x v="0"/>
    <x v="1"/>
    <x v="13"/>
    <n v="0.36"/>
    <x v="1"/>
  </r>
  <r>
    <n v="1058"/>
    <x v="5"/>
    <n v="2007"/>
    <x v="1"/>
    <x v="1"/>
    <n v="244533"/>
    <x v="2"/>
    <n v="17954.740000000002"/>
    <s v="E-Class"/>
    <x v="2"/>
    <x v="1"/>
    <x v="17"/>
    <n v="7.0000000000000007E-2"/>
    <x v="0"/>
  </r>
  <r>
    <n v="1059"/>
    <x v="4"/>
    <n v="2004"/>
    <x v="1"/>
    <x v="1"/>
    <n v="237469"/>
    <x v="1"/>
    <n v="60991.19"/>
    <s v="Fit"/>
    <x v="1"/>
    <x v="1"/>
    <x v="19"/>
    <n v="0.26"/>
    <x v="1"/>
  </r>
  <r>
    <n v="1060"/>
    <x v="6"/>
    <n v="2015"/>
    <x v="8"/>
    <x v="0"/>
    <n v="233308"/>
    <x v="2"/>
    <n v="58937.32"/>
    <s v="Camry"/>
    <x v="2"/>
    <x v="1"/>
    <x v="16"/>
    <n v="0.25"/>
    <x v="1"/>
  </r>
  <r>
    <n v="1061"/>
    <x v="5"/>
    <n v="2010"/>
    <x v="41"/>
    <x v="0"/>
    <n v="160275"/>
    <x v="2"/>
    <n v="97245.49"/>
    <s v="C-Class"/>
    <x v="1"/>
    <x v="1"/>
    <x v="9"/>
    <n v="0.61"/>
    <x v="0"/>
  </r>
  <r>
    <n v="1062"/>
    <x v="4"/>
    <n v="2004"/>
    <x v="22"/>
    <x v="1"/>
    <n v="77088"/>
    <x v="1"/>
    <n v="88921.72"/>
    <s v="CR-V"/>
    <x v="1"/>
    <x v="0"/>
    <x v="19"/>
    <n v="1.1499999999999999"/>
    <x v="1"/>
  </r>
  <r>
    <n v="1063"/>
    <x v="2"/>
    <n v="2003"/>
    <x v="5"/>
    <x v="0"/>
    <n v="5608"/>
    <x v="2"/>
    <n v="94827.57"/>
    <s v="Q7"/>
    <x v="1"/>
    <x v="2"/>
    <x v="21"/>
    <n v="16.91"/>
    <x v="0"/>
  </r>
  <r>
    <n v="1064"/>
    <x v="3"/>
    <n v="2005"/>
    <x v="28"/>
    <x v="0"/>
    <n v="45667"/>
    <x v="2"/>
    <n v="15792.23"/>
    <s v="Explorer"/>
    <x v="0"/>
    <x v="2"/>
    <x v="14"/>
    <n v="0.35"/>
    <x v="1"/>
  </r>
  <r>
    <n v="1065"/>
    <x v="6"/>
    <n v="2013"/>
    <x v="38"/>
    <x v="0"/>
    <n v="55547"/>
    <x v="2"/>
    <n v="87474.1"/>
    <s v="RAV4"/>
    <x v="1"/>
    <x v="0"/>
    <x v="2"/>
    <n v="1.57"/>
    <x v="1"/>
  </r>
  <r>
    <n v="1066"/>
    <x v="4"/>
    <n v="2021"/>
    <x v="26"/>
    <x v="1"/>
    <n v="234907"/>
    <x v="2"/>
    <n v="17263.61"/>
    <s v="CR-V"/>
    <x v="0"/>
    <x v="1"/>
    <x v="20"/>
    <n v="7.0000000000000007E-2"/>
    <x v="1"/>
  </r>
  <r>
    <n v="1067"/>
    <x v="6"/>
    <n v="2018"/>
    <x v="6"/>
    <x v="0"/>
    <n v="57560"/>
    <x v="1"/>
    <n v="65128.56"/>
    <s v="Prius"/>
    <x v="1"/>
    <x v="0"/>
    <x v="1"/>
    <n v="1.1299999999999999"/>
    <x v="1"/>
  </r>
  <r>
    <n v="1068"/>
    <x v="0"/>
    <n v="2008"/>
    <x v="16"/>
    <x v="0"/>
    <n v="214601"/>
    <x v="0"/>
    <n v="73407.429999999993"/>
    <s v="Model X"/>
    <x v="0"/>
    <x v="1"/>
    <x v="22"/>
    <n v="0.34"/>
    <x v="0"/>
  </r>
  <r>
    <n v="1069"/>
    <x v="6"/>
    <n v="2011"/>
    <x v="25"/>
    <x v="1"/>
    <n v="159487"/>
    <x v="0"/>
    <n v="20281.080000000002"/>
    <s v="RAV4"/>
    <x v="3"/>
    <x v="1"/>
    <x v="3"/>
    <n v="0.13"/>
    <x v="1"/>
  </r>
  <r>
    <n v="1070"/>
    <x v="5"/>
    <n v="2010"/>
    <x v="4"/>
    <x v="1"/>
    <n v="184286"/>
    <x v="2"/>
    <n v="65102.64"/>
    <s v="C-Class"/>
    <x v="0"/>
    <x v="1"/>
    <x v="9"/>
    <n v="0.35"/>
    <x v="0"/>
  </r>
  <r>
    <n v="1071"/>
    <x v="0"/>
    <n v="2013"/>
    <x v="38"/>
    <x v="1"/>
    <n v="280141"/>
    <x v="2"/>
    <n v="9983.75"/>
    <s v="Model Y"/>
    <x v="0"/>
    <x v="1"/>
    <x v="2"/>
    <n v="0.04"/>
    <x v="0"/>
  </r>
  <r>
    <n v="1072"/>
    <x v="5"/>
    <n v="2022"/>
    <x v="45"/>
    <x v="0"/>
    <n v="121266"/>
    <x v="0"/>
    <n v="32860.28"/>
    <s v="GLC"/>
    <x v="2"/>
    <x v="0"/>
    <x v="13"/>
    <n v="0.27"/>
    <x v="0"/>
  </r>
  <r>
    <n v="1073"/>
    <x v="3"/>
    <n v="2015"/>
    <x v="46"/>
    <x v="1"/>
    <n v="3679"/>
    <x v="2"/>
    <n v="92510.06"/>
    <s v="Explorer"/>
    <x v="1"/>
    <x v="2"/>
    <x v="16"/>
    <n v="25.15"/>
    <x v="1"/>
  </r>
  <r>
    <n v="1074"/>
    <x v="0"/>
    <n v="2000"/>
    <x v="47"/>
    <x v="0"/>
    <n v="40308"/>
    <x v="0"/>
    <n v="21314.46"/>
    <s v="Model S"/>
    <x v="0"/>
    <x v="2"/>
    <x v="18"/>
    <n v="0.53"/>
    <x v="0"/>
  </r>
  <r>
    <n v="1075"/>
    <x v="2"/>
    <n v="2012"/>
    <x v="9"/>
    <x v="1"/>
    <n v="206096"/>
    <x v="1"/>
    <n v="11200.65"/>
    <s v="Q7"/>
    <x v="2"/>
    <x v="1"/>
    <x v="15"/>
    <n v="0.05"/>
    <x v="0"/>
  </r>
  <r>
    <n v="1076"/>
    <x v="6"/>
    <n v="2022"/>
    <x v="19"/>
    <x v="0"/>
    <n v="170914"/>
    <x v="1"/>
    <n v="47149.43"/>
    <s v="RAV4"/>
    <x v="1"/>
    <x v="1"/>
    <x v="13"/>
    <n v="0.28000000000000003"/>
    <x v="1"/>
  </r>
  <r>
    <n v="1077"/>
    <x v="4"/>
    <n v="2020"/>
    <x v="24"/>
    <x v="1"/>
    <n v="5695"/>
    <x v="1"/>
    <n v="85808.73"/>
    <s v="Civic"/>
    <x v="3"/>
    <x v="2"/>
    <x v="6"/>
    <n v="15.07"/>
    <x v="1"/>
  </r>
  <r>
    <n v="1078"/>
    <x v="1"/>
    <n v="2020"/>
    <x v="26"/>
    <x v="0"/>
    <n v="226812"/>
    <x v="1"/>
    <n v="12283.88"/>
    <s v="X3"/>
    <x v="3"/>
    <x v="1"/>
    <x v="6"/>
    <n v="0.05"/>
    <x v="0"/>
  </r>
  <r>
    <n v="1079"/>
    <x v="6"/>
    <n v="2012"/>
    <x v="9"/>
    <x v="0"/>
    <n v="58499"/>
    <x v="1"/>
    <n v="38775.86"/>
    <s v="Camry"/>
    <x v="3"/>
    <x v="0"/>
    <x v="15"/>
    <n v="0.66"/>
    <x v="1"/>
  </r>
  <r>
    <n v="1080"/>
    <x v="6"/>
    <n v="2001"/>
    <x v="15"/>
    <x v="1"/>
    <n v="23382"/>
    <x v="1"/>
    <n v="90478.61"/>
    <s v="Corolla"/>
    <x v="1"/>
    <x v="2"/>
    <x v="10"/>
    <n v="3.87"/>
    <x v="1"/>
  </r>
  <r>
    <n v="1081"/>
    <x v="3"/>
    <n v="2003"/>
    <x v="25"/>
    <x v="1"/>
    <n v="276379"/>
    <x v="0"/>
    <n v="16224.78"/>
    <s v="Fiesta"/>
    <x v="3"/>
    <x v="1"/>
    <x v="21"/>
    <n v="0.06"/>
    <x v="1"/>
  </r>
  <r>
    <n v="1082"/>
    <x v="2"/>
    <n v="2005"/>
    <x v="39"/>
    <x v="0"/>
    <n v="193295"/>
    <x v="2"/>
    <n v="34513.51"/>
    <s v="A4"/>
    <x v="3"/>
    <x v="1"/>
    <x v="14"/>
    <n v="0.18"/>
    <x v="0"/>
  </r>
  <r>
    <n v="1083"/>
    <x v="1"/>
    <n v="2022"/>
    <x v="44"/>
    <x v="1"/>
    <n v="133438"/>
    <x v="0"/>
    <n v="78949.960000000006"/>
    <s v="3 Series"/>
    <x v="2"/>
    <x v="0"/>
    <x v="13"/>
    <n v="0.59"/>
    <x v="0"/>
  </r>
  <r>
    <n v="1084"/>
    <x v="0"/>
    <n v="2004"/>
    <x v="22"/>
    <x v="0"/>
    <n v="158539"/>
    <x v="1"/>
    <n v="56605.04"/>
    <s v="Model 3"/>
    <x v="0"/>
    <x v="1"/>
    <x v="19"/>
    <n v="0.36"/>
    <x v="0"/>
  </r>
  <r>
    <n v="1085"/>
    <x v="0"/>
    <n v="2002"/>
    <x v="25"/>
    <x v="1"/>
    <n v="6764"/>
    <x v="2"/>
    <n v="84071.65"/>
    <s v="Model Y"/>
    <x v="0"/>
    <x v="2"/>
    <x v="23"/>
    <n v="12.43"/>
    <x v="0"/>
  </r>
  <r>
    <n v="1086"/>
    <x v="0"/>
    <n v="2000"/>
    <x v="36"/>
    <x v="1"/>
    <n v="221968"/>
    <x v="2"/>
    <n v="15601.56"/>
    <s v="Model Y"/>
    <x v="0"/>
    <x v="1"/>
    <x v="18"/>
    <n v="7.0000000000000007E-2"/>
    <x v="0"/>
  </r>
  <r>
    <n v="1087"/>
    <x v="5"/>
    <n v="2003"/>
    <x v="0"/>
    <x v="0"/>
    <n v="113831"/>
    <x v="1"/>
    <n v="92452.65"/>
    <s v="E-Class"/>
    <x v="2"/>
    <x v="0"/>
    <x v="21"/>
    <n v="0.81"/>
    <x v="0"/>
  </r>
  <r>
    <n v="1088"/>
    <x v="5"/>
    <n v="2019"/>
    <x v="16"/>
    <x v="1"/>
    <n v="61836"/>
    <x v="1"/>
    <n v="93816.62"/>
    <s v="C-Class"/>
    <x v="0"/>
    <x v="0"/>
    <x v="5"/>
    <n v="1.52"/>
    <x v="0"/>
  </r>
  <r>
    <n v="1089"/>
    <x v="4"/>
    <n v="2001"/>
    <x v="33"/>
    <x v="1"/>
    <n v="294067"/>
    <x v="1"/>
    <n v="19754.740000000002"/>
    <s v="Fit"/>
    <x v="3"/>
    <x v="1"/>
    <x v="10"/>
    <n v="7.0000000000000007E-2"/>
    <x v="1"/>
  </r>
  <r>
    <n v="1090"/>
    <x v="1"/>
    <n v="2004"/>
    <x v="7"/>
    <x v="0"/>
    <n v="255033"/>
    <x v="1"/>
    <n v="8218.17"/>
    <s v="3 Series"/>
    <x v="3"/>
    <x v="1"/>
    <x v="19"/>
    <n v="0.03"/>
    <x v="0"/>
  </r>
  <r>
    <n v="1091"/>
    <x v="0"/>
    <n v="2002"/>
    <x v="18"/>
    <x v="0"/>
    <n v="16292"/>
    <x v="1"/>
    <n v="99034.93"/>
    <s v="Model 3"/>
    <x v="0"/>
    <x v="2"/>
    <x v="23"/>
    <n v="6.08"/>
    <x v="0"/>
  </r>
  <r>
    <n v="1092"/>
    <x v="5"/>
    <n v="2008"/>
    <x v="45"/>
    <x v="1"/>
    <n v="283083"/>
    <x v="1"/>
    <n v="50813.9"/>
    <s v="GLC"/>
    <x v="1"/>
    <x v="1"/>
    <x v="22"/>
    <n v="0.18"/>
    <x v="0"/>
  </r>
  <r>
    <n v="1093"/>
    <x v="4"/>
    <n v="2019"/>
    <x v="34"/>
    <x v="0"/>
    <n v="243772"/>
    <x v="2"/>
    <n v="59347.16"/>
    <s v="Fit"/>
    <x v="1"/>
    <x v="1"/>
    <x v="5"/>
    <n v="0.24"/>
    <x v="1"/>
  </r>
  <r>
    <n v="1094"/>
    <x v="2"/>
    <n v="2005"/>
    <x v="30"/>
    <x v="1"/>
    <n v="18800"/>
    <x v="1"/>
    <n v="63510.95"/>
    <s v="A3"/>
    <x v="2"/>
    <x v="2"/>
    <x v="14"/>
    <n v="3.38"/>
    <x v="0"/>
  </r>
  <r>
    <n v="1095"/>
    <x v="4"/>
    <n v="2017"/>
    <x v="33"/>
    <x v="1"/>
    <n v="56440"/>
    <x v="1"/>
    <n v="80018.5"/>
    <s v="Accord"/>
    <x v="1"/>
    <x v="0"/>
    <x v="7"/>
    <n v="1.42"/>
    <x v="1"/>
  </r>
  <r>
    <n v="1096"/>
    <x v="5"/>
    <n v="2005"/>
    <x v="35"/>
    <x v="0"/>
    <n v="127521"/>
    <x v="2"/>
    <n v="82138.86"/>
    <s v="GLA"/>
    <x v="2"/>
    <x v="0"/>
    <x v="14"/>
    <n v="0.64"/>
    <x v="0"/>
  </r>
  <r>
    <n v="1097"/>
    <x v="3"/>
    <n v="2018"/>
    <x v="6"/>
    <x v="0"/>
    <n v="121327"/>
    <x v="0"/>
    <n v="23422.9"/>
    <s v="Mustang"/>
    <x v="3"/>
    <x v="0"/>
    <x v="1"/>
    <n v="0.19"/>
    <x v="1"/>
  </r>
  <r>
    <n v="1098"/>
    <x v="3"/>
    <n v="2011"/>
    <x v="35"/>
    <x v="0"/>
    <n v="49648"/>
    <x v="1"/>
    <n v="27480.49"/>
    <s v="Fiesta"/>
    <x v="0"/>
    <x v="2"/>
    <x v="3"/>
    <n v="0.55000000000000004"/>
    <x v="1"/>
  </r>
  <r>
    <n v="1099"/>
    <x v="0"/>
    <n v="2010"/>
    <x v="27"/>
    <x v="0"/>
    <n v="291908"/>
    <x v="2"/>
    <n v="88299.14"/>
    <s v="Model X"/>
    <x v="0"/>
    <x v="1"/>
    <x v="9"/>
    <n v="0.3"/>
    <x v="0"/>
  </r>
  <r>
    <n v="1100"/>
    <x v="3"/>
    <n v="2001"/>
    <x v="9"/>
    <x v="0"/>
    <n v="294614"/>
    <x v="2"/>
    <n v="82854.17"/>
    <s v="Mustang"/>
    <x v="3"/>
    <x v="1"/>
    <x v="10"/>
    <n v="0.28000000000000003"/>
    <x v="1"/>
  </r>
  <r>
    <n v="1101"/>
    <x v="0"/>
    <n v="2014"/>
    <x v="4"/>
    <x v="0"/>
    <n v="256160"/>
    <x v="0"/>
    <n v="63673.84"/>
    <s v="Model S"/>
    <x v="0"/>
    <x v="1"/>
    <x v="12"/>
    <n v="0.25"/>
    <x v="0"/>
  </r>
  <r>
    <n v="1102"/>
    <x v="0"/>
    <n v="2011"/>
    <x v="9"/>
    <x v="1"/>
    <n v="169573"/>
    <x v="1"/>
    <n v="99496.42"/>
    <s v="Model S"/>
    <x v="0"/>
    <x v="1"/>
    <x v="3"/>
    <n v="0.59"/>
    <x v="0"/>
  </r>
  <r>
    <n v="1103"/>
    <x v="5"/>
    <n v="2011"/>
    <x v="20"/>
    <x v="1"/>
    <n v="57207"/>
    <x v="1"/>
    <n v="74842.47"/>
    <s v="GLA"/>
    <x v="1"/>
    <x v="0"/>
    <x v="3"/>
    <n v="1.31"/>
    <x v="0"/>
  </r>
  <r>
    <n v="1104"/>
    <x v="3"/>
    <n v="2008"/>
    <x v="21"/>
    <x v="0"/>
    <n v="62157"/>
    <x v="1"/>
    <n v="25504.49"/>
    <s v="Focus"/>
    <x v="1"/>
    <x v="0"/>
    <x v="22"/>
    <n v="0.41"/>
    <x v="1"/>
  </r>
  <r>
    <n v="1105"/>
    <x v="0"/>
    <n v="2020"/>
    <x v="23"/>
    <x v="1"/>
    <n v="134288"/>
    <x v="2"/>
    <n v="85431.19"/>
    <s v="Model S"/>
    <x v="0"/>
    <x v="0"/>
    <x v="6"/>
    <n v="0.64"/>
    <x v="0"/>
  </r>
  <r>
    <n v="1106"/>
    <x v="1"/>
    <n v="2023"/>
    <x v="33"/>
    <x v="1"/>
    <n v="153144"/>
    <x v="1"/>
    <n v="44399.6"/>
    <s v="5 Series"/>
    <x v="1"/>
    <x v="1"/>
    <x v="8"/>
    <n v="0.28999999999999998"/>
    <x v="0"/>
  </r>
  <r>
    <n v="1107"/>
    <x v="2"/>
    <n v="2001"/>
    <x v="12"/>
    <x v="1"/>
    <n v="93778"/>
    <x v="1"/>
    <n v="8434.5"/>
    <s v="Q7"/>
    <x v="2"/>
    <x v="0"/>
    <x v="10"/>
    <n v="0.09"/>
    <x v="0"/>
  </r>
  <r>
    <n v="1108"/>
    <x v="4"/>
    <n v="2021"/>
    <x v="49"/>
    <x v="1"/>
    <n v="130016"/>
    <x v="1"/>
    <n v="35535.019999999997"/>
    <s v="Fit"/>
    <x v="3"/>
    <x v="0"/>
    <x v="20"/>
    <n v="0.27"/>
    <x v="1"/>
  </r>
  <r>
    <n v="1109"/>
    <x v="4"/>
    <n v="2002"/>
    <x v="14"/>
    <x v="0"/>
    <n v="124288"/>
    <x v="1"/>
    <n v="77537.37"/>
    <s v="Fit"/>
    <x v="0"/>
    <x v="0"/>
    <x v="23"/>
    <n v="0.62"/>
    <x v="1"/>
  </r>
  <r>
    <n v="1110"/>
    <x v="5"/>
    <n v="2011"/>
    <x v="32"/>
    <x v="1"/>
    <n v="168204"/>
    <x v="0"/>
    <n v="96219.59"/>
    <s v="GLC"/>
    <x v="0"/>
    <x v="1"/>
    <x v="3"/>
    <n v="0.56999999999999995"/>
    <x v="0"/>
  </r>
  <r>
    <n v="1111"/>
    <x v="3"/>
    <n v="2015"/>
    <x v="4"/>
    <x v="1"/>
    <n v="110573"/>
    <x v="0"/>
    <n v="31232.959999999999"/>
    <s v="Mustang"/>
    <x v="0"/>
    <x v="0"/>
    <x v="16"/>
    <n v="0.28000000000000003"/>
    <x v="1"/>
  </r>
  <r>
    <n v="1112"/>
    <x v="3"/>
    <n v="2020"/>
    <x v="41"/>
    <x v="0"/>
    <n v="120730"/>
    <x v="0"/>
    <n v="28419.05"/>
    <s v="Explorer"/>
    <x v="0"/>
    <x v="0"/>
    <x v="6"/>
    <n v="0.24"/>
    <x v="1"/>
  </r>
  <r>
    <n v="1113"/>
    <x v="0"/>
    <n v="2023"/>
    <x v="15"/>
    <x v="0"/>
    <n v="64186"/>
    <x v="1"/>
    <n v="58543.58"/>
    <s v="Model Y"/>
    <x v="0"/>
    <x v="0"/>
    <x v="8"/>
    <n v="0.91"/>
    <x v="0"/>
  </r>
  <r>
    <n v="1114"/>
    <x v="6"/>
    <n v="2000"/>
    <x v="1"/>
    <x v="0"/>
    <n v="267104"/>
    <x v="1"/>
    <n v="82109.97"/>
    <s v="Camry"/>
    <x v="2"/>
    <x v="1"/>
    <x v="18"/>
    <n v="0.31"/>
    <x v="1"/>
  </r>
  <r>
    <n v="1115"/>
    <x v="0"/>
    <n v="2020"/>
    <x v="1"/>
    <x v="0"/>
    <n v="18781"/>
    <x v="2"/>
    <n v="75919.94"/>
    <s v="Model 3"/>
    <x v="0"/>
    <x v="2"/>
    <x v="6"/>
    <n v="4.04"/>
    <x v="0"/>
  </r>
  <r>
    <n v="1116"/>
    <x v="2"/>
    <n v="2002"/>
    <x v="4"/>
    <x v="1"/>
    <n v="237677"/>
    <x v="2"/>
    <n v="58196.1"/>
    <s v="A3"/>
    <x v="0"/>
    <x v="1"/>
    <x v="23"/>
    <n v="0.24"/>
    <x v="0"/>
  </r>
  <r>
    <n v="1117"/>
    <x v="1"/>
    <n v="2019"/>
    <x v="47"/>
    <x v="0"/>
    <n v="257506"/>
    <x v="2"/>
    <n v="64982.02"/>
    <s v="X5"/>
    <x v="3"/>
    <x v="1"/>
    <x v="5"/>
    <n v="0.25"/>
    <x v="0"/>
  </r>
  <r>
    <n v="1118"/>
    <x v="4"/>
    <n v="2001"/>
    <x v="26"/>
    <x v="1"/>
    <n v="31126"/>
    <x v="1"/>
    <n v="27999.4"/>
    <s v="CR-V"/>
    <x v="1"/>
    <x v="2"/>
    <x v="10"/>
    <n v="0.9"/>
    <x v="1"/>
  </r>
  <r>
    <n v="1119"/>
    <x v="0"/>
    <n v="2008"/>
    <x v="44"/>
    <x v="1"/>
    <n v="238217"/>
    <x v="0"/>
    <n v="46094.559999999998"/>
    <s v="Model X"/>
    <x v="0"/>
    <x v="1"/>
    <x v="22"/>
    <n v="0.19"/>
    <x v="0"/>
  </r>
  <r>
    <n v="1120"/>
    <x v="6"/>
    <n v="2018"/>
    <x v="14"/>
    <x v="0"/>
    <n v="280027"/>
    <x v="0"/>
    <n v="29259.73"/>
    <s v="Camry"/>
    <x v="0"/>
    <x v="1"/>
    <x v="1"/>
    <n v="0.1"/>
    <x v="1"/>
  </r>
  <r>
    <n v="1121"/>
    <x v="6"/>
    <n v="2014"/>
    <x v="2"/>
    <x v="0"/>
    <n v="29782"/>
    <x v="0"/>
    <n v="89019.71"/>
    <s v="Camry"/>
    <x v="3"/>
    <x v="2"/>
    <x v="12"/>
    <n v="2.99"/>
    <x v="1"/>
  </r>
  <r>
    <n v="1122"/>
    <x v="0"/>
    <n v="2017"/>
    <x v="2"/>
    <x v="0"/>
    <n v="148051"/>
    <x v="1"/>
    <n v="15692.68"/>
    <s v="Model X"/>
    <x v="0"/>
    <x v="0"/>
    <x v="7"/>
    <n v="0.11"/>
    <x v="0"/>
  </r>
  <r>
    <n v="1123"/>
    <x v="5"/>
    <n v="2010"/>
    <x v="43"/>
    <x v="0"/>
    <n v="295890"/>
    <x v="0"/>
    <n v="69575.350000000006"/>
    <s v="E-Class"/>
    <x v="0"/>
    <x v="1"/>
    <x v="9"/>
    <n v="0.24"/>
    <x v="0"/>
  </r>
  <r>
    <n v="1124"/>
    <x v="4"/>
    <n v="2022"/>
    <x v="12"/>
    <x v="0"/>
    <n v="261161"/>
    <x v="2"/>
    <n v="29726.9"/>
    <s v="Civic"/>
    <x v="0"/>
    <x v="1"/>
    <x v="13"/>
    <n v="0.11"/>
    <x v="1"/>
  </r>
  <r>
    <n v="1125"/>
    <x v="5"/>
    <n v="2015"/>
    <x v="42"/>
    <x v="0"/>
    <n v="66266"/>
    <x v="2"/>
    <n v="50179.85"/>
    <s v="GLA"/>
    <x v="2"/>
    <x v="0"/>
    <x v="16"/>
    <n v="0.76"/>
    <x v="0"/>
  </r>
  <r>
    <n v="1126"/>
    <x v="1"/>
    <n v="2021"/>
    <x v="11"/>
    <x v="1"/>
    <n v="56"/>
    <x v="0"/>
    <n v="33444.21"/>
    <s v="X3"/>
    <x v="2"/>
    <x v="2"/>
    <x v="20"/>
    <n v="597.22"/>
    <x v="0"/>
  </r>
  <r>
    <n v="1127"/>
    <x v="6"/>
    <n v="2016"/>
    <x v="3"/>
    <x v="1"/>
    <n v="293601"/>
    <x v="2"/>
    <n v="35708.31"/>
    <s v="Prius"/>
    <x v="0"/>
    <x v="1"/>
    <x v="0"/>
    <n v="0.12"/>
    <x v="1"/>
  </r>
  <r>
    <n v="1128"/>
    <x v="6"/>
    <n v="2004"/>
    <x v="20"/>
    <x v="1"/>
    <n v="132773"/>
    <x v="0"/>
    <n v="29737.34"/>
    <s v="Prius"/>
    <x v="2"/>
    <x v="0"/>
    <x v="19"/>
    <n v="0.22"/>
    <x v="1"/>
  </r>
  <r>
    <n v="1129"/>
    <x v="2"/>
    <n v="2011"/>
    <x v="16"/>
    <x v="1"/>
    <n v="187453"/>
    <x v="0"/>
    <n v="76515.33"/>
    <s v="A3"/>
    <x v="1"/>
    <x v="1"/>
    <x v="3"/>
    <n v="0.41"/>
    <x v="0"/>
  </r>
  <r>
    <n v="1130"/>
    <x v="1"/>
    <n v="2010"/>
    <x v="5"/>
    <x v="0"/>
    <n v="181510"/>
    <x v="2"/>
    <n v="39743.01"/>
    <s v="X3"/>
    <x v="0"/>
    <x v="1"/>
    <x v="9"/>
    <n v="0.22"/>
    <x v="0"/>
  </r>
  <r>
    <n v="1131"/>
    <x v="6"/>
    <n v="2014"/>
    <x v="23"/>
    <x v="0"/>
    <n v="80636"/>
    <x v="2"/>
    <n v="74003.92"/>
    <s v="RAV4"/>
    <x v="1"/>
    <x v="0"/>
    <x v="12"/>
    <n v="0.92"/>
    <x v="1"/>
  </r>
  <r>
    <n v="1132"/>
    <x v="1"/>
    <n v="2002"/>
    <x v="3"/>
    <x v="1"/>
    <n v="66483"/>
    <x v="2"/>
    <n v="48326.64"/>
    <s v="5 Series"/>
    <x v="3"/>
    <x v="0"/>
    <x v="23"/>
    <n v="0.73"/>
    <x v="0"/>
  </r>
  <r>
    <n v="1133"/>
    <x v="4"/>
    <n v="2000"/>
    <x v="19"/>
    <x v="1"/>
    <n v="20505"/>
    <x v="2"/>
    <n v="56988.37"/>
    <s v="Accord"/>
    <x v="1"/>
    <x v="2"/>
    <x v="18"/>
    <n v="2.78"/>
    <x v="1"/>
  </r>
  <r>
    <n v="1134"/>
    <x v="3"/>
    <n v="2019"/>
    <x v="13"/>
    <x v="1"/>
    <n v="33525"/>
    <x v="0"/>
    <n v="56612.31"/>
    <s v="Focus"/>
    <x v="3"/>
    <x v="2"/>
    <x v="5"/>
    <n v="1.69"/>
    <x v="1"/>
  </r>
  <r>
    <n v="1135"/>
    <x v="6"/>
    <n v="2015"/>
    <x v="44"/>
    <x v="0"/>
    <n v="211474"/>
    <x v="2"/>
    <n v="97705.95"/>
    <s v="RAV4"/>
    <x v="0"/>
    <x v="1"/>
    <x v="16"/>
    <n v="0.46"/>
    <x v="1"/>
  </r>
  <r>
    <n v="1136"/>
    <x v="2"/>
    <n v="2001"/>
    <x v="18"/>
    <x v="0"/>
    <n v="96008"/>
    <x v="2"/>
    <n v="39870.93"/>
    <s v="A4"/>
    <x v="3"/>
    <x v="0"/>
    <x v="10"/>
    <n v="0.42"/>
    <x v="0"/>
  </r>
  <r>
    <n v="1137"/>
    <x v="4"/>
    <n v="2001"/>
    <x v="9"/>
    <x v="0"/>
    <n v="44348"/>
    <x v="1"/>
    <n v="24729.99"/>
    <s v="Accord"/>
    <x v="3"/>
    <x v="2"/>
    <x v="10"/>
    <n v="0.56000000000000005"/>
    <x v="1"/>
  </r>
  <r>
    <n v="1138"/>
    <x v="0"/>
    <n v="2002"/>
    <x v="48"/>
    <x v="1"/>
    <n v="202259"/>
    <x v="2"/>
    <n v="91620.23"/>
    <s v="Model 3"/>
    <x v="0"/>
    <x v="1"/>
    <x v="23"/>
    <n v="0.45"/>
    <x v="0"/>
  </r>
  <r>
    <n v="1139"/>
    <x v="1"/>
    <n v="2007"/>
    <x v="14"/>
    <x v="1"/>
    <n v="269417"/>
    <x v="2"/>
    <n v="21609.73"/>
    <s v="5 Series"/>
    <x v="1"/>
    <x v="1"/>
    <x v="17"/>
    <n v="0.08"/>
    <x v="0"/>
  </r>
  <r>
    <n v="1140"/>
    <x v="0"/>
    <n v="2023"/>
    <x v="33"/>
    <x v="0"/>
    <n v="206641"/>
    <x v="0"/>
    <n v="84270.17"/>
    <s v="Model 3"/>
    <x v="0"/>
    <x v="1"/>
    <x v="8"/>
    <n v="0.41"/>
    <x v="0"/>
  </r>
  <r>
    <n v="1141"/>
    <x v="5"/>
    <n v="2014"/>
    <x v="30"/>
    <x v="0"/>
    <n v="134607"/>
    <x v="0"/>
    <n v="19270.419999999998"/>
    <s v="C-Class"/>
    <x v="0"/>
    <x v="0"/>
    <x v="12"/>
    <n v="0.14000000000000001"/>
    <x v="0"/>
  </r>
  <r>
    <n v="1142"/>
    <x v="4"/>
    <n v="2006"/>
    <x v="29"/>
    <x v="1"/>
    <n v="214096"/>
    <x v="1"/>
    <n v="67578.81"/>
    <s v="Accord"/>
    <x v="0"/>
    <x v="1"/>
    <x v="11"/>
    <n v="0.32"/>
    <x v="1"/>
  </r>
  <r>
    <n v="1143"/>
    <x v="0"/>
    <n v="2005"/>
    <x v="9"/>
    <x v="1"/>
    <n v="107157"/>
    <x v="2"/>
    <n v="19301.38"/>
    <s v="Model 3"/>
    <x v="0"/>
    <x v="0"/>
    <x v="14"/>
    <n v="0.18"/>
    <x v="0"/>
  </r>
  <r>
    <n v="1144"/>
    <x v="6"/>
    <n v="2008"/>
    <x v="14"/>
    <x v="0"/>
    <n v="908"/>
    <x v="2"/>
    <n v="92693.15"/>
    <s v="Prius"/>
    <x v="0"/>
    <x v="2"/>
    <x v="22"/>
    <n v="102.08"/>
    <x v="1"/>
  </r>
  <r>
    <n v="1145"/>
    <x v="1"/>
    <n v="2019"/>
    <x v="33"/>
    <x v="1"/>
    <n v="252299"/>
    <x v="2"/>
    <n v="58675.79"/>
    <s v="X5"/>
    <x v="0"/>
    <x v="1"/>
    <x v="5"/>
    <n v="0.23"/>
    <x v="0"/>
  </r>
  <r>
    <n v="1146"/>
    <x v="3"/>
    <n v="2000"/>
    <x v="27"/>
    <x v="0"/>
    <n v="201225"/>
    <x v="2"/>
    <n v="36281.01"/>
    <s v="Mustang"/>
    <x v="3"/>
    <x v="1"/>
    <x v="18"/>
    <n v="0.18"/>
    <x v="1"/>
  </r>
  <r>
    <n v="1147"/>
    <x v="4"/>
    <n v="2007"/>
    <x v="26"/>
    <x v="0"/>
    <n v="108352"/>
    <x v="2"/>
    <n v="18330.66"/>
    <s v="Accord"/>
    <x v="3"/>
    <x v="0"/>
    <x v="17"/>
    <n v="0.17"/>
    <x v="1"/>
  </r>
  <r>
    <n v="1148"/>
    <x v="6"/>
    <n v="2022"/>
    <x v="32"/>
    <x v="1"/>
    <n v="95967"/>
    <x v="2"/>
    <n v="40263.26"/>
    <s v="Camry"/>
    <x v="1"/>
    <x v="0"/>
    <x v="13"/>
    <n v="0.42"/>
    <x v="1"/>
  </r>
  <r>
    <n v="1149"/>
    <x v="2"/>
    <n v="2022"/>
    <x v="50"/>
    <x v="1"/>
    <n v="35079"/>
    <x v="1"/>
    <n v="71976.899999999994"/>
    <s v="A4"/>
    <x v="0"/>
    <x v="2"/>
    <x v="13"/>
    <n v="2.0499999999999998"/>
    <x v="0"/>
  </r>
  <r>
    <n v="1150"/>
    <x v="5"/>
    <n v="2002"/>
    <x v="42"/>
    <x v="1"/>
    <n v="212628"/>
    <x v="2"/>
    <n v="41570.33"/>
    <s v="GLC"/>
    <x v="3"/>
    <x v="1"/>
    <x v="23"/>
    <n v="0.2"/>
    <x v="0"/>
  </r>
  <r>
    <n v="1151"/>
    <x v="1"/>
    <n v="2003"/>
    <x v="1"/>
    <x v="0"/>
    <n v="111889"/>
    <x v="2"/>
    <n v="28378.94"/>
    <s v="X5"/>
    <x v="2"/>
    <x v="0"/>
    <x v="21"/>
    <n v="0.25"/>
    <x v="0"/>
  </r>
  <r>
    <n v="1152"/>
    <x v="4"/>
    <n v="2014"/>
    <x v="0"/>
    <x v="1"/>
    <n v="262063"/>
    <x v="2"/>
    <n v="59853.9"/>
    <s v="CR-V"/>
    <x v="0"/>
    <x v="1"/>
    <x v="12"/>
    <n v="0.23"/>
    <x v="1"/>
  </r>
  <r>
    <n v="1153"/>
    <x v="4"/>
    <n v="2005"/>
    <x v="41"/>
    <x v="1"/>
    <n v="46105"/>
    <x v="1"/>
    <n v="44693.08"/>
    <s v="Fit"/>
    <x v="2"/>
    <x v="2"/>
    <x v="14"/>
    <n v="0.97"/>
    <x v="1"/>
  </r>
  <r>
    <n v="1154"/>
    <x v="3"/>
    <n v="2014"/>
    <x v="3"/>
    <x v="0"/>
    <n v="132957"/>
    <x v="2"/>
    <n v="20751.59"/>
    <s v="Fiesta"/>
    <x v="1"/>
    <x v="0"/>
    <x v="12"/>
    <n v="0.16"/>
    <x v="1"/>
  </r>
  <r>
    <n v="1155"/>
    <x v="3"/>
    <n v="2020"/>
    <x v="37"/>
    <x v="0"/>
    <n v="1049"/>
    <x v="1"/>
    <n v="19628.86"/>
    <s v="Mustang"/>
    <x v="0"/>
    <x v="2"/>
    <x v="6"/>
    <n v="18.71"/>
    <x v="1"/>
  </r>
  <r>
    <n v="1156"/>
    <x v="2"/>
    <n v="2002"/>
    <x v="31"/>
    <x v="1"/>
    <n v="53281"/>
    <x v="0"/>
    <n v="72208.89"/>
    <s v="Q7"/>
    <x v="1"/>
    <x v="0"/>
    <x v="23"/>
    <n v="1.36"/>
    <x v="0"/>
  </r>
  <r>
    <n v="1157"/>
    <x v="5"/>
    <n v="2020"/>
    <x v="14"/>
    <x v="0"/>
    <n v="66697"/>
    <x v="2"/>
    <n v="97593.83"/>
    <s v="C-Class"/>
    <x v="1"/>
    <x v="0"/>
    <x v="6"/>
    <n v="1.46"/>
    <x v="0"/>
  </r>
  <r>
    <n v="1158"/>
    <x v="2"/>
    <n v="2020"/>
    <x v="11"/>
    <x v="0"/>
    <n v="36534"/>
    <x v="1"/>
    <n v="27143.94"/>
    <s v="Q7"/>
    <x v="1"/>
    <x v="2"/>
    <x v="6"/>
    <n v="0.74"/>
    <x v="0"/>
  </r>
  <r>
    <n v="1159"/>
    <x v="6"/>
    <n v="2013"/>
    <x v="36"/>
    <x v="0"/>
    <n v="93034"/>
    <x v="0"/>
    <n v="78449.119999999995"/>
    <s v="Prius"/>
    <x v="1"/>
    <x v="0"/>
    <x v="2"/>
    <n v="0.84"/>
    <x v="1"/>
  </r>
  <r>
    <n v="1160"/>
    <x v="6"/>
    <n v="2019"/>
    <x v="26"/>
    <x v="1"/>
    <n v="58097"/>
    <x v="1"/>
    <n v="13322.64"/>
    <s v="Camry"/>
    <x v="1"/>
    <x v="0"/>
    <x v="5"/>
    <n v="0.23"/>
    <x v="1"/>
  </r>
  <r>
    <n v="1161"/>
    <x v="2"/>
    <n v="2013"/>
    <x v="17"/>
    <x v="1"/>
    <n v="184885"/>
    <x v="1"/>
    <n v="41249.71"/>
    <s v="Q7"/>
    <x v="0"/>
    <x v="1"/>
    <x v="2"/>
    <n v="0.22"/>
    <x v="0"/>
  </r>
  <r>
    <n v="1162"/>
    <x v="5"/>
    <n v="2003"/>
    <x v="20"/>
    <x v="0"/>
    <n v="287181"/>
    <x v="0"/>
    <n v="53135.37"/>
    <s v="GLC"/>
    <x v="2"/>
    <x v="1"/>
    <x v="21"/>
    <n v="0.19"/>
    <x v="0"/>
  </r>
  <r>
    <n v="1163"/>
    <x v="2"/>
    <n v="2011"/>
    <x v="2"/>
    <x v="0"/>
    <n v="27278"/>
    <x v="2"/>
    <n v="30530.959999999999"/>
    <s v="Q7"/>
    <x v="0"/>
    <x v="2"/>
    <x v="3"/>
    <n v="1.1200000000000001"/>
    <x v="0"/>
  </r>
  <r>
    <n v="1164"/>
    <x v="5"/>
    <n v="2016"/>
    <x v="45"/>
    <x v="0"/>
    <n v="139344"/>
    <x v="2"/>
    <n v="55309.95"/>
    <s v="C-Class"/>
    <x v="0"/>
    <x v="0"/>
    <x v="0"/>
    <n v="0.4"/>
    <x v="0"/>
  </r>
  <r>
    <n v="1165"/>
    <x v="5"/>
    <n v="2006"/>
    <x v="36"/>
    <x v="1"/>
    <n v="73277"/>
    <x v="1"/>
    <n v="88848.37"/>
    <s v="C-Class"/>
    <x v="0"/>
    <x v="0"/>
    <x v="11"/>
    <n v="1.21"/>
    <x v="0"/>
  </r>
  <r>
    <n v="1166"/>
    <x v="0"/>
    <n v="2008"/>
    <x v="24"/>
    <x v="0"/>
    <n v="4694"/>
    <x v="0"/>
    <n v="94721.61"/>
    <s v="Model 3"/>
    <x v="0"/>
    <x v="2"/>
    <x v="22"/>
    <n v="20.18"/>
    <x v="0"/>
  </r>
  <r>
    <n v="1167"/>
    <x v="1"/>
    <n v="2002"/>
    <x v="16"/>
    <x v="0"/>
    <n v="58150"/>
    <x v="2"/>
    <n v="14552.91"/>
    <s v="3 Series"/>
    <x v="3"/>
    <x v="0"/>
    <x v="23"/>
    <n v="0.25"/>
    <x v="0"/>
  </r>
  <r>
    <n v="1168"/>
    <x v="5"/>
    <n v="2012"/>
    <x v="4"/>
    <x v="1"/>
    <n v="67470"/>
    <x v="1"/>
    <n v="30825.360000000001"/>
    <s v="GLA"/>
    <x v="0"/>
    <x v="0"/>
    <x v="15"/>
    <n v="0.46"/>
    <x v="0"/>
  </r>
  <r>
    <n v="1169"/>
    <x v="3"/>
    <n v="2014"/>
    <x v="29"/>
    <x v="0"/>
    <n v="21556"/>
    <x v="0"/>
    <n v="98017.72"/>
    <s v="Explorer"/>
    <x v="2"/>
    <x v="2"/>
    <x v="12"/>
    <n v="4.55"/>
    <x v="1"/>
  </r>
  <r>
    <n v="1170"/>
    <x v="5"/>
    <n v="2017"/>
    <x v="43"/>
    <x v="1"/>
    <n v="195543"/>
    <x v="1"/>
    <n v="30689.75"/>
    <s v="GLC"/>
    <x v="0"/>
    <x v="1"/>
    <x v="7"/>
    <n v="0.16"/>
    <x v="0"/>
  </r>
  <r>
    <n v="1171"/>
    <x v="5"/>
    <n v="2018"/>
    <x v="2"/>
    <x v="1"/>
    <n v="49086"/>
    <x v="0"/>
    <n v="70807.199999999997"/>
    <s v="C-Class"/>
    <x v="1"/>
    <x v="2"/>
    <x v="1"/>
    <n v="1.44"/>
    <x v="0"/>
  </r>
  <r>
    <n v="1172"/>
    <x v="5"/>
    <n v="2000"/>
    <x v="46"/>
    <x v="1"/>
    <n v="149979"/>
    <x v="2"/>
    <n v="29078.1"/>
    <s v="E-Class"/>
    <x v="3"/>
    <x v="0"/>
    <x v="18"/>
    <n v="0.19"/>
    <x v="0"/>
  </r>
  <r>
    <n v="1173"/>
    <x v="0"/>
    <n v="2005"/>
    <x v="1"/>
    <x v="0"/>
    <n v="248399"/>
    <x v="2"/>
    <n v="38854.730000000003"/>
    <s v="Model 3"/>
    <x v="0"/>
    <x v="1"/>
    <x v="14"/>
    <n v="0.16"/>
    <x v="0"/>
  </r>
  <r>
    <n v="1174"/>
    <x v="0"/>
    <n v="2022"/>
    <x v="15"/>
    <x v="0"/>
    <n v="179559"/>
    <x v="1"/>
    <n v="23171.5"/>
    <s v="Model S"/>
    <x v="0"/>
    <x v="1"/>
    <x v="13"/>
    <n v="0.13"/>
    <x v="0"/>
  </r>
  <r>
    <n v="1175"/>
    <x v="6"/>
    <n v="2001"/>
    <x v="43"/>
    <x v="1"/>
    <n v="99468"/>
    <x v="2"/>
    <n v="86348.52"/>
    <s v="Camry"/>
    <x v="0"/>
    <x v="0"/>
    <x v="10"/>
    <n v="0.87"/>
    <x v="1"/>
  </r>
  <r>
    <n v="1176"/>
    <x v="0"/>
    <n v="2023"/>
    <x v="17"/>
    <x v="0"/>
    <n v="295531"/>
    <x v="2"/>
    <n v="88851.63"/>
    <s v="Model X"/>
    <x v="0"/>
    <x v="1"/>
    <x v="8"/>
    <n v="0.3"/>
    <x v="0"/>
  </r>
  <r>
    <n v="1177"/>
    <x v="3"/>
    <n v="2013"/>
    <x v="40"/>
    <x v="1"/>
    <n v="68602"/>
    <x v="0"/>
    <n v="33206.69"/>
    <s v="Focus"/>
    <x v="2"/>
    <x v="0"/>
    <x v="2"/>
    <n v="0.48"/>
    <x v="1"/>
  </r>
  <r>
    <n v="1178"/>
    <x v="3"/>
    <n v="2005"/>
    <x v="8"/>
    <x v="0"/>
    <n v="2460"/>
    <x v="2"/>
    <n v="83241.03"/>
    <s v="Mustang"/>
    <x v="1"/>
    <x v="2"/>
    <x v="14"/>
    <n v="33.840000000000003"/>
    <x v="1"/>
  </r>
  <r>
    <n v="1179"/>
    <x v="0"/>
    <n v="2013"/>
    <x v="0"/>
    <x v="1"/>
    <n v="72356"/>
    <x v="0"/>
    <n v="39032.959999999999"/>
    <s v="Model S"/>
    <x v="0"/>
    <x v="0"/>
    <x v="2"/>
    <n v="0.54"/>
    <x v="0"/>
  </r>
  <r>
    <n v="1180"/>
    <x v="2"/>
    <n v="2003"/>
    <x v="44"/>
    <x v="1"/>
    <n v="259925"/>
    <x v="0"/>
    <n v="14406.85"/>
    <s v="Q7"/>
    <x v="0"/>
    <x v="1"/>
    <x v="21"/>
    <n v="0.06"/>
    <x v="0"/>
  </r>
  <r>
    <n v="1181"/>
    <x v="1"/>
    <n v="2020"/>
    <x v="14"/>
    <x v="0"/>
    <n v="16191"/>
    <x v="1"/>
    <n v="77017.259999999995"/>
    <s v="X5"/>
    <x v="0"/>
    <x v="2"/>
    <x v="6"/>
    <n v="4.76"/>
    <x v="0"/>
  </r>
  <r>
    <n v="1182"/>
    <x v="0"/>
    <n v="2007"/>
    <x v="18"/>
    <x v="0"/>
    <n v="84631"/>
    <x v="0"/>
    <n v="61662.39"/>
    <s v="Model S"/>
    <x v="0"/>
    <x v="0"/>
    <x v="17"/>
    <n v="0.73"/>
    <x v="0"/>
  </r>
  <r>
    <n v="1183"/>
    <x v="5"/>
    <n v="2002"/>
    <x v="35"/>
    <x v="0"/>
    <n v="245702"/>
    <x v="2"/>
    <n v="31066.33"/>
    <s v="E-Class"/>
    <x v="1"/>
    <x v="1"/>
    <x v="23"/>
    <n v="0.13"/>
    <x v="0"/>
  </r>
  <r>
    <n v="1184"/>
    <x v="4"/>
    <n v="2018"/>
    <x v="29"/>
    <x v="0"/>
    <n v="272673"/>
    <x v="0"/>
    <n v="29034.98"/>
    <s v="Fit"/>
    <x v="2"/>
    <x v="1"/>
    <x v="1"/>
    <n v="0.11"/>
    <x v="1"/>
  </r>
  <r>
    <n v="1185"/>
    <x v="1"/>
    <n v="2013"/>
    <x v="46"/>
    <x v="1"/>
    <n v="32175"/>
    <x v="0"/>
    <n v="97684.22"/>
    <s v="3 Series"/>
    <x v="3"/>
    <x v="2"/>
    <x v="2"/>
    <n v="3.04"/>
    <x v="0"/>
  </r>
  <r>
    <n v="1186"/>
    <x v="1"/>
    <n v="2019"/>
    <x v="42"/>
    <x v="1"/>
    <n v="279819"/>
    <x v="1"/>
    <n v="86937.600000000006"/>
    <s v="5 Series"/>
    <x v="3"/>
    <x v="1"/>
    <x v="5"/>
    <n v="0.31"/>
    <x v="0"/>
  </r>
  <r>
    <n v="1187"/>
    <x v="3"/>
    <n v="2016"/>
    <x v="10"/>
    <x v="0"/>
    <n v="157048"/>
    <x v="2"/>
    <n v="81930.84"/>
    <s v="Focus"/>
    <x v="3"/>
    <x v="1"/>
    <x v="0"/>
    <n v="0.52"/>
    <x v="1"/>
  </r>
  <r>
    <n v="1188"/>
    <x v="1"/>
    <n v="2007"/>
    <x v="38"/>
    <x v="0"/>
    <n v="194188"/>
    <x v="2"/>
    <n v="17161.68"/>
    <s v="X3"/>
    <x v="3"/>
    <x v="1"/>
    <x v="17"/>
    <n v="0.09"/>
    <x v="0"/>
  </r>
  <r>
    <n v="1189"/>
    <x v="0"/>
    <n v="2023"/>
    <x v="49"/>
    <x v="1"/>
    <n v="62821"/>
    <x v="2"/>
    <n v="76742.789999999994"/>
    <s v="Model Y"/>
    <x v="0"/>
    <x v="0"/>
    <x v="8"/>
    <n v="1.22"/>
    <x v="0"/>
  </r>
  <r>
    <n v="1190"/>
    <x v="5"/>
    <n v="2013"/>
    <x v="17"/>
    <x v="0"/>
    <n v="12204"/>
    <x v="0"/>
    <n v="25381.32"/>
    <s v="C-Class"/>
    <x v="0"/>
    <x v="2"/>
    <x v="2"/>
    <n v="2.08"/>
    <x v="0"/>
  </r>
  <r>
    <n v="1191"/>
    <x v="5"/>
    <n v="2005"/>
    <x v="36"/>
    <x v="0"/>
    <n v="269538"/>
    <x v="2"/>
    <n v="97851.95"/>
    <s v="GLA"/>
    <x v="2"/>
    <x v="1"/>
    <x v="14"/>
    <n v="0.36"/>
    <x v="0"/>
  </r>
  <r>
    <n v="1192"/>
    <x v="6"/>
    <n v="2022"/>
    <x v="15"/>
    <x v="0"/>
    <n v="246464"/>
    <x v="2"/>
    <n v="9948.4699999999993"/>
    <s v="RAV4"/>
    <x v="2"/>
    <x v="1"/>
    <x v="13"/>
    <n v="0.04"/>
    <x v="1"/>
  </r>
  <r>
    <n v="1193"/>
    <x v="5"/>
    <n v="2021"/>
    <x v="44"/>
    <x v="0"/>
    <n v="33593"/>
    <x v="0"/>
    <n v="38453.160000000003"/>
    <s v="E-Class"/>
    <x v="3"/>
    <x v="2"/>
    <x v="20"/>
    <n v="1.1399999999999999"/>
    <x v="0"/>
  </r>
  <r>
    <n v="1194"/>
    <x v="5"/>
    <n v="2015"/>
    <x v="12"/>
    <x v="1"/>
    <n v="208260"/>
    <x v="1"/>
    <n v="45721.54"/>
    <s v="GLC"/>
    <x v="3"/>
    <x v="1"/>
    <x v="16"/>
    <n v="0.22"/>
    <x v="0"/>
  </r>
  <r>
    <n v="1195"/>
    <x v="3"/>
    <n v="2018"/>
    <x v="40"/>
    <x v="1"/>
    <n v="115064"/>
    <x v="1"/>
    <n v="83299.28"/>
    <s v="Mustang"/>
    <x v="1"/>
    <x v="0"/>
    <x v="1"/>
    <n v="0.72"/>
    <x v="1"/>
  </r>
  <r>
    <n v="1196"/>
    <x v="5"/>
    <n v="2013"/>
    <x v="35"/>
    <x v="0"/>
    <n v="53365"/>
    <x v="0"/>
    <n v="77791.17"/>
    <s v="E-Class"/>
    <x v="3"/>
    <x v="0"/>
    <x v="2"/>
    <n v="1.46"/>
    <x v="0"/>
  </r>
  <r>
    <n v="1197"/>
    <x v="6"/>
    <n v="2018"/>
    <x v="38"/>
    <x v="1"/>
    <n v="240644"/>
    <x v="1"/>
    <n v="40624.25"/>
    <s v="RAV4"/>
    <x v="2"/>
    <x v="1"/>
    <x v="1"/>
    <n v="0.17"/>
    <x v="1"/>
  </r>
  <r>
    <n v="1198"/>
    <x v="4"/>
    <n v="2002"/>
    <x v="23"/>
    <x v="0"/>
    <n v="220511"/>
    <x v="1"/>
    <n v="58728.23"/>
    <s v="CR-V"/>
    <x v="2"/>
    <x v="1"/>
    <x v="23"/>
    <n v="0.27"/>
    <x v="1"/>
  </r>
  <r>
    <n v="1199"/>
    <x v="0"/>
    <n v="2009"/>
    <x v="26"/>
    <x v="0"/>
    <n v="206971"/>
    <x v="1"/>
    <n v="84381.54"/>
    <s v="Model X"/>
    <x v="0"/>
    <x v="1"/>
    <x v="4"/>
    <n v="0.41"/>
    <x v="0"/>
  </r>
  <r>
    <n v="1200"/>
    <x v="3"/>
    <n v="2018"/>
    <x v="29"/>
    <x v="0"/>
    <n v="103700"/>
    <x v="2"/>
    <n v="6728.96"/>
    <s v="Mustang"/>
    <x v="0"/>
    <x v="0"/>
    <x v="1"/>
    <n v="0.06"/>
    <x v="1"/>
  </r>
  <r>
    <n v="1201"/>
    <x v="4"/>
    <n v="2008"/>
    <x v="32"/>
    <x v="1"/>
    <n v="68247"/>
    <x v="1"/>
    <n v="81206.92"/>
    <s v="Accord"/>
    <x v="2"/>
    <x v="0"/>
    <x v="22"/>
    <n v="1.19"/>
    <x v="1"/>
  </r>
  <r>
    <n v="1202"/>
    <x v="3"/>
    <n v="2019"/>
    <x v="8"/>
    <x v="1"/>
    <n v="182631"/>
    <x v="2"/>
    <n v="94955.12"/>
    <s v="Fiesta"/>
    <x v="2"/>
    <x v="1"/>
    <x v="5"/>
    <n v="0.52"/>
    <x v="1"/>
  </r>
  <r>
    <n v="1203"/>
    <x v="2"/>
    <n v="2012"/>
    <x v="26"/>
    <x v="1"/>
    <n v="156270"/>
    <x v="1"/>
    <n v="8046.13"/>
    <s v="A3"/>
    <x v="1"/>
    <x v="1"/>
    <x v="15"/>
    <n v="0.05"/>
    <x v="0"/>
  </r>
  <r>
    <n v="1204"/>
    <x v="1"/>
    <n v="2006"/>
    <x v="18"/>
    <x v="1"/>
    <n v="153560"/>
    <x v="2"/>
    <n v="9330.19"/>
    <s v="X3"/>
    <x v="1"/>
    <x v="1"/>
    <x v="11"/>
    <n v="0.06"/>
    <x v="0"/>
  </r>
  <r>
    <n v="1205"/>
    <x v="2"/>
    <n v="2013"/>
    <x v="10"/>
    <x v="1"/>
    <n v="169587"/>
    <x v="0"/>
    <n v="37728.83"/>
    <s v="A3"/>
    <x v="2"/>
    <x v="1"/>
    <x v="2"/>
    <n v="0.22"/>
    <x v="0"/>
  </r>
  <r>
    <n v="1206"/>
    <x v="5"/>
    <n v="2008"/>
    <x v="48"/>
    <x v="0"/>
    <n v="290042"/>
    <x v="0"/>
    <n v="13338.11"/>
    <s v="C-Class"/>
    <x v="3"/>
    <x v="1"/>
    <x v="22"/>
    <n v="0.05"/>
    <x v="0"/>
  </r>
  <r>
    <n v="1207"/>
    <x v="4"/>
    <n v="2022"/>
    <x v="6"/>
    <x v="0"/>
    <n v="181142"/>
    <x v="1"/>
    <n v="50531.23"/>
    <s v="CR-V"/>
    <x v="0"/>
    <x v="1"/>
    <x v="13"/>
    <n v="0.28000000000000003"/>
    <x v="1"/>
  </r>
  <r>
    <n v="1208"/>
    <x v="5"/>
    <n v="2018"/>
    <x v="14"/>
    <x v="1"/>
    <n v="62613"/>
    <x v="2"/>
    <n v="74227.520000000004"/>
    <s v="GLC"/>
    <x v="2"/>
    <x v="0"/>
    <x v="1"/>
    <n v="1.19"/>
    <x v="0"/>
  </r>
  <r>
    <n v="1209"/>
    <x v="1"/>
    <n v="2014"/>
    <x v="15"/>
    <x v="1"/>
    <n v="96707"/>
    <x v="0"/>
    <n v="58855.43"/>
    <s v="5 Series"/>
    <x v="3"/>
    <x v="0"/>
    <x v="12"/>
    <n v="0.61"/>
    <x v="0"/>
  </r>
  <r>
    <n v="1210"/>
    <x v="3"/>
    <n v="2019"/>
    <x v="46"/>
    <x v="1"/>
    <n v="47003"/>
    <x v="0"/>
    <n v="23661.03"/>
    <s v="Mustang"/>
    <x v="2"/>
    <x v="2"/>
    <x v="5"/>
    <n v="0.5"/>
    <x v="1"/>
  </r>
  <r>
    <n v="1211"/>
    <x v="1"/>
    <n v="2013"/>
    <x v="44"/>
    <x v="0"/>
    <n v="48478"/>
    <x v="0"/>
    <n v="67207.070000000007"/>
    <s v="X5"/>
    <x v="0"/>
    <x v="2"/>
    <x v="2"/>
    <n v="1.39"/>
    <x v="0"/>
  </r>
  <r>
    <n v="1212"/>
    <x v="6"/>
    <n v="2023"/>
    <x v="15"/>
    <x v="1"/>
    <n v="59030"/>
    <x v="0"/>
    <n v="70061.179999999993"/>
    <s v="RAV4"/>
    <x v="0"/>
    <x v="0"/>
    <x v="8"/>
    <n v="1.19"/>
    <x v="1"/>
  </r>
  <r>
    <n v="1213"/>
    <x v="1"/>
    <n v="2005"/>
    <x v="10"/>
    <x v="0"/>
    <n v="184133"/>
    <x v="1"/>
    <n v="93582.37"/>
    <s v="3 Series"/>
    <x v="1"/>
    <x v="1"/>
    <x v="14"/>
    <n v="0.51"/>
    <x v="0"/>
  </r>
  <r>
    <n v="1214"/>
    <x v="6"/>
    <n v="2020"/>
    <x v="11"/>
    <x v="0"/>
    <n v="145921"/>
    <x v="2"/>
    <n v="18945.71"/>
    <s v="RAV4"/>
    <x v="1"/>
    <x v="0"/>
    <x v="6"/>
    <n v="0.13"/>
    <x v="1"/>
  </r>
  <r>
    <n v="1215"/>
    <x v="1"/>
    <n v="2003"/>
    <x v="13"/>
    <x v="1"/>
    <n v="246160"/>
    <x v="0"/>
    <n v="70771.94"/>
    <s v="5 Series"/>
    <x v="1"/>
    <x v="1"/>
    <x v="21"/>
    <n v="0.28999999999999998"/>
    <x v="0"/>
  </r>
  <r>
    <n v="1216"/>
    <x v="0"/>
    <n v="2007"/>
    <x v="29"/>
    <x v="0"/>
    <n v="267589"/>
    <x v="1"/>
    <n v="91585.59"/>
    <s v="Model 3"/>
    <x v="0"/>
    <x v="1"/>
    <x v="17"/>
    <n v="0.34"/>
    <x v="0"/>
  </r>
  <r>
    <n v="1217"/>
    <x v="6"/>
    <n v="2016"/>
    <x v="45"/>
    <x v="0"/>
    <n v="149112"/>
    <x v="0"/>
    <n v="52648.59"/>
    <s v="RAV4"/>
    <x v="0"/>
    <x v="0"/>
    <x v="0"/>
    <n v="0.35"/>
    <x v="1"/>
  </r>
  <r>
    <n v="1218"/>
    <x v="4"/>
    <n v="2008"/>
    <x v="6"/>
    <x v="1"/>
    <n v="262390"/>
    <x v="0"/>
    <n v="39370.97"/>
    <s v="CR-V"/>
    <x v="3"/>
    <x v="1"/>
    <x v="22"/>
    <n v="0.15"/>
    <x v="1"/>
  </r>
  <r>
    <n v="1219"/>
    <x v="5"/>
    <n v="2000"/>
    <x v="12"/>
    <x v="0"/>
    <n v="31153"/>
    <x v="0"/>
    <n v="21221.200000000001"/>
    <s v="C-Class"/>
    <x v="3"/>
    <x v="2"/>
    <x v="18"/>
    <n v="0.68"/>
    <x v="0"/>
  </r>
  <r>
    <n v="1220"/>
    <x v="5"/>
    <n v="2023"/>
    <x v="14"/>
    <x v="1"/>
    <n v="267356"/>
    <x v="0"/>
    <n v="87344.75"/>
    <s v="GLC"/>
    <x v="3"/>
    <x v="1"/>
    <x v="8"/>
    <n v="0.33"/>
    <x v="0"/>
  </r>
  <r>
    <n v="1221"/>
    <x v="2"/>
    <n v="2019"/>
    <x v="46"/>
    <x v="0"/>
    <n v="134411"/>
    <x v="1"/>
    <n v="42453.41"/>
    <s v="A3"/>
    <x v="2"/>
    <x v="0"/>
    <x v="5"/>
    <n v="0.32"/>
    <x v="0"/>
  </r>
  <r>
    <n v="1222"/>
    <x v="5"/>
    <n v="2013"/>
    <x v="31"/>
    <x v="1"/>
    <n v="56238"/>
    <x v="2"/>
    <n v="92863.83"/>
    <s v="GLC"/>
    <x v="1"/>
    <x v="0"/>
    <x v="2"/>
    <n v="1.65"/>
    <x v="0"/>
  </r>
  <r>
    <n v="1223"/>
    <x v="3"/>
    <n v="2010"/>
    <x v="33"/>
    <x v="1"/>
    <n v="296751"/>
    <x v="1"/>
    <n v="85537.04"/>
    <s v="Fiesta"/>
    <x v="1"/>
    <x v="1"/>
    <x v="9"/>
    <n v="0.28999999999999998"/>
    <x v="1"/>
  </r>
  <r>
    <n v="1224"/>
    <x v="0"/>
    <n v="2020"/>
    <x v="30"/>
    <x v="0"/>
    <n v="52055"/>
    <x v="1"/>
    <n v="40780.79"/>
    <s v="Model 3"/>
    <x v="0"/>
    <x v="0"/>
    <x v="6"/>
    <n v="0.78"/>
    <x v="0"/>
  </r>
  <r>
    <n v="1225"/>
    <x v="1"/>
    <n v="2002"/>
    <x v="45"/>
    <x v="1"/>
    <n v="104509"/>
    <x v="1"/>
    <n v="59521.86"/>
    <s v="X5"/>
    <x v="0"/>
    <x v="0"/>
    <x v="23"/>
    <n v="0.56999999999999995"/>
    <x v="0"/>
  </r>
  <r>
    <n v="1226"/>
    <x v="2"/>
    <n v="2008"/>
    <x v="37"/>
    <x v="0"/>
    <n v="135467"/>
    <x v="0"/>
    <n v="7581.53"/>
    <s v="Q5"/>
    <x v="2"/>
    <x v="0"/>
    <x v="22"/>
    <n v="0.06"/>
    <x v="0"/>
  </r>
  <r>
    <n v="1227"/>
    <x v="3"/>
    <n v="2013"/>
    <x v="15"/>
    <x v="0"/>
    <n v="127378"/>
    <x v="2"/>
    <n v="30006.03"/>
    <s v="Explorer"/>
    <x v="2"/>
    <x v="0"/>
    <x v="2"/>
    <n v="0.24"/>
    <x v="1"/>
  </r>
  <r>
    <n v="1228"/>
    <x v="3"/>
    <n v="2008"/>
    <x v="41"/>
    <x v="1"/>
    <n v="87687"/>
    <x v="0"/>
    <n v="72475.92"/>
    <s v="Fiesta"/>
    <x v="3"/>
    <x v="0"/>
    <x v="22"/>
    <n v="0.83"/>
    <x v="1"/>
  </r>
  <r>
    <n v="1229"/>
    <x v="6"/>
    <n v="2003"/>
    <x v="47"/>
    <x v="0"/>
    <n v="102652"/>
    <x v="1"/>
    <n v="69401.539999999994"/>
    <s v="Prius"/>
    <x v="0"/>
    <x v="0"/>
    <x v="21"/>
    <n v="0.68"/>
    <x v="1"/>
  </r>
  <r>
    <n v="1230"/>
    <x v="5"/>
    <n v="2003"/>
    <x v="10"/>
    <x v="1"/>
    <n v="55773"/>
    <x v="0"/>
    <n v="38570.1"/>
    <s v="C-Class"/>
    <x v="1"/>
    <x v="0"/>
    <x v="21"/>
    <n v="0.69"/>
    <x v="0"/>
  </r>
  <r>
    <n v="1231"/>
    <x v="4"/>
    <n v="2007"/>
    <x v="23"/>
    <x v="0"/>
    <n v="202668"/>
    <x v="2"/>
    <n v="81817.759999999995"/>
    <s v="Accord"/>
    <x v="3"/>
    <x v="1"/>
    <x v="17"/>
    <n v="0.4"/>
    <x v="1"/>
  </r>
  <r>
    <n v="1232"/>
    <x v="4"/>
    <n v="2001"/>
    <x v="6"/>
    <x v="0"/>
    <n v="27584"/>
    <x v="2"/>
    <n v="27404.42"/>
    <s v="Accord"/>
    <x v="1"/>
    <x v="2"/>
    <x v="10"/>
    <n v="0.99"/>
    <x v="1"/>
  </r>
  <r>
    <n v="1233"/>
    <x v="2"/>
    <n v="2008"/>
    <x v="30"/>
    <x v="1"/>
    <n v="244901"/>
    <x v="0"/>
    <n v="48820.7"/>
    <s v="A4"/>
    <x v="3"/>
    <x v="1"/>
    <x v="22"/>
    <n v="0.2"/>
    <x v="0"/>
  </r>
  <r>
    <n v="1234"/>
    <x v="0"/>
    <n v="2013"/>
    <x v="8"/>
    <x v="0"/>
    <n v="265482"/>
    <x v="1"/>
    <n v="49890.41"/>
    <s v="Model S"/>
    <x v="0"/>
    <x v="1"/>
    <x v="2"/>
    <n v="0.19"/>
    <x v="0"/>
  </r>
  <r>
    <n v="1235"/>
    <x v="4"/>
    <n v="2021"/>
    <x v="43"/>
    <x v="0"/>
    <n v="62601"/>
    <x v="0"/>
    <n v="37377.589999999997"/>
    <s v="Fit"/>
    <x v="2"/>
    <x v="0"/>
    <x v="20"/>
    <n v="0.6"/>
    <x v="1"/>
  </r>
  <r>
    <n v="1236"/>
    <x v="1"/>
    <n v="2008"/>
    <x v="14"/>
    <x v="0"/>
    <n v="136559"/>
    <x v="1"/>
    <n v="95693.28"/>
    <s v="5 Series"/>
    <x v="3"/>
    <x v="0"/>
    <x v="22"/>
    <n v="0.7"/>
    <x v="0"/>
  </r>
  <r>
    <n v="1237"/>
    <x v="4"/>
    <n v="2023"/>
    <x v="32"/>
    <x v="0"/>
    <n v="36282"/>
    <x v="2"/>
    <n v="71184.98"/>
    <s v="Civic"/>
    <x v="1"/>
    <x v="2"/>
    <x v="8"/>
    <n v="1.96"/>
    <x v="1"/>
  </r>
  <r>
    <n v="1238"/>
    <x v="2"/>
    <n v="2022"/>
    <x v="30"/>
    <x v="0"/>
    <n v="226137"/>
    <x v="0"/>
    <n v="56223.94"/>
    <s v="Q5"/>
    <x v="1"/>
    <x v="1"/>
    <x v="13"/>
    <n v="0.25"/>
    <x v="0"/>
  </r>
  <r>
    <n v="1239"/>
    <x v="4"/>
    <n v="2015"/>
    <x v="48"/>
    <x v="0"/>
    <n v="95798"/>
    <x v="2"/>
    <n v="53498.93"/>
    <s v="Accord"/>
    <x v="0"/>
    <x v="0"/>
    <x v="16"/>
    <n v="0.56000000000000005"/>
    <x v="1"/>
  </r>
  <r>
    <n v="1240"/>
    <x v="1"/>
    <n v="2016"/>
    <x v="26"/>
    <x v="0"/>
    <n v="130963"/>
    <x v="1"/>
    <n v="20133.13"/>
    <s v="X5"/>
    <x v="3"/>
    <x v="0"/>
    <x v="0"/>
    <n v="0.15"/>
    <x v="0"/>
  </r>
  <r>
    <n v="1241"/>
    <x v="6"/>
    <n v="2015"/>
    <x v="32"/>
    <x v="0"/>
    <n v="159876"/>
    <x v="1"/>
    <n v="40357.760000000002"/>
    <s v="RAV4"/>
    <x v="1"/>
    <x v="1"/>
    <x v="16"/>
    <n v="0.25"/>
    <x v="1"/>
  </r>
  <r>
    <n v="1242"/>
    <x v="0"/>
    <n v="2011"/>
    <x v="39"/>
    <x v="1"/>
    <n v="140987"/>
    <x v="0"/>
    <n v="68913.460000000006"/>
    <s v="Model Y"/>
    <x v="0"/>
    <x v="0"/>
    <x v="3"/>
    <n v="0.49"/>
    <x v="0"/>
  </r>
  <r>
    <n v="1243"/>
    <x v="2"/>
    <n v="2002"/>
    <x v="5"/>
    <x v="0"/>
    <n v="273302"/>
    <x v="0"/>
    <n v="92834.17"/>
    <s v="A4"/>
    <x v="1"/>
    <x v="1"/>
    <x v="23"/>
    <n v="0.34"/>
    <x v="0"/>
  </r>
  <r>
    <n v="1244"/>
    <x v="6"/>
    <n v="2010"/>
    <x v="8"/>
    <x v="0"/>
    <n v="205229"/>
    <x v="0"/>
    <n v="82564.09"/>
    <s v="Prius"/>
    <x v="3"/>
    <x v="1"/>
    <x v="9"/>
    <n v="0.4"/>
    <x v="1"/>
  </r>
  <r>
    <n v="1245"/>
    <x v="6"/>
    <n v="2013"/>
    <x v="44"/>
    <x v="1"/>
    <n v="10547"/>
    <x v="2"/>
    <n v="33537.03"/>
    <s v="Camry"/>
    <x v="2"/>
    <x v="2"/>
    <x v="2"/>
    <n v="3.18"/>
    <x v="1"/>
  </r>
  <r>
    <n v="1246"/>
    <x v="6"/>
    <n v="2017"/>
    <x v="12"/>
    <x v="1"/>
    <n v="264603"/>
    <x v="1"/>
    <n v="46225.88"/>
    <s v="Camry"/>
    <x v="3"/>
    <x v="1"/>
    <x v="7"/>
    <n v="0.17"/>
    <x v="1"/>
  </r>
  <r>
    <n v="1247"/>
    <x v="3"/>
    <n v="2020"/>
    <x v="21"/>
    <x v="1"/>
    <n v="63146"/>
    <x v="1"/>
    <n v="12877.16"/>
    <s v="Fiesta"/>
    <x v="3"/>
    <x v="0"/>
    <x v="6"/>
    <n v="0.2"/>
    <x v="1"/>
  </r>
  <r>
    <n v="1248"/>
    <x v="0"/>
    <n v="2020"/>
    <x v="20"/>
    <x v="0"/>
    <n v="107761"/>
    <x v="2"/>
    <n v="14706.37"/>
    <s v="Model 3"/>
    <x v="0"/>
    <x v="0"/>
    <x v="6"/>
    <n v="0.14000000000000001"/>
    <x v="0"/>
  </r>
  <r>
    <n v="1249"/>
    <x v="5"/>
    <n v="2004"/>
    <x v="25"/>
    <x v="1"/>
    <n v="82970"/>
    <x v="0"/>
    <n v="49671.89"/>
    <s v="GLC"/>
    <x v="1"/>
    <x v="0"/>
    <x v="19"/>
    <n v="0.6"/>
    <x v="0"/>
  </r>
  <r>
    <n v="1250"/>
    <x v="0"/>
    <n v="2015"/>
    <x v="50"/>
    <x v="1"/>
    <n v="191889"/>
    <x v="0"/>
    <n v="55370.84"/>
    <s v="Model X"/>
    <x v="0"/>
    <x v="1"/>
    <x v="16"/>
    <n v="0.28999999999999998"/>
    <x v="0"/>
  </r>
  <r>
    <n v="1251"/>
    <x v="3"/>
    <n v="2019"/>
    <x v="15"/>
    <x v="0"/>
    <n v="169319"/>
    <x v="2"/>
    <n v="30082.57"/>
    <s v="Mustang"/>
    <x v="0"/>
    <x v="1"/>
    <x v="5"/>
    <n v="0.18"/>
    <x v="1"/>
  </r>
  <r>
    <n v="1252"/>
    <x v="5"/>
    <n v="2004"/>
    <x v="34"/>
    <x v="0"/>
    <n v="15419"/>
    <x v="1"/>
    <n v="66064.36"/>
    <s v="GLA"/>
    <x v="0"/>
    <x v="2"/>
    <x v="19"/>
    <n v="4.28"/>
    <x v="0"/>
  </r>
  <r>
    <n v="1253"/>
    <x v="0"/>
    <n v="2002"/>
    <x v="14"/>
    <x v="1"/>
    <n v="35577"/>
    <x v="1"/>
    <n v="71821.17"/>
    <s v="Model S"/>
    <x v="0"/>
    <x v="2"/>
    <x v="23"/>
    <n v="2.02"/>
    <x v="0"/>
  </r>
  <r>
    <n v="1254"/>
    <x v="6"/>
    <n v="2011"/>
    <x v="8"/>
    <x v="1"/>
    <n v="2921"/>
    <x v="1"/>
    <n v="33416.03"/>
    <s v="Prius"/>
    <x v="1"/>
    <x v="2"/>
    <x v="3"/>
    <n v="11.44"/>
    <x v="1"/>
  </r>
  <r>
    <n v="1255"/>
    <x v="2"/>
    <n v="2000"/>
    <x v="1"/>
    <x v="0"/>
    <n v="144535"/>
    <x v="1"/>
    <n v="77050.350000000006"/>
    <s v="A3"/>
    <x v="1"/>
    <x v="0"/>
    <x v="18"/>
    <n v="0.53"/>
    <x v="0"/>
  </r>
  <r>
    <n v="1256"/>
    <x v="5"/>
    <n v="2020"/>
    <x v="48"/>
    <x v="0"/>
    <n v="156546"/>
    <x v="2"/>
    <n v="24532.47"/>
    <s v="GLC"/>
    <x v="3"/>
    <x v="1"/>
    <x v="6"/>
    <n v="0.16"/>
    <x v="0"/>
  </r>
  <r>
    <n v="1257"/>
    <x v="1"/>
    <n v="2008"/>
    <x v="31"/>
    <x v="0"/>
    <n v="125534"/>
    <x v="1"/>
    <n v="56703.88"/>
    <s v="X5"/>
    <x v="2"/>
    <x v="0"/>
    <x v="22"/>
    <n v="0.45"/>
    <x v="0"/>
  </r>
  <r>
    <n v="1258"/>
    <x v="1"/>
    <n v="2008"/>
    <x v="18"/>
    <x v="0"/>
    <n v="256872"/>
    <x v="2"/>
    <n v="81406.7"/>
    <s v="5 Series"/>
    <x v="1"/>
    <x v="1"/>
    <x v="22"/>
    <n v="0.32"/>
    <x v="0"/>
  </r>
  <r>
    <n v="1259"/>
    <x v="4"/>
    <n v="2003"/>
    <x v="16"/>
    <x v="0"/>
    <n v="72828"/>
    <x v="0"/>
    <n v="56015.86"/>
    <s v="Civic"/>
    <x v="3"/>
    <x v="0"/>
    <x v="21"/>
    <n v="0.77"/>
    <x v="1"/>
  </r>
  <r>
    <n v="1260"/>
    <x v="5"/>
    <n v="2002"/>
    <x v="21"/>
    <x v="1"/>
    <n v="123649"/>
    <x v="2"/>
    <n v="91256.46"/>
    <s v="GLA"/>
    <x v="3"/>
    <x v="0"/>
    <x v="23"/>
    <n v="0.74"/>
    <x v="0"/>
  </r>
  <r>
    <n v="1261"/>
    <x v="2"/>
    <n v="2016"/>
    <x v="30"/>
    <x v="0"/>
    <n v="55152"/>
    <x v="1"/>
    <n v="10557.62"/>
    <s v="Q5"/>
    <x v="2"/>
    <x v="0"/>
    <x v="0"/>
    <n v="0.19"/>
    <x v="0"/>
  </r>
  <r>
    <n v="1262"/>
    <x v="3"/>
    <n v="2001"/>
    <x v="32"/>
    <x v="0"/>
    <n v="220073"/>
    <x v="0"/>
    <n v="60889.82"/>
    <s v="Fiesta"/>
    <x v="0"/>
    <x v="1"/>
    <x v="10"/>
    <n v="0.28000000000000003"/>
    <x v="1"/>
  </r>
  <r>
    <n v="1263"/>
    <x v="6"/>
    <n v="2023"/>
    <x v="5"/>
    <x v="0"/>
    <n v="223393"/>
    <x v="2"/>
    <n v="58366.77"/>
    <s v="Camry"/>
    <x v="3"/>
    <x v="1"/>
    <x v="8"/>
    <n v="0.26"/>
    <x v="1"/>
  </r>
  <r>
    <n v="1264"/>
    <x v="4"/>
    <n v="2000"/>
    <x v="47"/>
    <x v="0"/>
    <n v="86569"/>
    <x v="2"/>
    <n v="67733.570000000007"/>
    <s v="CR-V"/>
    <x v="3"/>
    <x v="0"/>
    <x v="18"/>
    <n v="0.78"/>
    <x v="1"/>
  </r>
  <r>
    <n v="1265"/>
    <x v="1"/>
    <n v="2007"/>
    <x v="23"/>
    <x v="0"/>
    <n v="156844"/>
    <x v="2"/>
    <n v="84173.65"/>
    <s v="3 Series"/>
    <x v="3"/>
    <x v="1"/>
    <x v="17"/>
    <n v="0.54"/>
    <x v="0"/>
  </r>
  <r>
    <n v="1266"/>
    <x v="3"/>
    <n v="2012"/>
    <x v="26"/>
    <x v="1"/>
    <n v="159562"/>
    <x v="0"/>
    <n v="73956.039999999994"/>
    <s v="Focus"/>
    <x v="0"/>
    <x v="1"/>
    <x v="15"/>
    <n v="0.46"/>
    <x v="1"/>
  </r>
  <r>
    <n v="1267"/>
    <x v="3"/>
    <n v="2022"/>
    <x v="35"/>
    <x v="0"/>
    <n v="122537"/>
    <x v="2"/>
    <n v="80076.86"/>
    <s v="Mustang"/>
    <x v="0"/>
    <x v="0"/>
    <x v="13"/>
    <n v="0.65"/>
    <x v="1"/>
  </r>
  <r>
    <n v="1268"/>
    <x v="6"/>
    <n v="2014"/>
    <x v="29"/>
    <x v="1"/>
    <n v="53806"/>
    <x v="1"/>
    <n v="32437.59"/>
    <s v="Prius"/>
    <x v="2"/>
    <x v="0"/>
    <x v="12"/>
    <n v="0.6"/>
    <x v="1"/>
  </r>
  <r>
    <n v="1269"/>
    <x v="5"/>
    <n v="2007"/>
    <x v="6"/>
    <x v="0"/>
    <n v="75992"/>
    <x v="0"/>
    <n v="41812.25"/>
    <s v="GLC"/>
    <x v="1"/>
    <x v="0"/>
    <x v="17"/>
    <n v="0.55000000000000004"/>
    <x v="0"/>
  </r>
  <r>
    <n v="1270"/>
    <x v="1"/>
    <n v="2011"/>
    <x v="37"/>
    <x v="1"/>
    <n v="284464"/>
    <x v="0"/>
    <n v="64543.81"/>
    <s v="X3"/>
    <x v="0"/>
    <x v="1"/>
    <x v="3"/>
    <n v="0.23"/>
    <x v="0"/>
  </r>
  <r>
    <n v="1271"/>
    <x v="2"/>
    <n v="2021"/>
    <x v="35"/>
    <x v="1"/>
    <n v="258852"/>
    <x v="2"/>
    <n v="57578.84"/>
    <s v="A4"/>
    <x v="1"/>
    <x v="1"/>
    <x v="20"/>
    <n v="0.22"/>
    <x v="0"/>
  </r>
  <r>
    <n v="1272"/>
    <x v="3"/>
    <n v="2011"/>
    <x v="28"/>
    <x v="0"/>
    <n v="173217"/>
    <x v="1"/>
    <n v="96304.87"/>
    <s v="Fiesta"/>
    <x v="1"/>
    <x v="1"/>
    <x v="3"/>
    <n v="0.56000000000000005"/>
    <x v="1"/>
  </r>
  <r>
    <n v="1273"/>
    <x v="6"/>
    <n v="2013"/>
    <x v="23"/>
    <x v="0"/>
    <n v="194760"/>
    <x v="0"/>
    <n v="22749.279999999999"/>
    <s v="Prius"/>
    <x v="0"/>
    <x v="1"/>
    <x v="2"/>
    <n v="0.12"/>
    <x v="1"/>
  </r>
  <r>
    <n v="1274"/>
    <x v="2"/>
    <n v="2014"/>
    <x v="50"/>
    <x v="0"/>
    <n v="20754"/>
    <x v="2"/>
    <n v="38371.449999999997"/>
    <s v="A4"/>
    <x v="3"/>
    <x v="2"/>
    <x v="12"/>
    <n v="1.85"/>
    <x v="0"/>
  </r>
  <r>
    <n v="1275"/>
    <x v="5"/>
    <n v="2014"/>
    <x v="32"/>
    <x v="0"/>
    <n v="69837"/>
    <x v="1"/>
    <n v="59411.75"/>
    <s v="GLC"/>
    <x v="2"/>
    <x v="0"/>
    <x v="12"/>
    <n v="0.85"/>
    <x v="0"/>
  </r>
  <r>
    <n v="1276"/>
    <x v="1"/>
    <n v="2008"/>
    <x v="32"/>
    <x v="0"/>
    <n v="138279"/>
    <x v="2"/>
    <n v="87456.56"/>
    <s v="X3"/>
    <x v="1"/>
    <x v="0"/>
    <x v="22"/>
    <n v="0.63"/>
    <x v="0"/>
  </r>
  <r>
    <n v="1277"/>
    <x v="5"/>
    <n v="2018"/>
    <x v="14"/>
    <x v="1"/>
    <n v="218811"/>
    <x v="2"/>
    <n v="93288.11"/>
    <s v="C-Class"/>
    <x v="3"/>
    <x v="1"/>
    <x v="1"/>
    <n v="0.43"/>
    <x v="0"/>
  </r>
  <r>
    <n v="1278"/>
    <x v="3"/>
    <n v="2019"/>
    <x v="36"/>
    <x v="0"/>
    <n v="114780"/>
    <x v="0"/>
    <n v="36923.449999999997"/>
    <s v="Mustang"/>
    <x v="0"/>
    <x v="0"/>
    <x v="5"/>
    <n v="0.32"/>
    <x v="1"/>
  </r>
  <r>
    <n v="1279"/>
    <x v="2"/>
    <n v="2021"/>
    <x v="31"/>
    <x v="0"/>
    <n v="87081"/>
    <x v="0"/>
    <n v="11375.3"/>
    <s v="A4"/>
    <x v="1"/>
    <x v="0"/>
    <x v="20"/>
    <n v="0.13"/>
    <x v="0"/>
  </r>
  <r>
    <n v="1280"/>
    <x v="2"/>
    <n v="2007"/>
    <x v="45"/>
    <x v="1"/>
    <n v="286160"/>
    <x v="2"/>
    <n v="45053.87"/>
    <s v="A3"/>
    <x v="1"/>
    <x v="1"/>
    <x v="17"/>
    <n v="0.16"/>
    <x v="0"/>
  </r>
  <r>
    <n v="1281"/>
    <x v="2"/>
    <n v="2020"/>
    <x v="32"/>
    <x v="0"/>
    <n v="112099"/>
    <x v="0"/>
    <n v="42462.69"/>
    <s v="Q5"/>
    <x v="1"/>
    <x v="0"/>
    <x v="6"/>
    <n v="0.38"/>
    <x v="0"/>
  </r>
  <r>
    <n v="1282"/>
    <x v="3"/>
    <n v="2018"/>
    <x v="26"/>
    <x v="1"/>
    <n v="151174"/>
    <x v="0"/>
    <n v="98716.27"/>
    <s v="Explorer"/>
    <x v="3"/>
    <x v="1"/>
    <x v="1"/>
    <n v="0.65"/>
    <x v="1"/>
  </r>
  <r>
    <n v="1283"/>
    <x v="3"/>
    <n v="2005"/>
    <x v="39"/>
    <x v="0"/>
    <n v="264068"/>
    <x v="1"/>
    <n v="45950.82"/>
    <s v="Mustang"/>
    <x v="3"/>
    <x v="1"/>
    <x v="14"/>
    <n v="0.17"/>
    <x v="1"/>
  </r>
  <r>
    <n v="1284"/>
    <x v="5"/>
    <n v="2019"/>
    <x v="6"/>
    <x v="1"/>
    <n v="85015"/>
    <x v="1"/>
    <n v="34043.68"/>
    <s v="GLC"/>
    <x v="3"/>
    <x v="0"/>
    <x v="5"/>
    <n v="0.4"/>
    <x v="0"/>
  </r>
  <r>
    <n v="1285"/>
    <x v="4"/>
    <n v="2018"/>
    <x v="40"/>
    <x v="0"/>
    <n v="104987"/>
    <x v="2"/>
    <n v="39710.85"/>
    <s v="Accord"/>
    <x v="1"/>
    <x v="0"/>
    <x v="1"/>
    <n v="0.38"/>
    <x v="1"/>
  </r>
  <r>
    <n v="1286"/>
    <x v="5"/>
    <n v="2003"/>
    <x v="18"/>
    <x v="1"/>
    <n v="54333"/>
    <x v="2"/>
    <n v="42708"/>
    <s v="GLC"/>
    <x v="1"/>
    <x v="0"/>
    <x v="21"/>
    <n v="0.79"/>
    <x v="0"/>
  </r>
  <r>
    <n v="1287"/>
    <x v="1"/>
    <n v="2022"/>
    <x v="33"/>
    <x v="1"/>
    <n v="215530"/>
    <x v="2"/>
    <n v="83046.34"/>
    <s v="5 Series"/>
    <x v="2"/>
    <x v="1"/>
    <x v="13"/>
    <n v="0.39"/>
    <x v="0"/>
  </r>
  <r>
    <n v="1288"/>
    <x v="6"/>
    <n v="2006"/>
    <x v="6"/>
    <x v="0"/>
    <n v="177171"/>
    <x v="2"/>
    <n v="12696.41"/>
    <s v="Prius"/>
    <x v="2"/>
    <x v="1"/>
    <x v="11"/>
    <n v="7.0000000000000007E-2"/>
    <x v="1"/>
  </r>
  <r>
    <n v="1289"/>
    <x v="2"/>
    <n v="2003"/>
    <x v="28"/>
    <x v="0"/>
    <n v="188418"/>
    <x v="1"/>
    <n v="35068.17"/>
    <s v="Q7"/>
    <x v="3"/>
    <x v="1"/>
    <x v="21"/>
    <n v="0.19"/>
    <x v="0"/>
  </r>
  <r>
    <n v="1290"/>
    <x v="4"/>
    <n v="2021"/>
    <x v="3"/>
    <x v="0"/>
    <n v="126372"/>
    <x v="0"/>
    <n v="96800.26"/>
    <s v="Civic"/>
    <x v="3"/>
    <x v="0"/>
    <x v="20"/>
    <n v="0.77"/>
    <x v="1"/>
  </r>
  <r>
    <n v="1291"/>
    <x v="6"/>
    <n v="2011"/>
    <x v="14"/>
    <x v="1"/>
    <n v="206553"/>
    <x v="1"/>
    <n v="19544.740000000002"/>
    <s v="Prius"/>
    <x v="0"/>
    <x v="1"/>
    <x v="3"/>
    <n v="0.09"/>
    <x v="1"/>
  </r>
  <r>
    <n v="1292"/>
    <x v="4"/>
    <n v="2012"/>
    <x v="20"/>
    <x v="1"/>
    <n v="69767"/>
    <x v="2"/>
    <n v="75547.13"/>
    <s v="Accord"/>
    <x v="3"/>
    <x v="0"/>
    <x v="15"/>
    <n v="1.08"/>
    <x v="1"/>
  </r>
  <r>
    <n v="1293"/>
    <x v="0"/>
    <n v="2002"/>
    <x v="29"/>
    <x v="1"/>
    <n v="104332"/>
    <x v="2"/>
    <n v="38857.379999999997"/>
    <s v="Model X"/>
    <x v="0"/>
    <x v="0"/>
    <x v="23"/>
    <n v="0.37"/>
    <x v="0"/>
  </r>
  <r>
    <n v="1294"/>
    <x v="5"/>
    <n v="2021"/>
    <x v="6"/>
    <x v="0"/>
    <n v="143279"/>
    <x v="1"/>
    <n v="60269.62"/>
    <s v="GLA"/>
    <x v="2"/>
    <x v="0"/>
    <x v="20"/>
    <n v="0.42"/>
    <x v="0"/>
  </r>
  <r>
    <n v="1295"/>
    <x v="3"/>
    <n v="2011"/>
    <x v="43"/>
    <x v="0"/>
    <n v="6336"/>
    <x v="1"/>
    <n v="14457.06"/>
    <s v="Explorer"/>
    <x v="2"/>
    <x v="2"/>
    <x v="3"/>
    <n v="2.2799999999999998"/>
    <x v="1"/>
  </r>
  <r>
    <n v="1296"/>
    <x v="2"/>
    <n v="2001"/>
    <x v="34"/>
    <x v="1"/>
    <n v="206238"/>
    <x v="2"/>
    <n v="34109.11"/>
    <s v="A4"/>
    <x v="1"/>
    <x v="1"/>
    <x v="10"/>
    <n v="0.17"/>
    <x v="0"/>
  </r>
  <r>
    <n v="1297"/>
    <x v="5"/>
    <n v="2023"/>
    <x v="28"/>
    <x v="0"/>
    <n v="279400"/>
    <x v="0"/>
    <n v="52582.17"/>
    <s v="GLA"/>
    <x v="1"/>
    <x v="1"/>
    <x v="8"/>
    <n v="0.19"/>
    <x v="0"/>
  </r>
  <r>
    <n v="1298"/>
    <x v="6"/>
    <n v="2001"/>
    <x v="38"/>
    <x v="1"/>
    <n v="230517"/>
    <x v="2"/>
    <n v="27011.56"/>
    <s v="Prius"/>
    <x v="3"/>
    <x v="1"/>
    <x v="10"/>
    <n v="0.12"/>
    <x v="1"/>
  </r>
  <r>
    <n v="1299"/>
    <x v="0"/>
    <n v="2022"/>
    <x v="30"/>
    <x v="0"/>
    <n v="180889"/>
    <x v="1"/>
    <n v="56477.64"/>
    <s v="Model Y"/>
    <x v="0"/>
    <x v="1"/>
    <x v="13"/>
    <n v="0.31"/>
    <x v="0"/>
  </r>
  <r>
    <n v="1300"/>
    <x v="0"/>
    <n v="2008"/>
    <x v="23"/>
    <x v="0"/>
    <n v="295863"/>
    <x v="2"/>
    <n v="25877.13"/>
    <s v="Model X"/>
    <x v="0"/>
    <x v="1"/>
    <x v="22"/>
    <n v="0.09"/>
    <x v="0"/>
  </r>
  <r>
    <n v="1301"/>
    <x v="0"/>
    <n v="2000"/>
    <x v="10"/>
    <x v="1"/>
    <n v="45704"/>
    <x v="2"/>
    <n v="66759.55"/>
    <s v="Model X"/>
    <x v="0"/>
    <x v="2"/>
    <x v="18"/>
    <n v="1.46"/>
    <x v="0"/>
  </r>
  <r>
    <n v="1302"/>
    <x v="6"/>
    <n v="2007"/>
    <x v="20"/>
    <x v="0"/>
    <n v="292157"/>
    <x v="0"/>
    <n v="90913.66"/>
    <s v="RAV4"/>
    <x v="1"/>
    <x v="1"/>
    <x v="17"/>
    <n v="0.31"/>
    <x v="1"/>
  </r>
  <r>
    <n v="1303"/>
    <x v="6"/>
    <n v="2022"/>
    <x v="13"/>
    <x v="0"/>
    <n v="226884"/>
    <x v="2"/>
    <n v="13121.42"/>
    <s v="Corolla"/>
    <x v="2"/>
    <x v="1"/>
    <x v="13"/>
    <n v="0.06"/>
    <x v="1"/>
  </r>
  <r>
    <n v="1304"/>
    <x v="6"/>
    <n v="2005"/>
    <x v="35"/>
    <x v="0"/>
    <n v="167848"/>
    <x v="2"/>
    <n v="25578.52"/>
    <s v="Camry"/>
    <x v="2"/>
    <x v="1"/>
    <x v="14"/>
    <n v="0.15"/>
    <x v="1"/>
  </r>
  <r>
    <n v="1305"/>
    <x v="6"/>
    <n v="2005"/>
    <x v="29"/>
    <x v="0"/>
    <n v="272204"/>
    <x v="2"/>
    <n v="85220.19"/>
    <s v="Corolla"/>
    <x v="1"/>
    <x v="1"/>
    <x v="14"/>
    <n v="0.31"/>
    <x v="1"/>
  </r>
  <r>
    <n v="1306"/>
    <x v="0"/>
    <n v="2021"/>
    <x v="15"/>
    <x v="0"/>
    <n v="219182"/>
    <x v="1"/>
    <n v="64997.58"/>
    <s v="Model 3"/>
    <x v="0"/>
    <x v="1"/>
    <x v="20"/>
    <n v="0.3"/>
    <x v="0"/>
  </r>
  <r>
    <n v="1307"/>
    <x v="0"/>
    <n v="2017"/>
    <x v="34"/>
    <x v="1"/>
    <n v="78563"/>
    <x v="1"/>
    <n v="12477.35"/>
    <s v="Model S"/>
    <x v="0"/>
    <x v="0"/>
    <x v="7"/>
    <n v="0.16"/>
    <x v="0"/>
  </r>
  <r>
    <n v="1308"/>
    <x v="4"/>
    <n v="2016"/>
    <x v="48"/>
    <x v="0"/>
    <n v="135102"/>
    <x v="0"/>
    <n v="51203.26"/>
    <s v="CR-V"/>
    <x v="3"/>
    <x v="0"/>
    <x v="0"/>
    <n v="0.38"/>
    <x v="1"/>
  </r>
  <r>
    <n v="1309"/>
    <x v="5"/>
    <n v="2011"/>
    <x v="35"/>
    <x v="1"/>
    <n v="89779"/>
    <x v="2"/>
    <n v="24927.06"/>
    <s v="GLC"/>
    <x v="3"/>
    <x v="0"/>
    <x v="3"/>
    <n v="0.28000000000000003"/>
    <x v="0"/>
  </r>
  <r>
    <n v="1310"/>
    <x v="2"/>
    <n v="2005"/>
    <x v="19"/>
    <x v="0"/>
    <n v="164361"/>
    <x v="1"/>
    <n v="23914.16"/>
    <s v="Q7"/>
    <x v="0"/>
    <x v="1"/>
    <x v="14"/>
    <n v="0.15"/>
    <x v="0"/>
  </r>
  <r>
    <n v="1311"/>
    <x v="3"/>
    <n v="2007"/>
    <x v="47"/>
    <x v="0"/>
    <n v="99704"/>
    <x v="0"/>
    <n v="94361.31"/>
    <s v="Fiesta"/>
    <x v="1"/>
    <x v="0"/>
    <x v="17"/>
    <n v="0.95"/>
    <x v="1"/>
  </r>
  <r>
    <n v="1312"/>
    <x v="0"/>
    <n v="2018"/>
    <x v="42"/>
    <x v="1"/>
    <n v="261757"/>
    <x v="2"/>
    <n v="77346.45"/>
    <s v="Model 3"/>
    <x v="0"/>
    <x v="1"/>
    <x v="1"/>
    <n v="0.3"/>
    <x v="0"/>
  </r>
  <r>
    <n v="1313"/>
    <x v="3"/>
    <n v="2009"/>
    <x v="29"/>
    <x v="1"/>
    <n v="110234"/>
    <x v="0"/>
    <n v="71141.91"/>
    <s v="Explorer"/>
    <x v="3"/>
    <x v="0"/>
    <x v="4"/>
    <n v="0.65"/>
    <x v="1"/>
  </r>
  <r>
    <n v="1314"/>
    <x v="5"/>
    <n v="2000"/>
    <x v="30"/>
    <x v="0"/>
    <n v="36491"/>
    <x v="0"/>
    <n v="27698.240000000002"/>
    <s v="E-Class"/>
    <x v="0"/>
    <x v="2"/>
    <x v="18"/>
    <n v="0.76"/>
    <x v="0"/>
  </r>
  <r>
    <n v="1315"/>
    <x v="5"/>
    <n v="2012"/>
    <x v="14"/>
    <x v="0"/>
    <n v="226621"/>
    <x v="0"/>
    <n v="16264.48"/>
    <s v="GLA"/>
    <x v="1"/>
    <x v="1"/>
    <x v="15"/>
    <n v="7.0000000000000007E-2"/>
    <x v="0"/>
  </r>
  <r>
    <n v="1316"/>
    <x v="3"/>
    <n v="2016"/>
    <x v="45"/>
    <x v="1"/>
    <n v="20448"/>
    <x v="0"/>
    <n v="87729.1"/>
    <s v="Focus"/>
    <x v="2"/>
    <x v="2"/>
    <x v="0"/>
    <n v="4.29"/>
    <x v="1"/>
  </r>
  <r>
    <n v="1317"/>
    <x v="0"/>
    <n v="2002"/>
    <x v="12"/>
    <x v="1"/>
    <n v="49294"/>
    <x v="0"/>
    <n v="5558.56"/>
    <s v="Model Y"/>
    <x v="0"/>
    <x v="2"/>
    <x v="23"/>
    <n v="0.11"/>
    <x v="0"/>
  </r>
  <r>
    <n v="1318"/>
    <x v="3"/>
    <n v="2007"/>
    <x v="45"/>
    <x v="1"/>
    <n v="283590"/>
    <x v="0"/>
    <n v="41869.160000000003"/>
    <s v="Fiesta"/>
    <x v="1"/>
    <x v="1"/>
    <x v="17"/>
    <n v="0.15"/>
    <x v="1"/>
  </r>
  <r>
    <n v="1319"/>
    <x v="4"/>
    <n v="2013"/>
    <x v="18"/>
    <x v="1"/>
    <n v="216461"/>
    <x v="0"/>
    <n v="31373.19"/>
    <s v="Civic"/>
    <x v="3"/>
    <x v="1"/>
    <x v="2"/>
    <n v="0.14000000000000001"/>
    <x v="1"/>
  </r>
  <r>
    <n v="1320"/>
    <x v="1"/>
    <n v="2002"/>
    <x v="50"/>
    <x v="0"/>
    <n v="85615"/>
    <x v="2"/>
    <n v="59185.74"/>
    <s v="X5"/>
    <x v="1"/>
    <x v="0"/>
    <x v="23"/>
    <n v="0.69"/>
    <x v="0"/>
  </r>
  <r>
    <n v="1321"/>
    <x v="0"/>
    <n v="2015"/>
    <x v="9"/>
    <x v="0"/>
    <n v="17101"/>
    <x v="2"/>
    <n v="28798.3"/>
    <s v="Model 3"/>
    <x v="0"/>
    <x v="2"/>
    <x v="16"/>
    <n v="1.68"/>
    <x v="0"/>
  </r>
  <r>
    <n v="1322"/>
    <x v="0"/>
    <n v="2012"/>
    <x v="50"/>
    <x v="0"/>
    <n v="290160"/>
    <x v="0"/>
    <n v="34564.51"/>
    <s v="Model 3"/>
    <x v="0"/>
    <x v="1"/>
    <x v="15"/>
    <n v="0.12"/>
    <x v="0"/>
  </r>
  <r>
    <n v="1323"/>
    <x v="2"/>
    <n v="2019"/>
    <x v="20"/>
    <x v="0"/>
    <n v="150004"/>
    <x v="2"/>
    <n v="85753.79"/>
    <s v="A3"/>
    <x v="3"/>
    <x v="1"/>
    <x v="5"/>
    <n v="0.56999999999999995"/>
    <x v="0"/>
  </r>
  <r>
    <n v="1324"/>
    <x v="6"/>
    <n v="2023"/>
    <x v="33"/>
    <x v="0"/>
    <n v="90481"/>
    <x v="0"/>
    <n v="62302.94"/>
    <s v="Camry"/>
    <x v="2"/>
    <x v="0"/>
    <x v="8"/>
    <n v="0.69"/>
    <x v="1"/>
  </r>
  <r>
    <n v="1325"/>
    <x v="1"/>
    <n v="2016"/>
    <x v="26"/>
    <x v="1"/>
    <n v="52802"/>
    <x v="2"/>
    <n v="18839.84"/>
    <s v="3 Series"/>
    <x v="0"/>
    <x v="0"/>
    <x v="0"/>
    <n v="0.36"/>
    <x v="0"/>
  </r>
  <r>
    <n v="1326"/>
    <x v="5"/>
    <n v="2012"/>
    <x v="50"/>
    <x v="1"/>
    <n v="269693"/>
    <x v="1"/>
    <n v="74014.8"/>
    <s v="GLA"/>
    <x v="1"/>
    <x v="1"/>
    <x v="15"/>
    <n v="0.27"/>
    <x v="0"/>
  </r>
  <r>
    <n v="1327"/>
    <x v="0"/>
    <n v="2005"/>
    <x v="8"/>
    <x v="1"/>
    <n v="210005"/>
    <x v="0"/>
    <n v="24708.62"/>
    <s v="Model Y"/>
    <x v="0"/>
    <x v="1"/>
    <x v="14"/>
    <n v="0.12"/>
    <x v="0"/>
  </r>
  <r>
    <n v="1328"/>
    <x v="3"/>
    <n v="2016"/>
    <x v="19"/>
    <x v="0"/>
    <n v="156434"/>
    <x v="1"/>
    <n v="46135.47"/>
    <s v="Mustang"/>
    <x v="2"/>
    <x v="1"/>
    <x v="0"/>
    <n v="0.28999999999999998"/>
    <x v="1"/>
  </r>
  <r>
    <n v="1329"/>
    <x v="1"/>
    <n v="2013"/>
    <x v="41"/>
    <x v="1"/>
    <n v="47842"/>
    <x v="0"/>
    <n v="66427.69"/>
    <s v="X3"/>
    <x v="0"/>
    <x v="2"/>
    <x v="2"/>
    <n v="1.39"/>
    <x v="0"/>
  </r>
  <r>
    <n v="1330"/>
    <x v="2"/>
    <n v="2016"/>
    <x v="30"/>
    <x v="0"/>
    <n v="46539"/>
    <x v="0"/>
    <n v="30833.31"/>
    <s v="Q7"/>
    <x v="3"/>
    <x v="2"/>
    <x v="0"/>
    <n v="0.66"/>
    <x v="0"/>
  </r>
  <r>
    <n v="1331"/>
    <x v="5"/>
    <n v="2007"/>
    <x v="10"/>
    <x v="0"/>
    <n v="33717"/>
    <x v="1"/>
    <n v="41490.15"/>
    <s v="GLA"/>
    <x v="0"/>
    <x v="2"/>
    <x v="17"/>
    <n v="1.23"/>
    <x v="0"/>
  </r>
  <r>
    <n v="1332"/>
    <x v="6"/>
    <n v="2010"/>
    <x v="44"/>
    <x v="0"/>
    <n v="246281"/>
    <x v="1"/>
    <n v="74744.210000000006"/>
    <s v="RAV4"/>
    <x v="0"/>
    <x v="1"/>
    <x v="9"/>
    <n v="0.3"/>
    <x v="1"/>
  </r>
  <r>
    <n v="1333"/>
    <x v="6"/>
    <n v="2019"/>
    <x v="44"/>
    <x v="1"/>
    <n v="186272"/>
    <x v="1"/>
    <n v="94101.54"/>
    <s v="Corolla"/>
    <x v="1"/>
    <x v="1"/>
    <x v="5"/>
    <n v="0.51"/>
    <x v="1"/>
  </r>
  <r>
    <n v="1334"/>
    <x v="2"/>
    <n v="2000"/>
    <x v="34"/>
    <x v="0"/>
    <n v="115042"/>
    <x v="0"/>
    <n v="55278.28"/>
    <s v="Q5"/>
    <x v="1"/>
    <x v="0"/>
    <x v="18"/>
    <n v="0.48"/>
    <x v="0"/>
  </r>
  <r>
    <n v="1335"/>
    <x v="2"/>
    <n v="2006"/>
    <x v="27"/>
    <x v="0"/>
    <n v="127922"/>
    <x v="1"/>
    <n v="5947.24"/>
    <s v="A4"/>
    <x v="3"/>
    <x v="0"/>
    <x v="11"/>
    <n v="0.05"/>
    <x v="0"/>
  </r>
  <r>
    <n v="1336"/>
    <x v="3"/>
    <n v="2020"/>
    <x v="36"/>
    <x v="1"/>
    <n v="92447"/>
    <x v="1"/>
    <n v="37154.06"/>
    <s v="Focus"/>
    <x v="0"/>
    <x v="0"/>
    <x v="6"/>
    <n v="0.4"/>
    <x v="1"/>
  </r>
  <r>
    <n v="1337"/>
    <x v="0"/>
    <n v="2020"/>
    <x v="21"/>
    <x v="0"/>
    <n v="158693"/>
    <x v="2"/>
    <n v="42870.26"/>
    <s v="Model X"/>
    <x v="0"/>
    <x v="1"/>
    <x v="6"/>
    <n v="0.27"/>
    <x v="0"/>
  </r>
  <r>
    <n v="1338"/>
    <x v="6"/>
    <n v="2016"/>
    <x v="1"/>
    <x v="1"/>
    <n v="12823"/>
    <x v="2"/>
    <n v="37221.49"/>
    <s v="RAV4"/>
    <x v="3"/>
    <x v="2"/>
    <x v="0"/>
    <n v="2.9"/>
    <x v="1"/>
  </r>
  <r>
    <n v="1339"/>
    <x v="5"/>
    <n v="2009"/>
    <x v="8"/>
    <x v="0"/>
    <n v="29986"/>
    <x v="1"/>
    <n v="46445.54"/>
    <s v="E-Class"/>
    <x v="0"/>
    <x v="2"/>
    <x v="4"/>
    <n v="1.55"/>
    <x v="0"/>
  </r>
  <r>
    <n v="1340"/>
    <x v="1"/>
    <n v="2010"/>
    <x v="47"/>
    <x v="1"/>
    <n v="121682"/>
    <x v="1"/>
    <n v="65103.29"/>
    <s v="5 Series"/>
    <x v="3"/>
    <x v="0"/>
    <x v="9"/>
    <n v="0.54"/>
    <x v="0"/>
  </r>
  <r>
    <n v="1341"/>
    <x v="5"/>
    <n v="2021"/>
    <x v="35"/>
    <x v="0"/>
    <n v="64325"/>
    <x v="1"/>
    <n v="16507.16"/>
    <s v="E-Class"/>
    <x v="0"/>
    <x v="0"/>
    <x v="20"/>
    <n v="0.26"/>
    <x v="0"/>
  </r>
  <r>
    <n v="1342"/>
    <x v="4"/>
    <n v="2008"/>
    <x v="45"/>
    <x v="0"/>
    <n v="250476"/>
    <x v="1"/>
    <n v="30899.9"/>
    <s v="Fit"/>
    <x v="0"/>
    <x v="1"/>
    <x v="22"/>
    <n v="0.12"/>
    <x v="1"/>
  </r>
  <r>
    <n v="1343"/>
    <x v="4"/>
    <n v="2008"/>
    <x v="30"/>
    <x v="1"/>
    <n v="57771"/>
    <x v="2"/>
    <n v="53226.57"/>
    <s v="Civic"/>
    <x v="0"/>
    <x v="0"/>
    <x v="22"/>
    <n v="0.92"/>
    <x v="1"/>
  </r>
  <r>
    <n v="1344"/>
    <x v="2"/>
    <n v="2023"/>
    <x v="22"/>
    <x v="0"/>
    <n v="54973"/>
    <x v="0"/>
    <n v="34979.46"/>
    <s v="A3"/>
    <x v="0"/>
    <x v="0"/>
    <x v="8"/>
    <n v="0.64"/>
    <x v="0"/>
  </r>
  <r>
    <n v="1345"/>
    <x v="3"/>
    <n v="2004"/>
    <x v="1"/>
    <x v="1"/>
    <n v="145762"/>
    <x v="1"/>
    <n v="99153.11"/>
    <s v="Fiesta"/>
    <x v="2"/>
    <x v="0"/>
    <x v="19"/>
    <n v="0.68"/>
    <x v="1"/>
  </r>
  <r>
    <n v="1346"/>
    <x v="4"/>
    <n v="2016"/>
    <x v="26"/>
    <x v="0"/>
    <n v="57888"/>
    <x v="1"/>
    <n v="45985.99"/>
    <s v="CR-V"/>
    <x v="0"/>
    <x v="0"/>
    <x v="0"/>
    <n v="0.79"/>
    <x v="1"/>
  </r>
  <r>
    <n v="1347"/>
    <x v="6"/>
    <n v="2008"/>
    <x v="40"/>
    <x v="1"/>
    <n v="10956"/>
    <x v="2"/>
    <n v="87630.92"/>
    <s v="Camry"/>
    <x v="1"/>
    <x v="2"/>
    <x v="22"/>
    <n v="8"/>
    <x v="1"/>
  </r>
  <r>
    <n v="1348"/>
    <x v="5"/>
    <n v="2016"/>
    <x v="48"/>
    <x v="0"/>
    <n v="86839"/>
    <x v="1"/>
    <n v="90168.43"/>
    <s v="E-Class"/>
    <x v="1"/>
    <x v="0"/>
    <x v="0"/>
    <n v="1.04"/>
    <x v="0"/>
  </r>
  <r>
    <n v="1349"/>
    <x v="5"/>
    <n v="2023"/>
    <x v="40"/>
    <x v="0"/>
    <n v="167605"/>
    <x v="1"/>
    <n v="84420.66"/>
    <s v="GLA"/>
    <x v="1"/>
    <x v="1"/>
    <x v="8"/>
    <n v="0.5"/>
    <x v="0"/>
  </r>
  <r>
    <n v="1350"/>
    <x v="2"/>
    <n v="2020"/>
    <x v="16"/>
    <x v="0"/>
    <n v="101131"/>
    <x v="2"/>
    <n v="9455.33"/>
    <s v="Q7"/>
    <x v="0"/>
    <x v="0"/>
    <x v="6"/>
    <n v="0.09"/>
    <x v="0"/>
  </r>
  <r>
    <n v="1351"/>
    <x v="0"/>
    <n v="2018"/>
    <x v="46"/>
    <x v="1"/>
    <n v="187973"/>
    <x v="1"/>
    <n v="95035.94"/>
    <s v="Model Y"/>
    <x v="0"/>
    <x v="1"/>
    <x v="1"/>
    <n v="0.51"/>
    <x v="0"/>
  </r>
  <r>
    <n v="1352"/>
    <x v="0"/>
    <n v="2006"/>
    <x v="20"/>
    <x v="1"/>
    <n v="11519"/>
    <x v="1"/>
    <n v="17230.54"/>
    <s v="Model Y"/>
    <x v="0"/>
    <x v="2"/>
    <x v="11"/>
    <n v="1.5"/>
    <x v="0"/>
  </r>
  <r>
    <n v="1353"/>
    <x v="1"/>
    <n v="2022"/>
    <x v="9"/>
    <x v="1"/>
    <n v="162187"/>
    <x v="2"/>
    <n v="8268.34"/>
    <s v="X5"/>
    <x v="3"/>
    <x v="1"/>
    <x v="13"/>
    <n v="0.05"/>
    <x v="0"/>
  </r>
  <r>
    <n v="1354"/>
    <x v="2"/>
    <n v="2008"/>
    <x v="18"/>
    <x v="1"/>
    <n v="1832"/>
    <x v="0"/>
    <n v="44365.11"/>
    <s v="Q7"/>
    <x v="0"/>
    <x v="2"/>
    <x v="22"/>
    <n v="24.22"/>
    <x v="0"/>
  </r>
  <r>
    <n v="1355"/>
    <x v="1"/>
    <n v="2006"/>
    <x v="6"/>
    <x v="1"/>
    <n v="113922"/>
    <x v="1"/>
    <n v="23490.23"/>
    <s v="X5"/>
    <x v="1"/>
    <x v="0"/>
    <x v="11"/>
    <n v="0.21"/>
    <x v="0"/>
  </r>
  <r>
    <n v="1356"/>
    <x v="0"/>
    <n v="2012"/>
    <x v="25"/>
    <x v="0"/>
    <n v="105474"/>
    <x v="1"/>
    <n v="22498.67"/>
    <s v="Model S"/>
    <x v="0"/>
    <x v="0"/>
    <x v="15"/>
    <n v="0.21"/>
    <x v="0"/>
  </r>
  <r>
    <n v="1357"/>
    <x v="2"/>
    <n v="2010"/>
    <x v="4"/>
    <x v="0"/>
    <n v="69715"/>
    <x v="0"/>
    <n v="32342.86"/>
    <s v="Q7"/>
    <x v="3"/>
    <x v="0"/>
    <x v="9"/>
    <n v="0.46"/>
    <x v="0"/>
  </r>
  <r>
    <n v="1358"/>
    <x v="2"/>
    <n v="2013"/>
    <x v="15"/>
    <x v="0"/>
    <n v="73366"/>
    <x v="2"/>
    <n v="28598.53"/>
    <s v="Q7"/>
    <x v="2"/>
    <x v="0"/>
    <x v="2"/>
    <n v="0.39"/>
    <x v="0"/>
  </r>
  <r>
    <n v="1359"/>
    <x v="2"/>
    <n v="2018"/>
    <x v="27"/>
    <x v="0"/>
    <n v="37570"/>
    <x v="0"/>
    <n v="70055.56"/>
    <s v="Q7"/>
    <x v="1"/>
    <x v="2"/>
    <x v="1"/>
    <n v="1.86"/>
    <x v="0"/>
  </r>
  <r>
    <n v="1360"/>
    <x v="0"/>
    <n v="2010"/>
    <x v="9"/>
    <x v="0"/>
    <n v="137687"/>
    <x v="1"/>
    <n v="22743.84"/>
    <s v="Model S"/>
    <x v="0"/>
    <x v="0"/>
    <x v="9"/>
    <n v="0.17"/>
    <x v="0"/>
  </r>
  <r>
    <n v="1361"/>
    <x v="1"/>
    <n v="2012"/>
    <x v="20"/>
    <x v="1"/>
    <n v="38311"/>
    <x v="0"/>
    <n v="56596.24"/>
    <s v="3 Series"/>
    <x v="3"/>
    <x v="2"/>
    <x v="15"/>
    <n v="1.48"/>
    <x v="0"/>
  </r>
  <r>
    <n v="1362"/>
    <x v="1"/>
    <n v="2013"/>
    <x v="31"/>
    <x v="0"/>
    <n v="103187"/>
    <x v="2"/>
    <n v="98710.52"/>
    <s v="X5"/>
    <x v="1"/>
    <x v="0"/>
    <x v="2"/>
    <n v="0.96"/>
    <x v="0"/>
  </r>
  <r>
    <n v="1363"/>
    <x v="2"/>
    <n v="2012"/>
    <x v="1"/>
    <x v="1"/>
    <n v="285578"/>
    <x v="1"/>
    <n v="46076.33"/>
    <s v="Q5"/>
    <x v="3"/>
    <x v="1"/>
    <x v="15"/>
    <n v="0.16"/>
    <x v="0"/>
  </r>
  <r>
    <n v="1364"/>
    <x v="4"/>
    <n v="2000"/>
    <x v="33"/>
    <x v="0"/>
    <n v="86879"/>
    <x v="2"/>
    <n v="65977.95"/>
    <s v="Fit"/>
    <x v="2"/>
    <x v="0"/>
    <x v="18"/>
    <n v="0.76"/>
    <x v="1"/>
  </r>
  <r>
    <n v="1365"/>
    <x v="3"/>
    <n v="2007"/>
    <x v="48"/>
    <x v="1"/>
    <n v="15739"/>
    <x v="2"/>
    <n v="97090.31"/>
    <s v="Focus"/>
    <x v="0"/>
    <x v="2"/>
    <x v="17"/>
    <n v="6.17"/>
    <x v="1"/>
  </r>
  <r>
    <n v="1366"/>
    <x v="0"/>
    <n v="2011"/>
    <x v="24"/>
    <x v="1"/>
    <n v="66202"/>
    <x v="0"/>
    <n v="18075.7"/>
    <s v="Model Y"/>
    <x v="0"/>
    <x v="0"/>
    <x v="3"/>
    <n v="0.27"/>
    <x v="0"/>
  </r>
  <r>
    <n v="1367"/>
    <x v="3"/>
    <n v="2018"/>
    <x v="30"/>
    <x v="1"/>
    <n v="98580"/>
    <x v="0"/>
    <n v="44767.67"/>
    <s v="Mustang"/>
    <x v="0"/>
    <x v="0"/>
    <x v="1"/>
    <n v="0.45"/>
    <x v="1"/>
  </r>
  <r>
    <n v="1368"/>
    <x v="3"/>
    <n v="2011"/>
    <x v="5"/>
    <x v="0"/>
    <n v="224491"/>
    <x v="2"/>
    <n v="85768.28"/>
    <s v="Mustang"/>
    <x v="0"/>
    <x v="1"/>
    <x v="3"/>
    <n v="0.38"/>
    <x v="1"/>
  </r>
  <r>
    <n v="1369"/>
    <x v="1"/>
    <n v="2007"/>
    <x v="46"/>
    <x v="0"/>
    <n v="79599"/>
    <x v="2"/>
    <n v="93569.04"/>
    <s v="X5"/>
    <x v="3"/>
    <x v="0"/>
    <x v="17"/>
    <n v="1.18"/>
    <x v="0"/>
  </r>
  <r>
    <n v="1370"/>
    <x v="1"/>
    <n v="2007"/>
    <x v="39"/>
    <x v="0"/>
    <n v="164721"/>
    <x v="1"/>
    <n v="62117.43"/>
    <s v="X5"/>
    <x v="0"/>
    <x v="1"/>
    <x v="17"/>
    <n v="0.38"/>
    <x v="0"/>
  </r>
  <r>
    <n v="1371"/>
    <x v="4"/>
    <n v="2020"/>
    <x v="49"/>
    <x v="0"/>
    <n v="231436"/>
    <x v="2"/>
    <n v="18624.96"/>
    <s v="Accord"/>
    <x v="3"/>
    <x v="1"/>
    <x v="6"/>
    <n v="0.08"/>
    <x v="1"/>
  </r>
  <r>
    <n v="1372"/>
    <x v="3"/>
    <n v="2012"/>
    <x v="27"/>
    <x v="1"/>
    <n v="116770"/>
    <x v="2"/>
    <n v="90639.8"/>
    <s v="Focus"/>
    <x v="1"/>
    <x v="0"/>
    <x v="15"/>
    <n v="0.78"/>
    <x v="1"/>
  </r>
  <r>
    <n v="1373"/>
    <x v="3"/>
    <n v="2011"/>
    <x v="12"/>
    <x v="1"/>
    <n v="179693"/>
    <x v="0"/>
    <n v="21572.42"/>
    <s v="Fiesta"/>
    <x v="0"/>
    <x v="1"/>
    <x v="3"/>
    <n v="0.12"/>
    <x v="1"/>
  </r>
  <r>
    <n v="1374"/>
    <x v="2"/>
    <n v="2015"/>
    <x v="19"/>
    <x v="1"/>
    <n v="261051"/>
    <x v="2"/>
    <n v="38523.4"/>
    <s v="A3"/>
    <x v="3"/>
    <x v="1"/>
    <x v="16"/>
    <n v="0.15"/>
    <x v="0"/>
  </r>
  <r>
    <n v="1375"/>
    <x v="1"/>
    <n v="2000"/>
    <x v="28"/>
    <x v="1"/>
    <n v="114300"/>
    <x v="2"/>
    <n v="40673.26"/>
    <s v="5 Series"/>
    <x v="0"/>
    <x v="0"/>
    <x v="18"/>
    <n v="0.36"/>
    <x v="0"/>
  </r>
  <r>
    <n v="1376"/>
    <x v="3"/>
    <n v="2012"/>
    <x v="15"/>
    <x v="0"/>
    <n v="191012"/>
    <x v="0"/>
    <n v="47492.7"/>
    <s v="Mustang"/>
    <x v="0"/>
    <x v="1"/>
    <x v="15"/>
    <n v="0.25"/>
    <x v="1"/>
  </r>
  <r>
    <n v="1377"/>
    <x v="5"/>
    <n v="2006"/>
    <x v="15"/>
    <x v="1"/>
    <n v="171796"/>
    <x v="1"/>
    <n v="80065.75"/>
    <s v="GLC"/>
    <x v="0"/>
    <x v="1"/>
    <x v="11"/>
    <n v="0.47"/>
    <x v="0"/>
  </r>
  <r>
    <n v="1378"/>
    <x v="4"/>
    <n v="2004"/>
    <x v="21"/>
    <x v="0"/>
    <n v="162776"/>
    <x v="0"/>
    <n v="81203.72"/>
    <s v="Fit"/>
    <x v="3"/>
    <x v="1"/>
    <x v="19"/>
    <n v="0.5"/>
    <x v="1"/>
  </r>
  <r>
    <n v="1379"/>
    <x v="5"/>
    <n v="2007"/>
    <x v="20"/>
    <x v="1"/>
    <n v="241942"/>
    <x v="0"/>
    <n v="73367.23"/>
    <s v="GLA"/>
    <x v="2"/>
    <x v="1"/>
    <x v="17"/>
    <n v="0.3"/>
    <x v="0"/>
  </r>
  <r>
    <n v="1380"/>
    <x v="5"/>
    <n v="2013"/>
    <x v="31"/>
    <x v="1"/>
    <n v="2526"/>
    <x v="2"/>
    <n v="7102.22"/>
    <s v="GLA"/>
    <x v="0"/>
    <x v="2"/>
    <x v="2"/>
    <n v="2.81"/>
    <x v="0"/>
  </r>
  <r>
    <n v="1381"/>
    <x v="0"/>
    <n v="2022"/>
    <x v="46"/>
    <x v="1"/>
    <n v="268718"/>
    <x v="2"/>
    <n v="58660.28"/>
    <s v="Model 3"/>
    <x v="0"/>
    <x v="1"/>
    <x v="13"/>
    <n v="0.22"/>
    <x v="0"/>
  </r>
  <r>
    <n v="1382"/>
    <x v="0"/>
    <n v="2012"/>
    <x v="11"/>
    <x v="0"/>
    <n v="270877"/>
    <x v="1"/>
    <n v="76011.83"/>
    <s v="Model Y"/>
    <x v="0"/>
    <x v="1"/>
    <x v="15"/>
    <n v="0.28000000000000003"/>
    <x v="0"/>
  </r>
  <r>
    <n v="1383"/>
    <x v="4"/>
    <n v="2014"/>
    <x v="40"/>
    <x v="0"/>
    <n v="36051"/>
    <x v="2"/>
    <n v="47239.4"/>
    <s v="CR-V"/>
    <x v="2"/>
    <x v="2"/>
    <x v="12"/>
    <n v="1.31"/>
    <x v="1"/>
  </r>
  <r>
    <n v="1384"/>
    <x v="5"/>
    <n v="2022"/>
    <x v="14"/>
    <x v="1"/>
    <n v="15909"/>
    <x v="1"/>
    <n v="94768.92"/>
    <s v="GLA"/>
    <x v="3"/>
    <x v="2"/>
    <x v="13"/>
    <n v="5.96"/>
    <x v="0"/>
  </r>
  <r>
    <n v="1385"/>
    <x v="3"/>
    <n v="2016"/>
    <x v="19"/>
    <x v="1"/>
    <n v="77338"/>
    <x v="1"/>
    <n v="83262"/>
    <s v="Focus"/>
    <x v="1"/>
    <x v="0"/>
    <x v="0"/>
    <n v="1.08"/>
    <x v="1"/>
  </r>
  <r>
    <n v="1386"/>
    <x v="1"/>
    <n v="2014"/>
    <x v="31"/>
    <x v="1"/>
    <n v="290277"/>
    <x v="1"/>
    <n v="65624.73"/>
    <s v="3 Series"/>
    <x v="0"/>
    <x v="1"/>
    <x v="12"/>
    <n v="0.23"/>
    <x v="0"/>
  </r>
  <r>
    <n v="1387"/>
    <x v="4"/>
    <n v="2019"/>
    <x v="7"/>
    <x v="0"/>
    <n v="182643"/>
    <x v="1"/>
    <n v="10930.39"/>
    <s v="CR-V"/>
    <x v="1"/>
    <x v="1"/>
    <x v="5"/>
    <n v="0.06"/>
    <x v="1"/>
  </r>
  <r>
    <n v="1388"/>
    <x v="2"/>
    <n v="2017"/>
    <x v="29"/>
    <x v="0"/>
    <n v="79062"/>
    <x v="2"/>
    <n v="66972.89"/>
    <s v="Q5"/>
    <x v="1"/>
    <x v="0"/>
    <x v="7"/>
    <n v="0.85"/>
    <x v="0"/>
  </r>
  <r>
    <n v="1389"/>
    <x v="5"/>
    <n v="2017"/>
    <x v="2"/>
    <x v="0"/>
    <n v="181980"/>
    <x v="0"/>
    <n v="91600.06"/>
    <s v="C-Class"/>
    <x v="0"/>
    <x v="1"/>
    <x v="7"/>
    <n v="0.5"/>
    <x v="0"/>
  </r>
  <r>
    <n v="1390"/>
    <x v="4"/>
    <n v="2001"/>
    <x v="47"/>
    <x v="1"/>
    <n v="51458"/>
    <x v="0"/>
    <n v="41047.31"/>
    <s v="Civic"/>
    <x v="2"/>
    <x v="0"/>
    <x v="10"/>
    <n v="0.8"/>
    <x v="1"/>
  </r>
  <r>
    <n v="1391"/>
    <x v="6"/>
    <n v="2003"/>
    <x v="40"/>
    <x v="0"/>
    <n v="222159"/>
    <x v="2"/>
    <n v="84622.59"/>
    <s v="Prius"/>
    <x v="2"/>
    <x v="1"/>
    <x v="21"/>
    <n v="0.38"/>
    <x v="1"/>
  </r>
  <r>
    <n v="1392"/>
    <x v="6"/>
    <n v="2000"/>
    <x v="33"/>
    <x v="1"/>
    <n v="287442"/>
    <x v="2"/>
    <n v="34750.31"/>
    <s v="Corolla"/>
    <x v="1"/>
    <x v="1"/>
    <x v="18"/>
    <n v="0.12"/>
    <x v="1"/>
  </r>
  <r>
    <n v="1393"/>
    <x v="0"/>
    <n v="2003"/>
    <x v="15"/>
    <x v="0"/>
    <n v="231946"/>
    <x v="1"/>
    <n v="59159.81"/>
    <s v="Model X"/>
    <x v="0"/>
    <x v="1"/>
    <x v="21"/>
    <n v="0.26"/>
    <x v="0"/>
  </r>
  <r>
    <n v="1394"/>
    <x v="1"/>
    <n v="2017"/>
    <x v="34"/>
    <x v="1"/>
    <n v="153263"/>
    <x v="2"/>
    <n v="66600.320000000007"/>
    <s v="X3"/>
    <x v="3"/>
    <x v="1"/>
    <x v="7"/>
    <n v="0.43"/>
    <x v="0"/>
  </r>
  <r>
    <n v="1395"/>
    <x v="3"/>
    <n v="2004"/>
    <x v="49"/>
    <x v="1"/>
    <n v="164164"/>
    <x v="0"/>
    <n v="69409.53"/>
    <s v="Focus"/>
    <x v="1"/>
    <x v="1"/>
    <x v="19"/>
    <n v="0.42"/>
    <x v="1"/>
  </r>
  <r>
    <n v="1396"/>
    <x v="1"/>
    <n v="2018"/>
    <x v="47"/>
    <x v="0"/>
    <n v="89407"/>
    <x v="2"/>
    <n v="88842.18"/>
    <s v="3 Series"/>
    <x v="3"/>
    <x v="0"/>
    <x v="1"/>
    <n v="0.99"/>
    <x v="0"/>
  </r>
  <r>
    <n v="1397"/>
    <x v="1"/>
    <n v="2014"/>
    <x v="1"/>
    <x v="1"/>
    <n v="206329"/>
    <x v="2"/>
    <n v="27289.119999999999"/>
    <s v="X3"/>
    <x v="1"/>
    <x v="1"/>
    <x v="12"/>
    <n v="0.13"/>
    <x v="0"/>
  </r>
  <r>
    <n v="1398"/>
    <x v="1"/>
    <n v="2007"/>
    <x v="15"/>
    <x v="1"/>
    <n v="62513"/>
    <x v="1"/>
    <n v="29925.11"/>
    <s v="X5"/>
    <x v="1"/>
    <x v="0"/>
    <x v="17"/>
    <n v="0.48"/>
    <x v="0"/>
  </r>
  <r>
    <n v="1399"/>
    <x v="1"/>
    <n v="2019"/>
    <x v="47"/>
    <x v="1"/>
    <n v="145476"/>
    <x v="1"/>
    <n v="71883.89"/>
    <s v="5 Series"/>
    <x v="0"/>
    <x v="0"/>
    <x v="5"/>
    <n v="0.49"/>
    <x v="0"/>
  </r>
  <r>
    <n v="1400"/>
    <x v="2"/>
    <n v="2016"/>
    <x v="10"/>
    <x v="0"/>
    <n v="35198"/>
    <x v="1"/>
    <n v="21833.41"/>
    <s v="Q7"/>
    <x v="0"/>
    <x v="2"/>
    <x v="0"/>
    <n v="0.62"/>
    <x v="0"/>
  </r>
  <r>
    <n v="1401"/>
    <x v="2"/>
    <n v="2000"/>
    <x v="8"/>
    <x v="1"/>
    <n v="225295"/>
    <x v="1"/>
    <n v="49105.69"/>
    <s v="Q5"/>
    <x v="3"/>
    <x v="1"/>
    <x v="18"/>
    <n v="0.22"/>
    <x v="0"/>
  </r>
  <r>
    <n v="1402"/>
    <x v="0"/>
    <n v="2011"/>
    <x v="12"/>
    <x v="0"/>
    <n v="264323"/>
    <x v="0"/>
    <n v="6903.27"/>
    <s v="Model Y"/>
    <x v="0"/>
    <x v="1"/>
    <x v="3"/>
    <n v="0.03"/>
    <x v="0"/>
  </r>
  <r>
    <n v="1403"/>
    <x v="4"/>
    <n v="2018"/>
    <x v="37"/>
    <x v="0"/>
    <n v="2019"/>
    <x v="2"/>
    <n v="18393.04"/>
    <s v="Civic"/>
    <x v="2"/>
    <x v="2"/>
    <x v="1"/>
    <n v="9.11"/>
    <x v="1"/>
  </r>
  <r>
    <n v="1404"/>
    <x v="6"/>
    <n v="2014"/>
    <x v="49"/>
    <x v="1"/>
    <n v="81455"/>
    <x v="2"/>
    <n v="69490.41"/>
    <s v="Corolla"/>
    <x v="0"/>
    <x v="0"/>
    <x v="12"/>
    <n v="0.85"/>
    <x v="1"/>
  </r>
  <r>
    <n v="1405"/>
    <x v="1"/>
    <n v="2008"/>
    <x v="13"/>
    <x v="0"/>
    <n v="216311"/>
    <x v="1"/>
    <n v="76008.850000000006"/>
    <s v="3 Series"/>
    <x v="1"/>
    <x v="1"/>
    <x v="22"/>
    <n v="0.35"/>
    <x v="0"/>
  </r>
  <r>
    <n v="1406"/>
    <x v="0"/>
    <n v="2006"/>
    <x v="36"/>
    <x v="1"/>
    <n v="149776"/>
    <x v="0"/>
    <n v="15955.31"/>
    <s v="Model S"/>
    <x v="0"/>
    <x v="0"/>
    <x v="11"/>
    <n v="0.11"/>
    <x v="0"/>
  </r>
  <r>
    <n v="1407"/>
    <x v="4"/>
    <n v="2001"/>
    <x v="38"/>
    <x v="0"/>
    <n v="149102"/>
    <x v="0"/>
    <n v="26632.41"/>
    <s v="Accord"/>
    <x v="2"/>
    <x v="0"/>
    <x v="10"/>
    <n v="0.18"/>
    <x v="1"/>
  </r>
  <r>
    <n v="1408"/>
    <x v="6"/>
    <n v="2008"/>
    <x v="48"/>
    <x v="1"/>
    <n v="3420"/>
    <x v="2"/>
    <n v="14395.92"/>
    <s v="Corolla"/>
    <x v="0"/>
    <x v="2"/>
    <x v="22"/>
    <n v="4.21"/>
    <x v="1"/>
  </r>
  <r>
    <n v="1409"/>
    <x v="5"/>
    <n v="2009"/>
    <x v="40"/>
    <x v="0"/>
    <n v="178725"/>
    <x v="1"/>
    <n v="46174.22"/>
    <s v="C-Class"/>
    <x v="1"/>
    <x v="1"/>
    <x v="4"/>
    <n v="0.26"/>
    <x v="0"/>
  </r>
  <r>
    <n v="1410"/>
    <x v="3"/>
    <n v="2001"/>
    <x v="36"/>
    <x v="1"/>
    <n v="16740"/>
    <x v="2"/>
    <n v="16981.03"/>
    <s v="Mustang"/>
    <x v="2"/>
    <x v="2"/>
    <x v="10"/>
    <n v="1.01"/>
    <x v="1"/>
  </r>
  <r>
    <n v="1411"/>
    <x v="2"/>
    <n v="2018"/>
    <x v="6"/>
    <x v="1"/>
    <n v="105789"/>
    <x v="2"/>
    <n v="46543.12"/>
    <s v="Q7"/>
    <x v="2"/>
    <x v="0"/>
    <x v="1"/>
    <n v="0.44"/>
    <x v="0"/>
  </r>
  <r>
    <n v="1412"/>
    <x v="5"/>
    <n v="2010"/>
    <x v="14"/>
    <x v="1"/>
    <n v="19465"/>
    <x v="0"/>
    <n v="74549.33"/>
    <s v="E-Class"/>
    <x v="1"/>
    <x v="2"/>
    <x v="9"/>
    <n v="3.83"/>
    <x v="0"/>
  </r>
  <r>
    <n v="1413"/>
    <x v="6"/>
    <n v="2012"/>
    <x v="10"/>
    <x v="1"/>
    <n v="4131"/>
    <x v="0"/>
    <n v="69921.919999999998"/>
    <s v="Corolla"/>
    <x v="1"/>
    <x v="2"/>
    <x v="15"/>
    <n v="16.93"/>
    <x v="1"/>
  </r>
  <r>
    <n v="1414"/>
    <x v="5"/>
    <n v="2009"/>
    <x v="48"/>
    <x v="0"/>
    <n v="10652"/>
    <x v="2"/>
    <n v="31643.75"/>
    <s v="E-Class"/>
    <x v="3"/>
    <x v="2"/>
    <x v="4"/>
    <n v="2.97"/>
    <x v="0"/>
  </r>
  <r>
    <n v="1415"/>
    <x v="3"/>
    <n v="2013"/>
    <x v="45"/>
    <x v="0"/>
    <n v="218115"/>
    <x v="1"/>
    <n v="69007.44"/>
    <s v="Fiesta"/>
    <x v="0"/>
    <x v="1"/>
    <x v="2"/>
    <n v="0.32"/>
    <x v="1"/>
  </r>
  <r>
    <n v="1416"/>
    <x v="0"/>
    <n v="2017"/>
    <x v="14"/>
    <x v="1"/>
    <n v="245289"/>
    <x v="1"/>
    <n v="93132.65"/>
    <s v="Model Y"/>
    <x v="0"/>
    <x v="1"/>
    <x v="7"/>
    <n v="0.38"/>
    <x v="0"/>
  </r>
  <r>
    <n v="1417"/>
    <x v="6"/>
    <n v="2018"/>
    <x v="28"/>
    <x v="0"/>
    <n v="89342"/>
    <x v="2"/>
    <n v="38014.82"/>
    <s v="Corolla"/>
    <x v="2"/>
    <x v="0"/>
    <x v="1"/>
    <n v="0.43"/>
    <x v="1"/>
  </r>
  <r>
    <n v="1418"/>
    <x v="5"/>
    <n v="2021"/>
    <x v="11"/>
    <x v="1"/>
    <n v="281315"/>
    <x v="2"/>
    <n v="36266.32"/>
    <s v="C-Class"/>
    <x v="1"/>
    <x v="1"/>
    <x v="20"/>
    <n v="0.13"/>
    <x v="0"/>
  </r>
  <r>
    <n v="1419"/>
    <x v="2"/>
    <n v="2008"/>
    <x v="16"/>
    <x v="1"/>
    <n v="217201"/>
    <x v="1"/>
    <n v="59286.67"/>
    <s v="A3"/>
    <x v="3"/>
    <x v="1"/>
    <x v="22"/>
    <n v="0.27"/>
    <x v="0"/>
  </r>
  <r>
    <n v="1420"/>
    <x v="2"/>
    <n v="2006"/>
    <x v="36"/>
    <x v="0"/>
    <n v="259820"/>
    <x v="1"/>
    <n v="28322.67"/>
    <s v="A4"/>
    <x v="2"/>
    <x v="1"/>
    <x v="11"/>
    <n v="0.11"/>
    <x v="0"/>
  </r>
  <r>
    <n v="1421"/>
    <x v="4"/>
    <n v="2002"/>
    <x v="39"/>
    <x v="0"/>
    <n v="186764"/>
    <x v="1"/>
    <n v="66900"/>
    <s v="Accord"/>
    <x v="0"/>
    <x v="1"/>
    <x v="23"/>
    <n v="0.36"/>
    <x v="1"/>
  </r>
  <r>
    <n v="1422"/>
    <x v="5"/>
    <n v="2019"/>
    <x v="45"/>
    <x v="1"/>
    <n v="58541"/>
    <x v="2"/>
    <n v="84064.87"/>
    <s v="C-Class"/>
    <x v="1"/>
    <x v="0"/>
    <x v="5"/>
    <n v="1.44"/>
    <x v="0"/>
  </r>
  <r>
    <n v="1423"/>
    <x v="1"/>
    <n v="2005"/>
    <x v="0"/>
    <x v="0"/>
    <n v="9470"/>
    <x v="0"/>
    <n v="48635.26"/>
    <s v="X3"/>
    <x v="3"/>
    <x v="2"/>
    <x v="14"/>
    <n v="5.14"/>
    <x v="0"/>
  </r>
  <r>
    <n v="1424"/>
    <x v="5"/>
    <n v="2020"/>
    <x v="2"/>
    <x v="1"/>
    <n v="192416"/>
    <x v="1"/>
    <n v="69553.2"/>
    <s v="E-Class"/>
    <x v="0"/>
    <x v="1"/>
    <x v="6"/>
    <n v="0.36"/>
    <x v="0"/>
  </r>
  <r>
    <n v="1425"/>
    <x v="0"/>
    <n v="2001"/>
    <x v="45"/>
    <x v="0"/>
    <n v="44308"/>
    <x v="1"/>
    <n v="66929.119999999995"/>
    <s v="Model 3"/>
    <x v="0"/>
    <x v="2"/>
    <x v="10"/>
    <n v="1.51"/>
    <x v="0"/>
  </r>
  <r>
    <n v="1426"/>
    <x v="6"/>
    <n v="2005"/>
    <x v="31"/>
    <x v="0"/>
    <n v="135669"/>
    <x v="1"/>
    <n v="8673.23"/>
    <s v="Camry"/>
    <x v="2"/>
    <x v="0"/>
    <x v="14"/>
    <n v="0.06"/>
    <x v="1"/>
  </r>
  <r>
    <n v="1427"/>
    <x v="6"/>
    <n v="2002"/>
    <x v="11"/>
    <x v="0"/>
    <n v="102840"/>
    <x v="2"/>
    <n v="22424.55"/>
    <s v="Corolla"/>
    <x v="0"/>
    <x v="0"/>
    <x v="23"/>
    <n v="0.22"/>
    <x v="1"/>
  </r>
  <r>
    <n v="1428"/>
    <x v="0"/>
    <n v="2015"/>
    <x v="3"/>
    <x v="0"/>
    <n v="161860"/>
    <x v="0"/>
    <n v="89885.35"/>
    <s v="Model S"/>
    <x v="0"/>
    <x v="1"/>
    <x v="16"/>
    <n v="0.56000000000000005"/>
    <x v="0"/>
  </r>
  <r>
    <n v="1429"/>
    <x v="5"/>
    <n v="2007"/>
    <x v="48"/>
    <x v="0"/>
    <n v="49477"/>
    <x v="0"/>
    <n v="94194.75"/>
    <s v="GLC"/>
    <x v="0"/>
    <x v="2"/>
    <x v="17"/>
    <n v="1.9"/>
    <x v="0"/>
  </r>
  <r>
    <n v="1430"/>
    <x v="0"/>
    <n v="2001"/>
    <x v="47"/>
    <x v="1"/>
    <n v="108261"/>
    <x v="1"/>
    <n v="79141.77"/>
    <s v="Model Y"/>
    <x v="0"/>
    <x v="0"/>
    <x v="10"/>
    <n v="0.73"/>
    <x v="0"/>
  </r>
  <r>
    <n v="1431"/>
    <x v="3"/>
    <n v="2016"/>
    <x v="0"/>
    <x v="0"/>
    <n v="102466"/>
    <x v="2"/>
    <n v="92518.57"/>
    <s v="Focus"/>
    <x v="0"/>
    <x v="0"/>
    <x v="0"/>
    <n v="0.9"/>
    <x v="1"/>
  </r>
  <r>
    <n v="1432"/>
    <x v="0"/>
    <n v="2008"/>
    <x v="40"/>
    <x v="0"/>
    <n v="295215"/>
    <x v="0"/>
    <n v="34084.120000000003"/>
    <s v="Model S"/>
    <x v="0"/>
    <x v="1"/>
    <x v="22"/>
    <n v="0.12"/>
    <x v="0"/>
  </r>
  <r>
    <n v="1433"/>
    <x v="2"/>
    <n v="2011"/>
    <x v="6"/>
    <x v="1"/>
    <n v="70560"/>
    <x v="2"/>
    <n v="28532.54"/>
    <s v="A4"/>
    <x v="2"/>
    <x v="0"/>
    <x v="3"/>
    <n v="0.4"/>
    <x v="0"/>
  </r>
  <r>
    <n v="1434"/>
    <x v="0"/>
    <n v="2002"/>
    <x v="34"/>
    <x v="1"/>
    <n v="255392"/>
    <x v="0"/>
    <n v="41508.519999999997"/>
    <s v="Model Y"/>
    <x v="0"/>
    <x v="1"/>
    <x v="23"/>
    <n v="0.16"/>
    <x v="0"/>
  </r>
  <r>
    <n v="1435"/>
    <x v="6"/>
    <n v="2010"/>
    <x v="5"/>
    <x v="1"/>
    <n v="261278"/>
    <x v="1"/>
    <n v="10257.49"/>
    <s v="Prius"/>
    <x v="3"/>
    <x v="1"/>
    <x v="9"/>
    <n v="0.04"/>
    <x v="1"/>
  </r>
  <r>
    <n v="1436"/>
    <x v="2"/>
    <n v="2000"/>
    <x v="22"/>
    <x v="0"/>
    <n v="166471"/>
    <x v="2"/>
    <n v="81937.8"/>
    <s v="A3"/>
    <x v="3"/>
    <x v="1"/>
    <x v="18"/>
    <n v="0.49"/>
    <x v="0"/>
  </r>
  <r>
    <n v="1437"/>
    <x v="6"/>
    <n v="2022"/>
    <x v="42"/>
    <x v="0"/>
    <n v="244413"/>
    <x v="1"/>
    <n v="98496.67"/>
    <s v="RAV4"/>
    <x v="2"/>
    <x v="1"/>
    <x v="13"/>
    <n v="0.4"/>
    <x v="1"/>
  </r>
  <r>
    <n v="1438"/>
    <x v="4"/>
    <n v="2012"/>
    <x v="5"/>
    <x v="1"/>
    <n v="188511"/>
    <x v="0"/>
    <n v="83282.78"/>
    <s v="Accord"/>
    <x v="2"/>
    <x v="1"/>
    <x v="15"/>
    <n v="0.44"/>
    <x v="1"/>
  </r>
  <r>
    <n v="1439"/>
    <x v="1"/>
    <n v="2014"/>
    <x v="11"/>
    <x v="1"/>
    <n v="2369"/>
    <x v="0"/>
    <n v="57722.66"/>
    <s v="X5"/>
    <x v="1"/>
    <x v="2"/>
    <x v="12"/>
    <n v="24.37"/>
    <x v="0"/>
  </r>
  <r>
    <n v="1440"/>
    <x v="6"/>
    <n v="2004"/>
    <x v="16"/>
    <x v="1"/>
    <n v="228629"/>
    <x v="1"/>
    <n v="33051.79"/>
    <s v="Prius"/>
    <x v="3"/>
    <x v="1"/>
    <x v="19"/>
    <n v="0.14000000000000001"/>
    <x v="1"/>
  </r>
  <r>
    <n v="1441"/>
    <x v="2"/>
    <n v="2020"/>
    <x v="14"/>
    <x v="1"/>
    <n v="262672"/>
    <x v="0"/>
    <n v="23781.3"/>
    <s v="Q5"/>
    <x v="2"/>
    <x v="1"/>
    <x v="6"/>
    <n v="0.09"/>
    <x v="0"/>
  </r>
  <r>
    <n v="1442"/>
    <x v="4"/>
    <n v="2016"/>
    <x v="8"/>
    <x v="0"/>
    <n v="108806"/>
    <x v="1"/>
    <n v="39585.97"/>
    <s v="CR-V"/>
    <x v="1"/>
    <x v="0"/>
    <x v="0"/>
    <n v="0.36"/>
    <x v="1"/>
  </r>
  <r>
    <n v="1443"/>
    <x v="6"/>
    <n v="2022"/>
    <x v="20"/>
    <x v="0"/>
    <n v="161386"/>
    <x v="1"/>
    <n v="68362.11"/>
    <s v="Camry"/>
    <x v="1"/>
    <x v="1"/>
    <x v="13"/>
    <n v="0.42"/>
    <x v="1"/>
  </r>
  <r>
    <n v="1444"/>
    <x v="3"/>
    <n v="2023"/>
    <x v="48"/>
    <x v="0"/>
    <n v="102979"/>
    <x v="1"/>
    <n v="47470.85"/>
    <s v="Explorer"/>
    <x v="2"/>
    <x v="0"/>
    <x v="8"/>
    <n v="0.46"/>
    <x v="1"/>
  </r>
  <r>
    <n v="1445"/>
    <x v="0"/>
    <n v="2005"/>
    <x v="9"/>
    <x v="0"/>
    <n v="281892"/>
    <x v="0"/>
    <n v="93735.679999999993"/>
    <s v="Model Y"/>
    <x v="0"/>
    <x v="1"/>
    <x v="14"/>
    <n v="0.33"/>
    <x v="0"/>
  </r>
  <r>
    <n v="1446"/>
    <x v="1"/>
    <n v="2020"/>
    <x v="3"/>
    <x v="0"/>
    <n v="35109"/>
    <x v="2"/>
    <n v="86150.93"/>
    <s v="3 Series"/>
    <x v="0"/>
    <x v="2"/>
    <x v="6"/>
    <n v="2.4500000000000002"/>
    <x v="0"/>
  </r>
  <r>
    <n v="1447"/>
    <x v="6"/>
    <n v="2021"/>
    <x v="45"/>
    <x v="1"/>
    <n v="13919"/>
    <x v="1"/>
    <n v="14728.06"/>
    <s v="Camry"/>
    <x v="0"/>
    <x v="2"/>
    <x v="20"/>
    <n v="1.06"/>
    <x v="1"/>
  </r>
  <r>
    <n v="1448"/>
    <x v="4"/>
    <n v="2010"/>
    <x v="15"/>
    <x v="0"/>
    <n v="211864"/>
    <x v="2"/>
    <n v="17494.900000000001"/>
    <s v="Fit"/>
    <x v="1"/>
    <x v="1"/>
    <x v="9"/>
    <n v="0.08"/>
    <x v="1"/>
  </r>
  <r>
    <n v="1449"/>
    <x v="3"/>
    <n v="2017"/>
    <x v="34"/>
    <x v="1"/>
    <n v="70441"/>
    <x v="0"/>
    <n v="69242.720000000001"/>
    <s v="Focus"/>
    <x v="0"/>
    <x v="0"/>
    <x v="7"/>
    <n v="0.98"/>
    <x v="1"/>
  </r>
  <r>
    <n v="1450"/>
    <x v="5"/>
    <n v="2003"/>
    <x v="37"/>
    <x v="1"/>
    <n v="66896"/>
    <x v="0"/>
    <n v="26923"/>
    <s v="E-Class"/>
    <x v="0"/>
    <x v="0"/>
    <x v="21"/>
    <n v="0.4"/>
    <x v="0"/>
  </r>
  <r>
    <n v="1451"/>
    <x v="4"/>
    <n v="2002"/>
    <x v="13"/>
    <x v="1"/>
    <n v="103431"/>
    <x v="2"/>
    <n v="80147.839999999997"/>
    <s v="Accord"/>
    <x v="2"/>
    <x v="0"/>
    <x v="23"/>
    <n v="0.77"/>
    <x v="1"/>
  </r>
  <r>
    <n v="1452"/>
    <x v="0"/>
    <n v="2012"/>
    <x v="16"/>
    <x v="0"/>
    <n v="47020"/>
    <x v="1"/>
    <n v="61179.02"/>
    <s v="Model Y"/>
    <x v="0"/>
    <x v="2"/>
    <x v="15"/>
    <n v="1.3"/>
    <x v="0"/>
  </r>
  <r>
    <n v="1453"/>
    <x v="4"/>
    <n v="2022"/>
    <x v="7"/>
    <x v="1"/>
    <n v="205338"/>
    <x v="0"/>
    <n v="26833.9"/>
    <s v="CR-V"/>
    <x v="3"/>
    <x v="1"/>
    <x v="13"/>
    <n v="0.13"/>
    <x v="1"/>
  </r>
  <r>
    <n v="1454"/>
    <x v="3"/>
    <n v="2008"/>
    <x v="14"/>
    <x v="0"/>
    <n v="284305"/>
    <x v="1"/>
    <n v="50475.25"/>
    <s v="Focus"/>
    <x v="1"/>
    <x v="1"/>
    <x v="22"/>
    <n v="0.18"/>
    <x v="1"/>
  </r>
  <r>
    <n v="1455"/>
    <x v="4"/>
    <n v="2020"/>
    <x v="37"/>
    <x v="1"/>
    <n v="27738"/>
    <x v="1"/>
    <n v="43577.25"/>
    <s v="CR-V"/>
    <x v="2"/>
    <x v="2"/>
    <x v="6"/>
    <n v="1.57"/>
    <x v="1"/>
  </r>
  <r>
    <n v="1456"/>
    <x v="3"/>
    <n v="2005"/>
    <x v="6"/>
    <x v="0"/>
    <n v="134997"/>
    <x v="2"/>
    <n v="87950.14"/>
    <s v="Fiesta"/>
    <x v="0"/>
    <x v="0"/>
    <x v="14"/>
    <n v="0.65"/>
    <x v="1"/>
  </r>
  <r>
    <n v="1457"/>
    <x v="6"/>
    <n v="2011"/>
    <x v="32"/>
    <x v="1"/>
    <n v="57153"/>
    <x v="0"/>
    <n v="8055.44"/>
    <s v="Corolla"/>
    <x v="3"/>
    <x v="0"/>
    <x v="3"/>
    <n v="0.14000000000000001"/>
    <x v="1"/>
  </r>
  <r>
    <n v="1458"/>
    <x v="3"/>
    <n v="2001"/>
    <x v="40"/>
    <x v="0"/>
    <n v="214020"/>
    <x v="2"/>
    <n v="90105.17"/>
    <s v="Fiesta"/>
    <x v="1"/>
    <x v="1"/>
    <x v="10"/>
    <n v="0.42"/>
    <x v="1"/>
  </r>
  <r>
    <n v="1459"/>
    <x v="3"/>
    <n v="2002"/>
    <x v="11"/>
    <x v="1"/>
    <n v="61009"/>
    <x v="0"/>
    <n v="66947.850000000006"/>
    <s v="Mustang"/>
    <x v="0"/>
    <x v="0"/>
    <x v="23"/>
    <n v="1.1000000000000001"/>
    <x v="1"/>
  </r>
  <r>
    <n v="1460"/>
    <x v="1"/>
    <n v="2002"/>
    <x v="24"/>
    <x v="1"/>
    <n v="172624"/>
    <x v="2"/>
    <n v="75066.13"/>
    <s v="5 Series"/>
    <x v="1"/>
    <x v="1"/>
    <x v="23"/>
    <n v="0.43"/>
    <x v="0"/>
  </r>
  <r>
    <n v="1461"/>
    <x v="3"/>
    <n v="2011"/>
    <x v="14"/>
    <x v="1"/>
    <n v="271941"/>
    <x v="0"/>
    <n v="5247.71"/>
    <s v="Mustang"/>
    <x v="3"/>
    <x v="1"/>
    <x v="3"/>
    <n v="0.02"/>
    <x v="1"/>
  </r>
  <r>
    <n v="1462"/>
    <x v="3"/>
    <n v="2014"/>
    <x v="20"/>
    <x v="1"/>
    <n v="71942"/>
    <x v="0"/>
    <n v="64682.75"/>
    <s v="Focus"/>
    <x v="1"/>
    <x v="0"/>
    <x v="12"/>
    <n v="0.9"/>
    <x v="1"/>
  </r>
  <r>
    <n v="1463"/>
    <x v="5"/>
    <n v="2008"/>
    <x v="0"/>
    <x v="0"/>
    <n v="118065"/>
    <x v="0"/>
    <n v="60906.19"/>
    <s v="E-Class"/>
    <x v="1"/>
    <x v="0"/>
    <x v="22"/>
    <n v="0.52"/>
    <x v="0"/>
  </r>
  <r>
    <n v="1464"/>
    <x v="6"/>
    <n v="2022"/>
    <x v="13"/>
    <x v="0"/>
    <n v="276109"/>
    <x v="1"/>
    <n v="56034.53"/>
    <s v="Prius"/>
    <x v="1"/>
    <x v="1"/>
    <x v="13"/>
    <n v="0.2"/>
    <x v="1"/>
  </r>
  <r>
    <n v="1465"/>
    <x v="0"/>
    <n v="2007"/>
    <x v="27"/>
    <x v="0"/>
    <n v="275877"/>
    <x v="1"/>
    <n v="79657.350000000006"/>
    <s v="Model S"/>
    <x v="0"/>
    <x v="1"/>
    <x v="17"/>
    <n v="0.28999999999999998"/>
    <x v="0"/>
  </r>
  <r>
    <n v="1466"/>
    <x v="1"/>
    <n v="2010"/>
    <x v="41"/>
    <x v="1"/>
    <n v="157998"/>
    <x v="2"/>
    <n v="57807.75"/>
    <s v="X5"/>
    <x v="3"/>
    <x v="1"/>
    <x v="9"/>
    <n v="0.37"/>
    <x v="0"/>
  </r>
  <r>
    <n v="1467"/>
    <x v="5"/>
    <n v="2015"/>
    <x v="45"/>
    <x v="1"/>
    <n v="159855"/>
    <x v="2"/>
    <n v="86424.23"/>
    <s v="C-Class"/>
    <x v="3"/>
    <x v="1"/>
    <x v="16"/>
    <n v="0.54"/>
    <x v="0"/>
  </r>
  <r>
    <n v="1468"/>
    <x v="2"/>
    <n v="2021"/>
    <x v="14"/>
    <x v="1"/>
    <n v="83360"/>
    <x v="0"/>
    <n v="27099.99"/>
    <s v="Q7"/>
    <x v="0"/>
    <x v="0"/>
    <x v="20"/>
    <n v="0.33"/>
    <x v="0"/>
  </r>
  <r>
    <n v="1469"/>
    <x v="6"/>
    <n v="2003"/>
    <x v="40"/>
    <x v="1"/>
    <n v="167466"/>
    <x v="0"/>
    <n v="81568.350000000006"/>
    <s v="Prius"/>
    <x v="0"/>
    <x v="1"/>
    <x v="21"/>
    <n v="0.49"/>
    <x v="1"/>
  </r>
  <r>
    <n v="1470"/>
    <x v="6"/>
    <n v="2000"/>
    <x v="3"/>
    <x v="1"/>
    <n v="195868"/>
    <x v="1"/>
    <n v="22034.71"/>
    <s v="Camry"/>
    <x v="0"/>
    <x v="1"/>
    <x v="18"/>
    <n v="0.11"/>
    <x v="1"/>
  </r>
  <r>
    <n v="1471"/>
    <x v="2"/>
    <n v="2023"/>
    <x v="30"/>
    <x v="1"/>
    <n v="290431"/>
    <x v="1"/>
    <n v="82246.19"/>
    <s v="A4"/>
    <x v="2"/>
    <x v="1"/>
    <x v="8"/>
    <n v="0.28000000000000003"/>
    <x v="0"/>
  </r>
  <r>
    <n v="1472"/>
    <x v="0"/>
    <n v="2006"/>
    <x v="30"/>
    <x v="0"/>
    <n v="82104"/>
    <x v="1"/>
    <n v="94344.03"/>
    <s v="Model 3"/>
    <x v="0"/>
    <x v="0"/>
    <x v="11"/>
    <n v="1.1499999999999999"/>
    <x v="0"/>
  </r>
  <r>
    <n v="1473"/>
    <x v="3"/>
    <n v="2001"/>
    <x v="20"/>
    <x v="0"/>
    <n v="161508"/>
    <x v="2"/>
    <n v="36890.94"/>
    <s v="Explorer"/>
    <x v="1"/>
    <x v="1"/>
    <x v="10"/>
    <n v="0.23"/>
    <x v="1"/>
  </r>
  <r>
    <n v="1474"/>
    <x v="5"/>
    <n v="2023"/>
    <x v="34"/>
    <x v="0"/>
    <n v="221404"/>
    <x v="1"/>
    <n v="55339.199999999997"/>
    <s v="GLC"/>
    <x v="3"/>
    <x v="1"/>
    <x v="8"/>
    <n v="0.25"/>
    <x v="0"/>
  </r>
  <r>
    <n v="1475"/>
    <x v="4"/>
    <n v="2004"/>
    <x v="28"/>
    <x v="0"/>
    <n v="265332"/>
    <x v="2"/>
    <n v="67541.259999999995"/>
    <s v="Fit"/>
    <x v="1"/>
    <x v="1"/>
    <x v="19"/>
    <n v="0.25"/>
    <x v="1"/>
  </r>
  <r>
    <n v="1476"/>
    <x v="1"/>
    <n v="2006"/>
    <x v="5"/>
    <x v="0"/>
    <n v="91205"/>
    <x v="1"/>
    <n v="12549.81"/>
    <s v="5 Series"/>
    <x v="2"/>
    <x v="0"/>
    <x v="11"/>
    <n v="0.14000000000000001"/>
    <x v="0"/>
  </r>
  <r>
    <n v="1477"/>
    <x v="4"/>
    <n v="2003"/>
    <x v="15"/>
    <x v="0"/>
    <n v="232321"/>
    <x v="1"/>
    <n v="51937.67"/>
    <s v="Civic"/>
    <x v="0"/>
    <x v="1"/>
    <x v="21"/>
    <n v="0.22"/>
    <x v="1"/>
  </r>
  <r>
    <n v="1478"/>
    <x v="2"/>
    <n v="2004"/>
    <x v="32"/>
    <x v="0"/>
    <n v="137837"/>
    <x v="0"/>
    <n v="39255.57"/>
    <s v="A3"/>
    <x v="3"/>
    <x v="0"/>
    <x v="19"/>
    <n v="0.28000000000000003"/>
    <x v="0"/>
  </r>
  <r>
    <n v="1479"/>
    <x v="6"/>
    <n v="2023"/>
    <x v="16"/>
    <x v="0"/>
    <n v="219779"/>
    <x v="2"/>
    <n v="87883.28"/>
    <s v="RAV4"/>
    <x v="3"/>
    <x v="1"/>
    <x v="8"/>
    <n v="0.4"/>
    <x v="1"/>
  </r>
  <r>
    <n v="1480"/>
    <x v="0"/>
    <n v="2000"/>
    <x v="26"/>
    <x v="1"/>
    <n v="141879"/>
    <x v="1"/>
    <n v="88284.55"/>
    <s v="Model S"/>
    <x v="0"/>
    <x v="0"/>
    <x v="18"/>
    <n v="0.62"/>
    <x v="0"/>
  </r>
  <r>
    <n v="1481"/>
    <x v="6"/>
    <n v="2000"/>
    <x v="38"/>
    <x v="1"/>
    <n v="10204"/>
    <x v="0"/>
    <n v="71574.06"/>
    <s v="Prius"/>
    <x v="3"/>
    <x v="2"/>
    <x v="18"/>
    <n v="7.01"/>
    <x v="1"/>
  </r>
  <r>
    <n v="1482"/>
    <x v="1"/>
    <n v="2014"/>
    <x v="31"/>
    <x v="1"/>
    <n v="223674"/>
    <x v="2"/>
    <n v="67293.83"/>
    <s v="X5"/>
    <x v="0"/>
    <x v="1"/>
    <x v="12"/>
    <n v="0.3"/>
    <x v="0"/>
  </r>
  <r>
    <n v="1483"/>
    <x v="6"/>
    <n v="2019"/>
    <x v="8"/>
    <x v="1"/>
    <n v="189016"/>
    <x v="2"/>
    <n v="74700.399999999994"/>
    <s v="Corolla"/>
    <x v="3"/>
    <x v="1"/>
    <x v="5"/>
    <n v="0.4"/>
    <x v="1"/>
  </r>
  <r>
    <n v="1484"/>
    <x v="6"/>
    <n v="2018"/>
    <x v="16"/>
    <x v="1"/>
    <n v="102903"/>
    <x v="1"/>
    <n v="39768.76"/>
    <s v="Prius"/>
    <x v="0"/>
    <x v="0"/>
    <x v="1"/>
    <n v="0.39"/>
    <x v="1"/>
  </r>
  <r>
    <n v="1485"/>
    <x v="1"/>
    <n v="2009"/>
    <x v="10"/>
    <x v="1"/>
    <n v="299225"/>
    <x v="2"/>
    <n v="43429.33"/>
    <s v="X3"/>
    <x v="2"/>
    <x v="1"/>
    <x v="4"/>
    <n v="0.15"/>
    <x v="0"/>
  </r>
  <r>
    <n v="1486"/>
    <x v="5"/>
    <n v="2017"/>
    <x v="12"/>
    <x v="1"/>
    <n v="256687"/>
    <x v="0"/>
    <n v="57601.95"/>
    <s v="E-Class"/>
    <x v="2"/>
    <x v="1"/>
    <x v="7"/>
    <n v="0.22"/>
    <x v="0"/>
  </r>
  <r>
    <n v="1487"/>
    <x v="5"/>
    <n v="2002"/>
    <x v="17"/>
    <x v="0"/>
    <n v="34986"/>
    <x v="0"/>
    <n v="94112.67"/>
    <s v="C-Class"/>
    <x v="0"/>
    <x v="2"/>
    <x v="23"/>
    <n v="2.69"/>
    <x v="0"/>
  </r>
  <r>
    <n v="1488"/>
    <x v="1"/>
    <n v="2010"/>
    <x v="45"/>
    <x v="0"/>
    <n v="50304"/>
    <x v="2"/>
    <n v="73779.990000000005"/>
    <s v="3 Series"/>
    <x v="1"/>
    <x v="0"/>
    <x v="9"/>
    <n v="1.47"/>
    <x v="0"/>
  </r>
  <r>
    <n v="1489"/>
    <x v="0"/>
    <n v="2014"/>
    <x v="38"/>
    <x v="1"/>
    <n v="39986"/>
    <x v="0"/>
    <n v="57343.98"/>
    <s v="Model S"/>
    <x v="0"/>
    <x v="2"/>
    <x v="12"/>
    <n v="1.43"/>
    <x v="0"/>
  </r>
  <r>
    <n v="1490"/>
    <x v="2"/>
    <n v="2010"/>
    <x v="1"/>
    <x v="0"/>
    <n v="91594"/>
    <x v="2"/>
    <n v="78189.240000000005"/>
    <s v="A3"/>
    <x v="1"/>
    <x v="0"/>
    <x v="9"/>
    <n v="0.85"/>
    <x v="0"/>
  </r>
  <r>
    <n v="1491"/>
    <x v="6"/>
    <n v="2016"/>
    <x v="8"/>
    <x v="0"/>
    <n v="66151"/>
    <x v="0"/>
    <n v="40234.58"/>
    <s v="Camry"/>
    <x v="3"/>
    <x v="0"/>
    <x v="0"/>
    <n v="0.61"/>
    <x v="1"/>
  </r>
  <r>
    <n v="1492"/>
    <x v="0"/>
    <n v="2016"/>
    <x v="49"/>
    <x v="0"/>
    <n v="290358"/>
    <x v="2"/>
    <n v="74394.34"/>
    <s v="Model S"/>
    <x v="0"/>
    <x v="1"/>
    <x v="0"/>
    <n v="0.26"/>
    <x v="0"/>
  </r>
  <r>
    <n v="1493"/>
    <x v="6"/>
    <n v="2005"/>
    <x v="25"/>
    <x v="0"/>
    <n v="173620"/>
    <x v="2"/>
    <n v="44014.239999999998"/>
    <s v="Prius"/>
    <x v="2"/>
    <x v="1"/>
    <x v="14"/>
    <n v="0.25"/>
    <x v="1"/>
  </r>
  <r>
    <n v="1494"/>
    <x v="2"/>
    <n v="2004"/>
    <x v="5"/>
    <x v="0"/>
    <n v="141753"/>
    <x v="2"/>
    <n v="31567.83"/>
    <s v="Q7"/>
    <x v="2"/>
    <x v="0"/>
    <x v="19"/>
    <n v="0.22"/>
    <x v="0"/>
  </r>
  <r>
    <n v="1495"/>
    <x v="5"/>
    <n v="2007"/>
    <x v="12"/>
    <x v="1"/>
    <n v="138056"/>
    <x v="0"/>
    <n v="62923.78"/>
    <s v="C-Class"/>
    <x v="3"/>
    <x v="0"/>
    <x v="17"/>
    <n v="0.46"/>
    <x v="0"/>
  </r>
  <r>
    <n v="1496"/>
    <x v="0"/>
    <n v="2001"/>
    <x v="50"/>
    <x v="0"/>
    <n v="158651"/>
    <x v="2"/>
    <n v="70253.37"/>
    <s v="Model X"/>
    <x v="0"/>
    <x v="1"/>
    <x v="10"/>
    <n v="0.44"/>
    <x v="0"/>
  </r>
  <r>
    <n v="1497"/>
    <x v="3"/>
    <n v="2015"/>
    <x v="27"/>
    <x v="1"/>
    <n v="234347"/>
    <x v="2"/>
    <n v="48632.89"/>
    <s v="Focus"/>
    <x v="2"/>
    <x v="1"/>
    <x v="16"/>
    <n v="0.21"/>
    <x v="1"/>
  </r>
  <r>
    <n v="1498"/>
    <x v="3"/>
    <n v="2019"/>
    <x v="37"/>
    <x v="1"/>
    <n v="186005"/>
    <x v="1"/>
    <n v="58722.57"/>
    <s v="Fiesta"/>
    <x v="2"/>
    <x v="1"/>
    <x v="5"/>
    <n v="0.32"/>
    <x v="1"/>
  </r>
  <r>
    <n v="1499"/>
    <x v="3"/>
    <n v="2023"/>
    <x v="0"/>
    <x v="1"/>
    <n v="162553"/>
    <x v="1"/>
    <n v="70936.28"/>
    <s v="Fiesta"/>
    <x v="2"/>
    <x v="1"/>
    <x v="8"/>
    <n v="0.44"/>
    <x v="1"/>
  </r>
  <r>
    <n v="1500"/>
    <x v="5"/>
    <n v="2011"/>
    <x v="28"/>
    <x v="0"/>
    <n v="944"/>
    <x v="2"/>
    <n v="77932.45"/>
    <s v="C-Class"/>
    <x v="1"/>
    <x v="2"/>
    <x v="3"/>
    <n v="82.56"/>
    <x v="0"/>
  </r>
  <r>
    <n v="1501"/>
    <x v="5"/>
    <n v="2005"/>
    <x v="47"/>
    <x v="1"/>
    <n v="93993"/>
    <x v="1"/>
    <n v="90079.29"/>
    <s v="GLC"/>
    <x v="2"/>
    <x v="0"/>
    <x v="14"/>
    <n v="0.96"/>
    <x v="0"/>
  </r>
  <r>
    <n v="1502"/>
    <x v="2"/>
    <n v="2000"/>
    <x v="7"/>
    <x v="1"/>
    <n v="271258"/>
    <x v="2"/>
    <n v="38681.699999999997"/>
    <s v="A3"/>
    <x v="2"/>
    <x v="1"/>
    <x v="18"/>
    <n v="0.14000000000000001"/>
    <x v="0"/>
  </r>
  <r>
    <n v="1503"/>
    <x v="6"/>
    <n v="2003"/>
    <x v="42"/>
    <x v="1"/>
    <n v="214738"/>
    <x v="1"/>
    <n v="95390.34"/>
    <s v="Camry"/>
    <x v="1"/>
    <x v="1"/>
    <x v="21"/>
    <n v="0.44"/>
    <x v="1"/>
  </r>
  <r>
    <n v="1504"/>
    <x v="2"/>
    <n v="2016"/>
    <x v="1"/>
    <x v="1"/>
    <n v="208920"/>
    <x v="0"/>
    <n v="65541.58"/>
    <s v="A4"/>
    <x v="1"/>
    <x v="1"/>
    <x v="0"/>
    <n v="0.31"/>
    <x v="0"/>
  </r>
  <r>
    <n v="1505"/>
    <x v="2"/>
    <n v="2012"/>
    <x v="27"/>
    <x v="0"/>
    <n v="256805"/>
    <x v="0"/>
    <n v="79831.679999999993"/>
    <s v="A3"/>
    <x v="3"/>
    <x v="1"/>
    <x v="15"/>
    <n v="0.31"/>
    <x v="0"/>
  </r>
  <r>
    <n v="1506"/>
    <x v="5"/>
    <n v="2017"/>
    <x v="43"/>
    <x v="1"/>
    <n v="294740"/>
    <x v="2"/>
    <n v="71478.06"/>
    <s v="GLC"/>
    <x v="0"/>
    <x v="1"/>
    <x v="7"/>
    <n v="0.24"/>
    <x v="0"/>
  </r>
  <r>
    <n v="1507"/>
    <x v="3"/>
    <n v="2004"/>
    <x v="43"/>
    <x v="1"/>
    <n v="104087"/>
    <x v="2"/>
    <n v="24529.31"/>
    <s v="Focus"/>
    <x v="2"/>
    <x v="0"/>
    <x v="19"/>
    <n v="0.24"/>
    <x v="1"/>
  </r>
  <r>
    <n v="1508"/>
    <x v="4"/>
    <n v="2023"/>
    <x v="4"/>
    <x v="1"/>
    <n v="269051"/>
    <x v="0"/>
    <n v="11786.65"/>
    <s v="Fit"/>
    <x v="2"/>
    <x v="1"/>
    <x v="8"/>
    <n v="0.04"/>
    <x v="1"/>
  </r>
  <r>
    <n v="1509"/>
    <x v="6"/>
    <n v="2023"/>
    <x v="40"/>
    <x v="1"/>
    <n v="255035"/>
    <x v="0"/>
    <n v="73997.210000000006"/>
    <s v="Corolla"/>
    <x v="2"/>
    <x v="1"/>
    <x v="8"/>
    <n v="0.28999999999999998"/>
    <x v="1"/>
  </r>
  <r>
    <n v="1510"/>
    <x v="5"/>
    <n v="2002"/>
    <x v="13"/>
    <x v="0"/>
    <n v="159186"/>
    <x v="1"/>
    <n v="53550"/>
    <s v="C-Class"/>
    <x v="3"/>
    <x v="1"/>
    <x v="23"/>
    <n v="0.34"/>
    <x v="0"/>
  </r>
  <r>
    <n v="1511"/>
    <x v="3"/>
    <n v="2010"/>
    <x v="21"/>
    <x v="1"/>
    <n v="287153"/>
    <x v="2"/>
    <n v="71710.27"/>
    <s v="Explorer"/>
    <x v="2"/>
    <x v="1"/>
    <x v="9"/>
    <n v="0.25"/>
    <x v="1"/>
  </r>
  <r>
    <n v="1512"/>
    <x v="0"/>
    <n v="2012"/>
    <x v="26"/>
    <x v="1"/>
    <n v="166797"/>
    <x v="0"/>
    <n v="50300.07"/>
    <s v="Model S"/>
    <x v="0"/>
    <x v="1"/>
    <x v="15"/>
    <n v="0.3"/>
    <x v="0"/>
  </r>
  <r>
    <n v="1513"/>
    <x v="4"/>
    <n v="2003"/>
    <x v="8"/>
    <x v="1"/>
    <n v="281140"/>
    <x v="0"/>
    <n v="34662.28"/>
    <s v="Civic"/>
    <x v="1"/>
    <x v="1"/>
    <x v="21"/>
    <n v="0.12"/>
    <x v="1"/>
  </r>
  <r>
    <n v="1514"/>
    <x v="4"/>
    <n v="2013"/>
    <x v="41"/>
    <x v="1"/>
    <n v="290911"/>
    <x v="2"/>
    <n v="32076.7"/>
    <s v="Accord"/>
    <x v="3"/>
    <x v="1"/>
    <x v="2"/>
    <n v="0.11"/>
    <x v="1"/>
  </r>
  <r>
    <n v="1515"/>
    <x v="5"/>
    <n v="2021"/>
    <x v="39"/>
    <x v="1"/>
    <n v="278491"/>
    <x v="1"/>
    <n v="74400.55"/>
    <s v="GLC"/>
    <x v="1"/>
    <x v="1"/>
    <x v="20"/>
    <n v="0.27"/>
    <x v="0"/>
  </r>
  <r>
    <n v="1516"/>
    <x v="1"/>
    <n v="2010"/>
    <x v="43"/>
    <x v="1"/>
    <n v="102063"/>
    <x v="1"/>
    <n v="31294.11"/>
    <s v="X3"/>
    <x v="2"/>
    <x v="0"/>
    <x v="9"/>
    <n v="0.31"/>
    <x v="0"/>
  </r>
  <r>
    <n v="1517"/>
    <x v="6"/>
    <n v="2009"/>
    <x v="2"/>
    <x v="0"/>
    <n v="24102"/>
    <x v="1"/>
    <n v="72894.3"/>
    <s v="Prius"/>
    <x v="2"/>
    <x v="2"/>
    <x v="4"/>
    <n v="3.02"/>
    <x v="1"/>
  </r>
  <r>
    <n v="1518"/>
    <x v="4"/>
    <n v="2018"/>
    <x v="18"/>
    <x v="1"/>
    <n v="4263"/>
    <x v="1"/>
    <n v="41476.21"/>
    <s v="Civic"/>
    <x v="2"/>
    <x v="2"/>
    <x v="1"/>
    <n v="9.73"/>
    <x v="1"/>
  </r>
  <r>
    <n v="1519"/>
    <x v="5"/>
    <n v="2017"/>
    <x v="15"/>
    <x v="0"/>
    <n v="67438"/>
    <x v="0"/>
    <n v="78235.350000000006"/>
    <s v="GLC"/>
    <x v="0"/>
    <x v="0"/>
    <x v="7"/>
    <n v="1.1599999999999999"/>
    <x v="0"/>
  </r>
  <r>
    <n v="1520"/>
    <x v="5"/>
    <n v="2005"/>
    <x v="47"/>
    <x v="0"/>
    <n v="96359"/>
    <x v="2"/>
    <n v="18566.939999999999"/>
    <s v="GLA"/>
    <x v="0"/>
    <x v="0"/>
    <x v="14"/>
    <n v="0.19"/>
    <x v="0"/>
  </r>
  <r>
    <n v="1521"/>
    <x v="3"/>
    <n v="2014"/>
    <x v="1"/>
    <x v="1"/>
    <n v="130251"/>
    <x v="2"/>
    <n v="24473.09"/>
    <s v="Mustang"/>
    <x v="3"/>
    <x v="0"/>
    <x v="12"/>
    <n v="0.19"/>
    <x v="1"/>
  </r>
  <r>
    <n v="1522"/>
    <x v="0"/>
    <n v="2020"/>
    <x v="25"/>
    <x v="0"/>
    <n v="171915"/>
    <x v="0"/>
    <n v="70161.600000000006"/>
    <s v="Model S"/>
    <x v="0"/>
    <x v="1"/>
    <x v="6"/>
    <n v="0.41"/>
    <x v="0"/>
  </r>
  <r>
    <n v="1523"/>
    <x v="1"/>
    <n v="2009"/>
    <x v="14"/>
    <x v="1"/>
    <n v="27690"/>
    <x v="0"/>
    <n v="58221.96"/>
    <s v="X3"/>
    <x v="2"/>
    <x v="2"/>
    <x v="4"/>
    <n v="2.1"/>
    <x v="0"/>
  </r>
  <r>
    <n v="1524"/>
    <x v="6"/>
    <n v="2004"/>
    <x v="13"/>
    <x v="0"/>
    <n v="2994"/>
    <x v="0"/>
    <n v="24368.44"/>
    <s v="Corolla"/>
    <x v="2"/>
    <x v="2"/>
    <x v="19"/>
    <n v="8.14"/>
    <x v="1"/>
  </r>
  <r>
    <n v="1525"/>
    <x v="2"/>
    <n v="2004"/>
    <x v="42"/>
    <x v="1"/>
    <n v="103533"/>
    <x v="2"/>
    <n v="90768.57"/>
    <s v="Q5"/>
    <x v="2"/>
    <x v="0"/>
    <x v="19"/>
    <n v="0.88"/>
    <x v="0"/>
  </r>
  <r>
    <n v="1526"/>
    <x v="0"/>
    <n v="2009"/>
    <x v="4"/>
    <x v="0"/>
    <n v="67546"/>
    <x v="2"/>
    <n v="31214.69"/>
    <s v="Model 3"/>
    <x v="0"/>
    <x v="0"/>
    <x v="4"/>
    <n v="0.46"/>
    <x v="0"/>
  </r>
  <r>
    <n v="1527"/>
    <x v="0"/>
    <n v="2004"/>
    <x v="40"/>
    <x v="0"/>
    <n v="26467"/>
    <x v="2"/>
    <n v="45001.78"/>
    <s v="Model X"/>
    <x v="0"/>
    <x v="2"/>
    <x v="19"/>
    <n v="1.7"/>
    <x v="0"/>
  </r>
  <r>
    <n v="1528"/>
    <x v="3"/>
    <n v="2002"/>
    <x v="26"/>
    <x v="1"/>
    <n v="246590"/>
    <x v="1"/>
    <n v="24217.35"/>
    <s v="Explorer"/>
    <x v="1"/>
    <x v="1"/>
    <x v="23"/>
    <n v="0.1"/>
    <x v="1"/>
  </r>
  <r>
    <n v="1529"/>
    <x v="4"/>
    <n v="2022"/>
    <x v="11"/>
    <x v="0"/>
    <n v="131120"/>
    <x v="0"/>
    <n v="41862.620000000003"/>
    <s v="Fit"/>
    <x v="1"/>
    <x v="0"/>
    <x v="13"/>
    <n v="0.32"/>
    <x v="1"/>
  </r>
  <r>
    <n v="1530"/>
    <x v="4"/>
    <n v="2005"/>
    <x v="27"/>
    <x v="0"/>
    <n v="168050"/>
    <x v="0"/>
    <n v="51706.44"/>
    <s v="Fit"/>
    <x v="3"/>
    <x v="1"/>
    <x v="14"/>
    <n v="0.31"/>
    <x v="1"/>
  </r>
  <r>
    <n v="1531"/>
    <x v="3"/>
    <n v="2003"/>
    <x v="15"/>
    <x v="0"/>
    <n v="73414"/>
    <x v="0"/>
    <n v="33048.47"/>
    <s v="Mustang"/>
    <x v="0"/>
    <x v="0"/>
    <x v="21"/>
    <n v="0.45"/>
    <x v="1"/>
  </r>
  <r>
    <n v="1532"/>
    <x v="5"/>
    <n v="2017"/>
    <x v="0"/>
    <x v="0"/>
    <n v="180294"/>
    <x v="2"/>
    <n v="78063.899999999994"/>
    <s v="GLC"/>
    <x v="2"/>
    <x v="1"/>
    <x v="7"/>
    <n v="0.43"/>
    <x v="0"/>
  </r>
  <r>
    <n v="1533"/>
    <x v="4"/>
    <n v="2008"/>
    <x v="13"/>
    <x v="0"/>
    <n v="48115"/>
    <x v="0"/>
    <n v="42423.63"/>
    <s v="Fit"/>
    <x v="1"/>
    <x v="2"/>
    <x v="22"/>
    <n v="0.88"/>
    <x v="1"/>
  </r>
  <r>
    <n v="1534"/>
    <x v="1"/>
    <n v="2016"/>
    <x v="39"/>
    <x v="1"/>
    <n v="40647"/>
    <x v="0"/>
    <n v="74303.45"/>
    <s v="3 Series"/>
    <x v="1"/>
    <x v="2"/>
    <x v="0"/>
    <n v="1.83"/>
    <x v="0"/>
  </r>
  <r>
    <n v="1535"/>
    <x v="6"/>
    <n v="2012"/>
    <x v="37"/>
    <x v="0"/>
    <n v="54607"/>
    <x v="1"/>
    <n v="24671.86"/>
    <s v="Corolla"/>
    <x v="0"/>
    <x v="0"/>
    <x v="15"/>
    <n v="0.45"/>
    <x v="1"/>
  </r>
  <r>
    <n v="1536"/>
    <x v="0"/>
    <n v="2014"/>
    <x v="35"/>
    <x v="0"/>
    <n v="21996"/>
    <x v="2"/>
    <n v="40818.370000000003"/>
    <s v="Model X"/>
    <x v="0"/>
    <x v="2"/>
    <x v="12"/>
    <n v="1.86"/>
    <x v="0"/>
  </r>
  <r>
    <n v="1537"/>
    <x v="0"/>
    <n v="2019"/>
    <x v="43"/>
    <x v="1"/>
    <n v="83697"/>
    <x v="0"/>
    <n v="5765.54"/>
    <s v="Model S"/>
    <x v="0"/>
    <x v="0"/>
    <x v="5"/>
    <n v="7.0000000000000007E-2"/>
    <x v="0"/>
  </r>
  <r>
    <n v="1538"/>
    <x v="1"/>
    <n v="2016"/>
    <x v="37"/>
    <x v="1"/>
    <n v="67764"/>
    <x v="2"/>
    <n v="77070.570000000007"/>
    <s v="5 Series"/>
    <x v="2"/>
    <x v="0"/>
    <x v="0"/>
    <n v="1.1399999999999999"/>
    <x v="0"/>
  </r>
  <r>
    <n v="1539"/>
    <x v="4"/>
    <n v="2012"/>
    <x v="19"/>
    <x v="1"/>
    <n v="239190"/>
    <x v="2"/>
    <n v="64459.23"/>
    <s v="CR-V"/>
    <x v="3"/>
    <x v="1"/>
    <x v="15"/>
    <n v="0.27"/>
    <x v="1"/>
  </r>
  <r>
    <n v="1540"/>
    <x v="0"/>
    <n v="2015"/>
    <x v="20"/>
    <x v="0"/>
    <n v="8888"/>
    <x v="2"/>
    <n v="82693.22"/>
    <s v="Model Y"/>
    <x v="0"/>
    <x v="2"/>
    <x v="16"/>
    <n v="9.3000000000000007"/>
    <x v="0"/>
  </r>
  <r>
    <n v="1541"/>
    <x v="2"/>
    <n v="2021"/>
    <x v="18"/>
    <x v="0"/>
    <n v="219738"/>
    <x v="1"/>
    <n v="48283.02"/>
    <s v="A3"/>
    <x v="3"/>
    <x v="1"/>
    <x v="20"/>
    <n v="0.22"/>
    <x v="0"/>
  </r>
  <r>
    <n v="1542"/>
    <x v="6"/>
    <n v="2003"/>
    <x v="35"/>
    <x v="0"/>
    <n v="221432"/>
    <x v="2"/>
    <n v="80975.360000000001"/>
    <s v="Prius"/>
    <x v="2"/>
    <x v="1"/>
    <x v="21"/>
    <n v="0.37"/>
    <x v="1"/>
  </r>
  <r>
    <n v="1543"/>
    <x v="6"/>
    <n v="2004"/>
    <x v="46"/>
    <x v="0"/>
    <n v="279477"/>
    <x v="2"/>
    <n v="66520.34"/>
    <s v="Prius"/>
    <x v="1"/>
    <x v="1"/>
    <x v="19"/>
    <n v="0.24"/>
    <x v="1"/>
  </r>
  <r>
    <n v="1544"/>
    <x v="0"/>
    <n v="2004"/>
    <x v="29"/>
    <x v="1"/>
    <n v="36355"/>
    <x v="2"/>
    <n v="5343.23"/>
    <s v="Model Y"/>
    <x v="0"/>
    <x v="2"/>
    <x v="19"/>
    <n v="0.15"/>
    <x v="0"/>
  </r>
  <r>
    <n v="1545"/>
    <x v="3"/>
    <n v="2008"/>
    <x v="48"/>
    <x v="1"/>
    <n v="230487"/>
    <x v="0"/>
    <n v="29100.959999999999"/>
    <s v="Explorer"/>
    <x v="3"/>
    <x v="1"/>
    <x v="22"/>
    <n v="0.13"/>
    <x v="1"/>
  </r>
  <r>
    <n v="1546"/>
    <x v="0"/>
    <n v="2016"/>
    <x v="9"/>
    <x v="0"/>
    <n v="129686"/>
    <x v="1"/>
    <n v="51919.68"/>
    <s v="Model Y"/>
    <x v="0"/>
    <x v="0"/>
    <x v="0"/>
    <n v="0.4"/>
    <x v="0"/>
  </r>
  <r>
    <n v="1547"/>
    <x v="3"/>
    <n v="2012"/>
    <x v="27"/>
    <x v="0"/>
    <n v="162217"/>
    <x v="0"/>
    <n v="63775.3"/>
    <s v="Fiesta"/>
    <x v="2"/>
    <x v="1"/>
    <x v="15"/>
    <n v="0.39"/>
    <x v="1"/>
  </r>
  <r>
    <n v="1548"/>
    <x v="0"/>
    <n v="2001"/>
    <x v="4"/>
    <x v="0"/>
    <n v="249602"/>
    <x v="1"/>
    <n v="11231.13"/>
    <s v="Model 3"/>
    <x v="0"/>
    <x v="1"/>
    <x v="10"/>
    <n v="0.04"/>
    <x v="0"/>
  </r>
  <r>
    <n v="1549"/>
    <x v="2"/>
    <n v="2012"/>
    <x v="31"/>
    <x v="0"/>
    <n v="249434"/>
    <x v="1"/>
    <n v="71982.59"/>
    <s v="Q7"/>
    <x v="0"/>
    <x v="1"/>
    <x v="15"/>
    <n v="0.28999999999999998"/>
    <x v="0"/>
  </r>
  <r>
    <n v="1550"/>
    <x v="5"/>
    <n v="2021"/>
    <x v="12"/>
    <x v="1"/>
    <n v="180926"/>
    <x v="2"/>
    <n v="56635.93"/>
    <s v="GLC"/>
    <x v="1"/>
    <x v="1"/>
    <x v="20"/>
    <n v="0.31"/>
    <x v="0"/>
  </r>
  <r>
    <n v="1551"/>
    <x v="6"/>
    <n v="2020"/>
    <x v="41"/>
    <x v="1"/>
    <n v="67664"/>
    <x v="2"/>
    <n v="54949.03"/>
    <s v="Prius"/>
    <x v="0"/>
    <x v="0"/>
    <x v="6"/>
    <n v="0.81"/>
    <x v="1"/>
  </r>
  <r>
    <n v="1552"/>
    <x v="0"/>
    <n v="2022"/>
    <x v="7"/>
    <x v="0"/>
    <n v="86153"/>
    <x v="0"/>
    <n v="32744.33"/>
    <s v="Model Y"/>
    <x v="0"/>
    <x v="0"/>
    <x v="13"/>
    <n v="0.38"/>
    <x v="0"/>
  </r>
  <r>
    <n v="1553"/>
    <x v="2"/>
    <n v="2018"/>
    <x v="7"/>
    <x v="1"/>
    <n v="93616"/>
    <x v="1"/>
    <n v="61508.19"/>
    <s v="A4"/>
    <x v="3"/>
    <x v="0"/>
    <x v="1"/>
    <n v="0.66"/>
    <x v="0"/>
  </r>
  <r>
    <n v="1554"/>
    <x v="3"/>
    <n v="2002"/>
    <x v="43"/>
    <x v="0"/>
    <n v="297429"/>
    <x v="2"/>
    <n v="7611.82"/>
    <s v="Fiesta"/>
    <x v="3"/>
    <x v="1"/>
    <x v="23"/>
    <n v="0.03"/>
    <x v="1"/>
  </r>
  <r>
    <n v="1555"/>
    <x v="3"/>
    <n v="2009"/>
    <x v="47"/>
    <x v="0"/>
    <n v="256349"/>
    <x v="2"/>
    <n v="11146.53"/>
    <s v="Fiesta"/>
    <x v="3"/>
    <x v="1"/>
    <x v="4"/>
    <n v="0.04"/>
    <x v="1"/>
  </r>
  <r>
    <n v="1556"/>
    <x v="6"/>
    <n v="2001"/>
    <x v="2"/>
    <x v="1"/>
    <n v="46996"/>
    <x v="2"/>
    <n v="74717.66"/>
    <s v="Corolla"/>
    <x v="0"/>
    <x v="2"/>
    <x v="10"/>
    <n v="1.59"/>
    <x v="1"/>
  </r>
  <r>
    <n v="1557"/>
    <x v="1"/>
    <n v="2012"/>
    <x v="8"/>
    <x v="0"/>
    <n v="128344"/>
    <x v="2"/>
    <n v="35579.68"/>
    <s v="5 Series"/>
    <x v="1"/>
    <x v="0"/>
    <x v="15"/>
    <n v="0.28000000000000003"/>
    <x v="0"/>
  </r>
  <r>
    <n v="1558"/>
    <x v="0"/>
    <n v="2018"/>
    <x v="1"/>
    <x v="1"/>
    <n v="229685"/>
    <x v="0"/>
    <n v="37961.870000000003"/>
    <s v="Model X"/>
    <x v="0"/>
    <x v="1"/>
    <x v="1"/>
    <n v="0.17"/>
    <x v="0"/>
  </r>
  <r>
    <n v="1559"/>
    <x v="4"/>
    <n v="2016"/>
    <x v="46"/>
    <x v="0"/>
    <n v="128019"/>
    <x v="0"/>
    <n v="24796.59"/>
    <s v="CR-V"/>
    <x v="0"/>
    <x v="0"/>
    <x v="0"/>
    <n v="0.19"/>
    <x v="1"/>
  </r>
  <r>
    <n v="1560"/>
    <x v="3"/>
    <n v="2020"/>
    <x v="42"/>
    <x v="1"/>
    <n v="135024"/>
    <x v="2"/>
    <n v="47333.97"/>
    <s v="Fiesta"/>
    <x v="3"/>
    <x v="0"/>
    <x v="6"/>
    <n v="0.35"/>
    <x v="1"/>
  </r>
  <r>
    <n v="1561"/>
    <x v="5"/>
    <n v="2013"/>
    <x v="26"/>
    <x v="0"/>
    <n v="183273"/>
    <x v="2"/>
    <n v="9939.3799999999992"/>
    <s v="E-Class"/>
    <x v="2"/>
    <x v="1"/>
    <x v="2"/>
    <n v="0.05"/>
    <x v="0"/>
  </r>
  <r>
    <n v="1562"/>
    <x v="5"/>
    <n v="2011"/>
    <x v="34"/>
    <x v="1"/>
    <n v="120454"/>
    <x v="2"/>
    <n v="33534.51"/>
    <s v="GLC"/>
    <x v="1"/>
    <x v="0"/>
    <x v="3"/>
    <n v="0.28000000000000003"/>
    <x v="0"/>
  </r>
  <r>
    <n v="1563"/>
    <x v="3"/>
    <n v="2020"/>
    <x v="44"/>
    <x v="0"/>
    <n v="124444"/>
    <x v="2"/>
    <n v="55076.77"/>
    <s v="Fiesta"/>
    <x v="2"/>
    <x v="0"/>
    <x v="6"/>
    <n v="0.44"/>
    <x v="1"/>
  </r>
  <r>
    <n v="1564"/>
    <x v="1"/>
    <n v="2011"/>
    <x v="4"/>
    <x v="0"/>
    <n v="153868"/>
    <x v="2"/>
    <n v="49235.03"/>
    <s v="3 Series"/>
    <x v="3"/>
    <x v="1"/>
    <x v="3"/>
    <n v="0.32"/>
    <x v="0"/>
  </r>
  <r>
    <n v="1565"/>
    <x v="1"/>
    <n v="2010"/>
    <x v="31"/>
    <x v="1"/>
    <n v="162818"/>
    <x v="1"/>
    <n v="99968.62"/>
    <s v="3 Series"/>
    <x v="0"/>
    <x v="1"/>
    <x v="9"/>
    <n v="0.61"/>
    <x v="0"/>
  </r>
  <r>
    <n v="1566"/>
    <x v="2"/>
    <n v="2006"/>
    <x v="7"/>
    <x v="0"/>
    <n v="15"/>
    <x v="1"/>
    <n v="41932.639999999999"/>
    <s v="Q5"/>
    <x v="0"/>
    <x v="2"/>
    <x v="11"/>
    <n v="2795.51"/>
    <x v="0"/>
  </r>
  <r>
    <n v="1567"/>
    <x v="5"/>
    <n v="2003"/>
    <x v="47"/>
    <x v="1"/>
    <n v="157029"/>
    <x v="1"/>
    <n v="41764.910000000003"/>
    <s v="C-Class"/>
    <x v="3"/>
    <x v="1"/>
    <x v="21"/>
    <n v="0.27"/>
    <x v="0"/>
  </r>
  <r>
    <n v="1568"/>
    <x v="2"/>
    <n v="2018"/>
    <x v="18"/>
    <x v="1"/>
    <n v="81541"/>
    <x v="1"/>
    <n v="52840.27"/>
    <s v="A4"/>
    <x v="0"/>
    <x v="0"/>
    <x v="1"/>
    <n v="0.65"/>
    <x v="0"/>
  </r>
  <r>
    <n v="1569"/>
    <x v="5"/>
    <n v="2000"/>
    <x v="4"/>
    <x v="0"/>
    <n v="21292"/>
    <x v="2"/>
    <n v="23078.799999999999"/>
    <s v="GLA"/>
    <x v="3"/>
    <x v="2"/>
    <x v="18"/>
    <n v="1.08"/>
    <x v="0"/>
  </r>
  <r>
    <n v="1570"/>
    <x v="0"/>
    <n v="2023"/>
    <x v="38"/>
    <x v="0"/>
    <n v="162948"/>
    <x v="1"/>
    <n v="88248.92"/>
    <s v="Model S"/>
    <x v="0"/>
    <x v="1"/>
    <x v="8"/>
    <n v="0.54"/>
    <x v="0"/>
  </r>
  <r>
    <n v="1571"/>
    <x v="0"/>
    <n v="2002"/>
    <x v="43"/>
    <x v="0"/>
    <n v="191799"/>
    <x v="1"/>
    <n v="59365.440000000002"/>
    <s v="Model X"/>
    <x v="0"/>
    <x v="1"/>
    <x v="23"/>
    <n v="0.31"/>
    <x v="0"/>
  </r>
  <r>
    <n v="1572"/>
    <x v="4"/>
    <n v="2012"/>
    <x v="32"/>
    <x v="0"/>
    <n v="47046"/>
    <x v="0"/>
    <n v="23250.23"/>
    <s v="Accord"/>
    <x v="0"/>
    <x v="2"/>
    <x v="15"/>
    <n v="0.49"/>
    <x v="1"/>
  </r>
  <r>
    <n v="1573"/>
    <x v="0"/>
    <n v="2014"/>
    <x v="8"/>
    <x v="1"/>
    <n v="14817"/>
    <x v="1"/>
    <n v="80376.95"/>
    <s v="Model X"/>
    <x v="0"/>
    <x v="2"/>
    <x v="12"/>
    <n v="5.42"/>
    <x v="0"/>
  </r>
  <r>
    <n v="1574"/>
    <x v="4"/>
    <n v="2001"/>
    <x v="4"/>
    <x v="0"/>
    <n v="9759"/>
    <x v="1"/>
    <n v="8261.56"/>
    <s v="Civic"/>
    <x v="1"/>
    <x v="2"/>
    <x v="10"/>
    <n v="0.85"/>
    <x v="1"/>
  </r>
  <r>
    <n v="1575"/>
    <x v="0"/>
    <n v="2010"/>
    <x v="7"/>
    <x v="0"/>
    <n v="179504"/>
    <x v="2"/>
    <n v="98343.6"/>
    <s v="Model 3"/>
    <x v="0"/>
    <x v="1"/>
    <x v="9"/>
    <n v="0.55000000000000004"/>
    <x v="0"/>
  </r>
  <r>
    <n v="1576"/>
    <x v="6"/>
    <n v="2003"/>
    <x v="47"/>
    <x v="0"/>
    <n v="268556"/>
    <x v="1"/>
    <n v="87189.19"/>
    <s v="Camry"/>
    <x v="1"/>
    <x v="1"/>
    <x v="21"/>
    <n v="0.32"/>
    <x v="1"/>
  </r>
  <r>
    <n v="1577"/>
    <x v="0"/>
    <n v="2018"/>
    <x v="2"/>
    <x v="1"/>
    <n v="282648"/>
    <x v="1"/>
    <n v="60065.75"/>
    <s v="Model X"/>
    <x v="0"/>
    <x v="1"/>
    <x v="1"/>
    <n v="0.21"/>
    <x v="0"/>
  </r>
  <r>
    <n v="1578"/>
    <x v="2"/>
    <n v="2016"/>
    <x v="11"/>
    <x v="0"/>
    <n v="270651"/>
    <x v="2"/>
    <n v="15573.09"/>
    <s v="A4"/>
    <x v="2"/>
    <x v="1"/>
    <x v="0"/>
    <n v="0.06"/>
    <x v="0"/>
  </r>
  <r>
    <n v="1579"/>
    <x v="3"/>
    <n v="2002"/>
    <x v="1"/>
    <x v="1"/>
    <n v="21050"/>
    <x v="1"/>
    <n v="25450.91"/>
    <s v="Explorer"/>
    <x v="2"/>
    <x v="2"/>
    <x v="23"/>
    <n v="1.21"/>
    <x v="1"/>
  </r>
  <r>
    <n v="1580"/>
    <x v="2"/>
    <n v="2017"/>
    <x v="0"/>
    <x v="0"/>
    <n v="100153"/>
    <x v="2"/>
    <n v="31546.34"/>
    <s v="Q7"/>
    <x v="1"/>
    <x v="0"/>
    <x v="7"/>
    <n v="0.31"/>
    <x v="0"/>
  </r>
  <r>
    <n v="1581"/>
    <x v="3"/>
    <n v="2007"/>
    <x v="12"/>
    <x v="1"/>
    <n v="275731"/>
    <x v="1"/>
    <n v="27898.02"/>
    <s v="Fiesta"/>
    <x v="2"/>
    <x v="1"/>
    <x v="17"/>
    <n v="0.1"/>
    <x v="1"/>
  </r>
  <r>
    <n v="1582"/>
    <x v="1"/>
    <n v="2021"/>
    <x v="10"/>
    <x v="0"/>
    <n v="231329"/>
    <x v="0"/>
    <n v="52264.4"/>
    <s v="5 Series"/>
    <x v="2"/>
    <x v="1"/>
    <x v="20"/>
    <n v="0.23"/>
    <x v="0"/>
  </r>
  <r>
    <n v="1583"/>
    <x v="2"/>
    <n v="2023"/>
    <x v="29"/>
    <x v="0"/>
    <n v="57732"/>
    <x v="0"/>
    <n v="94733.24"/>
    <s v="Q5"/>
    <x v="0"/>
    <x v="0"/>
    <x v="8"/>
    <n v="1.64"/>
    <x v="0"/>
  </r>
  <r>
    <n v="1584"/>
    <x v="1"/>
    <n v="2018"/>
    <x v="25"/>
    <x v="1"/>
    <n v="51921"/>
    <x v="1"/>
    <n v="47196.4"/>
    <s v="X5"/>
    <x v="0"/>
    <x v="0"/>
    <x v="1"/>
    <n v="0.91"/>
    <x v="0"/>
  </r>
  <r>
    <n v="1585"/>
    <x v="4"/>
    <n v="2004"/>
    <x v="48"/>
    <x v="0"/>
    <n v="117734"/>
    <x v="0"/>
    <n v="67848.63"/>
    <s v="Fit"/>
    <x v="3"/>
    <x v="0"/>
    <x v="19"/>
    <n v="0.57999999999999996"/>
    <x v="1"/>
  </r>
  <r>
    <n v="1586"/>
    <x v="4"/>
    <n v="2006"/>
    <x v="19"/>
    <x v="0"/>
    <n v="137912"/>
    <x v="2"/>
    <n v="70415.399999999994"/>
    <s v="Fit"/>
    <x v="2"/>
    <x v="0"/>
    <x v="11"/>
    <n v="0.51"/>
    <x v="1"/>
  </r>
  <r>
    <n v="1587"/>
    <x v="6"/>
    <n v="2020"/>
    <x v="35"/>
    <x v="0"/>
    <n v="31440"/>
    <x v="1"/>
    <n v="87800.17"/>
    <s v="Corolla"/>
    <x v="3"/>
    <x v="2"/>
    <x v="6"/>
    <n v="2.79"/>
    <x v="1"/>
  </r>
  <r>
    <n v="1588"/>
    <x v="0"/>
    <n v="2007"/>
    <x v="10"/>
    <x v="1"/>
    <n v="35183"/>
    <x v="2"/>
    <n v="8213.02"/>
    <s v="Model Y"/>
    <x v="0"/>
    <x v="2"/>
    <x v="17"/>
    <n v="0.23"/>
    <x v="0"/>
  </r>
  <r>
    <n v="1589"/>
    <x v="2"/>
    <n v="2004"/>
    <x v="19"/>
    <x v="0"/>
    <n v="133461"/>
    <x v="0"/>
    <n v="43411.360000000001"/>
    <s v="A4"/>
    <x v="2"/>
    <x v="0"/>
    <x v="19"/>
    <n v="0.33"/>
    <x v="0"/>
  </r>
  <r>
    <n v="1590"/>
    <x v="1"/>
    <n v="2016"/>
    <x v="33"/>
    <x v="1"/>
    <n v="114515"/>
    <x v="2"/>
    <n v="79549.84"/>
    <s v="3 Series"/>
    <x v="1"/>
    <x v="0"/>
    <x v="0"/>
    <n v="0.69"/>
    <x v="0"/>
  </r>
  <r>
    <n v="1591"/>
    <x v="3"/>
    <n v="2004"/>
    <x v="20"/>
    <x v="1"/>
    <n v="220533"/>
    <x v="0"/>
    <n v="82412.37"/>
    <s v="Mustang"/>
    <x v="2"/>
    <x v="1"/>
    <x v="19"/>
    <n v="0.37"/>
    <x v="1"/>
  </r>
  <r>
    <n v="1592"/>
    <x v="4"/>
    <n v="2003"/>
    <x v="25"/>
    <x v="1"/>
    <n v="115503"/>
    <x v="0"/>
    <n v="93096.6"/>
    <s v="CR-V"/>
    <x v="0"/>
    <x v="0"/>
    <x v="21"/>
    <n v="0.81"/>
    <x v="1"/>
  </r>
  <r>
    <n v="1593"/>
    <x v="0"/>
    <n v="2021"/>
    <x v="34"/>
    <x v="0"/>
    <n v="39023"/>
    <x v="0"/>
    <n v="71765.460000000006"/>
    <s v="Model 3"/>
    <x v="0"/>
    <x v="2"/>
    <x v="20"/>
    <n v="1.84"/>
    <x v="0"/>
  </r>
  <r>
    <n v="1594"/>
    <x v="4"/>
    <n v="2018"/>
    <x v="6"/>
    <x v="1"/>
    <n v="181101"/>
    <x v="2"/>
    <n v="28289.62"/>
    <s v="CR-V"/>
    <x v="1"/>
    <x v="1"/>
    <x v="1"/>
    <n v="0.16"/>
    <x v="1"/>
  </r>
  <r>
    <n v="1595"/>
    <x v="3"/>
    <n v="2020"/>
    <x v="17"/>
    <x v="1"/>
    <n v="218031"/>
    <x v="0"/>
    <n v="53038.25"/>
    <s v="Explorer"/>
    <x v="3"/>
    <x v="1"/>
    <x v="6"/>
    <n v="0.24"/>
    <x v="1"/>
  </r>
  <r>
    <n v="1596"/>
    <x v="0"/>
    <n v="2001"/>
    <x v="32"/>
    <x v="0"/>
    <n v="76054"/>
    <x v="1"/>
    <n v="8072.8"/>
    <s v="Model 3"/>
    <x v="0"/>
    <x v="0"/>
    <x v="10"/>
    <n v="0.11"/>
    <x v="0"/>
  </r>
  <r>
    <n v="1597"/>
    <x v="0"/>
    <n v="2010"/>
    <x v="32"/>
    <x v="1"/>
    <n v="61742"/>
    <x v="0"/>
    <n v="66458.19"/>
    <s v="Model 3"/>
    <x v="0"/>
    <x v="0"/>
    <x v="9"/>
    <n v="1.08"/>
    <x v="0"/>
  </r>
  <r>
    <n v="1598"/>
    <x v="1"/>
    <n v="2021"/>
    <x v="2"/>
    <x v="1"/>
    <n v="45215"/>
    <x v="1"/>
    <n v="57658.05"/>
    <s v="X3"/>
    <x v="0"/>
    <x v="2"/>
    <x v="20"/>
    <n v="1.28"/>
    <x v="0"/>
  </r>
  <r>
    <n v="1599"/>
    <x v="1"/>
    <n v="2012"/>
    <x v="9"/>
    <x v="0"/>
    <n v="159245"/>
    <x v="1"/>
    <n v="68349.45"/>
    <s v="3 Series"/>
    <x v="0"/>
    <x v="1"/>
    <x v="15"/>
    <n v="0.43"/>
    <x v="0"/>
  </r>
  <r>
    <n v="1600"/>
    <x v="2"/>
    <n v="2014"/>
    <x v="19"/>
    <x v="0"/>
    <n v="241443"/>
    <x v="1"/>
    <n v="93363.35"/>
    <s v="A3"/>
    <x v="3"/>
    <x v="1"/>
    <x v="12"/>
    <n v="0.39"/>
    <x v="0"/>
  </r>
  <r>
    <n v="1601"/>
    <x v="2"/>
    <n v="2011"/>
    <x v="1"/>
    <x v="1"/>
    <n v="103591"/>
    <x v="1"/>
    <n v="70291.28"/>
    <s v="Q5"/>
    <x v="0"/>
    <x v="0"/>
    <x v="3"/>
    <n v="0.68"/>
    <x v="0"/>
  </r>
  <r>
    <n v="1602"/>
    <x v="5"/>
    <n v="2021"/>
    <x v="2"/>
    <x v="0"/>
    <n v="249045"/>
    <x v="2"/>
    <n v="35442.74"/>
    <s v="GLC"/>
    <x v="2"/>
    <x v="1"/>
    <x v="20"/>
    <n v="0.14000000000000001"/>
    <x v="0"/>
  </r>
  <r>
    <n v="1603"/>
    <x v="5"/>
    <n v="2020"/>
    <x v="36"/>
    <x v="0"/>
    <n v="46229"/>
    <x v="1"/>
    <n v="23879.98"/>
    <s v="C-Class"/>
    <x v="3"/>
    <x v="2"/>
    <x v="6"/>
    <n v="0.52"/>
    <x v="0"/>
  </r>
  <r>
    <n v="1604"/>
    <x v="6"/>
    <n v="2021"/>
    <x v="12"/>
    <x v="0"/>
    <n v="62583"/>
    <x v="0"/>
    <n v="86190.44"/>
    <s v="Camry"/>
    <x v="1"/>
    <x v="0"/>
    <x v="20"/>
    <n v="1.38"/>
    <x v="1"/>
  </r>
  <r>
    <n v="1605"/>
    <x v="4"/>
    <n v="2010"/>
    <x v="25"/>
    <x v="1"/>
    <n v="255931"/>
    <x v="1"/>
    <n v="23461.55"/>
    <s v="Fit"/>
    <x v="3"/>
    <x v="1"/>
    <x v="9"/>
    <n v="0.09"/>
    <x v="1"/>
  </r>
  <r>
    <n v="1606"/>
    <x v="2"/>
    <n v="2006"/>
    <x v="44"/>
    <x v="1"/>
    <n v="159996"/>
    <x v="0"/>
    <n v="20352.91"/>
    <s v="A3"/>
    <x v="2"/>
    <x v="1"/>
    <x v="11"/>
    <n v="0.13"/>
    <x v="0"/>
  </r>
  <r>
    <n v="1607"/>
    <x v="1"/>
    <n v="2004"/>
    <x v="15"/>
    <x v="0"/>
    <n v="126011"/>
    <x v="2"/>
    <n v="24628.15"/>
    <s v="3 Series"/>
    <x v="2"/>
    <x v="0"/>
    <x v="19"/>
    <n v="0.2"/>
    <x v="0"/>
  </r>
  <r>
    <n v="1608"/>
    <x v="3"/>
    <n v="2016"/>
    <x v="12"/>
    <x v="1"/>
    <n v="292248"/>
    <x v="1"/>
    <n v="53339.88"/>
    <s v="Explorer"/>
    <x v="0"/>
    <x v="1"/>
    <x v="0"/>
    <n v="0.18"/>
    <x v="1"/>
  </r>
  <r>
    <n v="1609"/>
    <x v="1"/>
    <n v="2023"/>
    <x v="50"/>
    <x v="0"/>
    <n v="240660"/>
    <x v="0"/>
    <n v="16797.810000000001"/>
    <s v="5 Series"/>
    <x v="3"/>
    <x v="1"/>
    <x v="8"/>
    <n v="7.0000000000000007E-2"/>
    <x v="0"/>
  </r>
  <r>
    <n v="1610"/>
    <x v="4"/>
    <n v="2019"/>
    <x v="18"/>
    <x v="0"/>
    <n v="299738"/>
    <x v="2"/>
    <n v="94121.24"/>
    <s v="CR-V"/>
    <x v="3"/>
    <x v="1"/>
    <x v="5"/>
    <n v="0.31"/>
    <x v="1"/>
  </r>
  <r>
    <n v="1611"/>
    <x v="5"/>
    <n v="2008"/>
    <x v="1"/>
    <x v="0"/>
    <n v="265808"/>
    <x v="2"/>
    <n v="96794.1"/>
    <s v="C-Class"/>
    <x v="3"/>
    <x v="1"/>
    <x v="22"/>
    <n v="0.36"/>
    <x v="0"/>
  </r>
  <r>
    <n v="1612"/>
    <x v="1"/>
    <n v="2013"/>
    <x v="26"/>
    <x v="0"/>
    <n v="272672"/>
    <x v="0"/>
    <n v="97511.18"/>
    <s v="X3"/>
    <x v="1"/>
    <x v="1"/>
    <x v="2"/>
    <n v="0.36"/>
    <x v="0"/>
  </r>
  <r>
    <n v="1613"/>
    <x v="6"/>
    <n v="2011"/>
    <x v="5"/>
    <x v="0"/>
    <n v="159262"/>
    <x v="1"/>
    <n v="8716.86"/>
    <s v="Corolla"/>
    <x v="0"/>
    <x v="1"/>
    <x v="3"/>
    <n v="0.05"/>
    <x v="1"/>
  </r>
  <r>
    <n v="1614"/>
    <x v="4"/>
    <n v="2005"/>
    <x v="27"/>
    <x v="1"/>
    <n v="197105"/>
    <x v="2"/>
    <n v="94888.77"/>
    <s v="Civic"/>
    <x v="2"/>
    <x v="1"/>
    <x v="14"/>
    <n v="0.48"/>
    <x v="1"/>
  </r>
  <r>
    <n v="1615"/>
    <x v="5"/>
    <n v="2016"/>
    <x v="8"/>
    <x v="1"/>
    <n v="204249"/>
    <x v="0"/>
    <n v="99754.42"/>
    <s v="E-Class"/>
    <x v="2"/>
    <x v="1"/>
    <x v="0"/>
    <n v="0.49"/>
    <x v="0"/>
  </r>
  <r>
    <n v="1616"/>
    <x v="3"/>
    <n v="2018"/>
    <x v="41"/>
    <x v="1"/>
    <n v="128404"/>
    <x v="1"/>
    <n v="94530.77"/>
    <s v="Explorer"/>
    <x v="0"/>
    <x v="0"/>
    <x v="1"/>
    <n v="0.74"/>
    <x v="1"/>
  </r>
  <r>
    <n v="1617"/>
    <x v="5"/>
    <n v="2018"/>
    <x v="39"/>
    <x v="1"/>
    <n v="201664"/>
    <x v="2"/>
    <n v="68739.199999999997"/>
    <s v="GLA"/>
    <x v="2"/>
    <x v="1"/>
    <x v="1"/>
    <n v="0.34"/>
    <x v="0"/>
  </r>
  <r>
    <n v="1618"/>
    <x v="0"/>
    <n v="2015"/>
    <x v="15"/>
    <x v="0"/>
    <n v="295043"/>
    <x v="0"/>
    <n v="71616.86"/>
    <s v="Model Y"/>
    <x v="0"/>
    <x v="1"/>
    <x v="16"/>
    <n v="0.24"/>
    <x v="0"/>
  </r>
  <r>
    <n v="1619"/>
    <x v="6"/>
    <n v="2011"/>
    <x v="47"/>
    <x v="0"/>
    <n v="17241"/>
    <x v="2"/>
    <n v="16614.03"/>
    <s v="Corolla"/>
    <x v="0"/>
    <x v="2"/>
    <x v="3"/>
    <n v="0.96"/>
    <x v="1"/>
  </r>
  <r>
    <n v="1620"/>
    <x v="4"/>
    <n v="2011"/>
    <x v="16"/>
    <x v="1"/>
    <n v="63472"/>
    <x v="2"/>
    <n v="88058.22"/>
    <s v="CR-V"/>
    <x v="2"/>
    <x v="0"/>
    <x v="3"/>
    <n v="1.39"/>
    <x v="1"/>
  </r>
  <r>
    <n v="1621"/>
    <x v="3"/>
    <n v="2019"/>
    <x v="33"/>
    <x v="1"/>
    <n v="205320"/>
    <x v="0"/>
    <n v="10665.76"/>
    <s v="Mustang"/>
    <x v="3"/>
    <x v="1"/>
    <x v="5"/>
    <n v="0.05"/>
    <x v="1"/>
  </r>
  <r>
    <n v="1622"/>
    <x v="6"/>
    <n v="2005"/>
    <x v="21"/>
    <x v="0"/>
    <n v="31346"/>
    <x v="2"/>
    <n v="35184.400000000001"/>
    <s v="RAV4"/>
    <x v="1"/>
    <x v="2"/>
    <x v="14"/>
    <n v="1.1200000000000001"/>
    <x v="1"/>
  </r>
  <r>
    <n v="1623"/>
    <x v="5"/>
    <n v="2022"/>
    <x v="36"/>
    <x v="0"/>
    <n v="81196"/>
    <x v="0"/>
    <n v="99159.41"/>
    <s v="E-Class"/>
    <x v="0"/>
    <x v="0"/>
    <x v="13"/>
    <n v="1.22"/>
    <x v="0"/>
  </r>
  <r>
    <n v="1624"/>
    <x v="6"/>
    <n v="2003"/>
    <x v="36"/>
    <x v="0"/>
    <n v="208196"/>
    <x v="1"/>
    <n v="45121.15"/>
    <s v="Corolla"/>
    <x v="1"/>
    <x v="1"/>
    <x v="21"/>
    <n v="0.22"/>
    <x v="1"/>
  </r>
  <r>
    <n v="1625"/>
    <x v="4"/>
    <n v="2005"/>
    <x v="46"/>
    <x v="1"/>
    <n v="149014"/>
    <x v="0"/>
    <n v="17459.84"/>
    <s v="Fit"/>
    <x v="2"/>
    <x v="0"/>
    <x v="14"/>
    <n v="0.12"/>
    <x v="1"/>
  </r>
  <r>
    <n v="1626"/>
    <x v="2"/>
    <n v="2010"/>
    <x v="34"/>
    <x v="0"/>
    <n v="298517"/>
    <x v="1"/>
    <n v="97082.99"/>
    <s v="A3"/>
    <x v="2"/>
    <x v="1"/>
    <x v="9"/>
    <n v="0.33"/>
    <x v="0"/>
  </r>
  <r>
    <n v="1627"/>
    <x v="6"/>
    <n v="2000"/>
    <x v="23"/>
    <x v="0"/>
    <n v="120623"/>
    <x v="2"/>
    <n v="98493.27"/>
    <s v="RAV4"/>
    <x v="3"/>
    <x v="0"/>
    <x v="18"/>
    <n v="0.82"/>
    <x v="1"/>
  </r>
  <r>
    <n v="1628"/>
    <x v="0"/>
    <n v="2023"/>
    <x v="12"/>
    <x v="1"/>
    <n v="2016"/>
    <x v="0"/>
    <n v="22769.06"/>
    <s v="Model S"/>
    <x v="0"/>
    <x v="2"/>
    <x v="8"/>
    <n v="11.29"/>
    <x v="0"/>
  </r>
  <r>
    <n v="1629"/>
    <x v="6"/>
    <n v="2022"/>
    <x v="42"/>
    <x v="1"/>
    <n v="7274"/>
    <x v="0"/>
    <n v="87156.36"/>
    <s v="Camry"/>
    <x v="2"/>
    <x v="2"/>
    <x v="13"/>
    <n v="11.98"/>
    <x v="1"/>
  </r>
  <r>
    <n v="1630"/>
    <x v="5"/>
    <n v="2014"/>
    <x v="42"/>
    <x v="1"/>
    <n v="15748"/>
    <x v="0"/>
    <n v="42090.22"/>
    <s v="GLC"/>
    <x v="0"/>
    <x v="2"/>
    <x v="12"/>
    <n v="2.67"/>
    <x v="0"/>
  </r>
  <r>
    <n v="1631"/>
    <x v="5"/>
    <n v="2010"/>
    <x v="47"/>
    <x v="0"/>
    <n v="11826"/>
    <x v="0"/>
    <n v="41230"/>
    <s v="C-Class"/>
    <x v="0"/>
    <x v="2"/>
    <x v="9"/>
    <n v="3.49"/>
    <x v="0"/>
  </r>
  <r>
    <n v="1632"/>
    <x v="3"/>
    <n v="2018"/>
    <x v="21"/>
    <x v="0"/>
    <n v="129288"/>
    <x v="1"/>
    <n v="29956.28"/>
    <s v="Mustang"/>
    <x v="0"/>
    <x v="0"/>
    <x v="1"/>
    <n v="0.23"/>
    <x v="1"/>
  </r>
  <r>
    <n v="1633"/>
    <x v="5"/>
    <n v="2017"/>
    <x v="27"/>
    <x v="1"/>
    <n v="201081"/>
    <x v="1"/>
    <n v="9247.48"/>
    <s v="E-Class"/>
    <x v="0"/>
    <x v="1"/>
    <x v="7"/>
    <n v="0.05"/>
    <x v="0"/>
  </r>
  <r>
    <n v="1634"/>
    <x v="1"/>
    <n v="2016"/>
    <x v="30"/>
    <x v="0"/>
    <n v="251054"/>
    <x v="2"/>
    <n v="30460.85"/>
    <s v="5 Series"/>
    <x v="0"/>
    <x v="1"/>
    <x v="0"/>
    <n v="0.12"/>
    <x v="0"/>
  </r>
  <r>
    <n v="1635"/>
    <x v="4"/>
    <n v="2018"/>
    <x v="38"/>
    <x v="0"/>
    <n v="172507"/>
    <x v="2"/>
    <n v="10108.81"/>
    <s v="Fit"/>
    <x v="1"/>
    <x v="1"/>
    <x v="1"/>
    <n v="0.06"/>
    <x v="1"/>
  </r>
  <r>
    <n v="1636"/>
    <x v="4"/>
    <n v="2020"/>
    <x v="6"/>
    <x v="0"/>
    <n v="206089"/>
    <x v="2"/>
    <n v="92815.34"/>
    <s v="Fit"/>
    <x v="3"/>
    <x v="1"/>
    <x v="6"/>
    <n v="0.45"/>
    <x v="1"/>
  </r>
  <r>
    <n v="1637"/>
    <x v="2"/>
    <n v="2013"/>
    <x v="40"/>
    <x v="1"/>
    <n v="223023"/>
    <x v="2"/>
    <n v="67863.460000000006"/>
    <s v="Q7"/>
    <x v="0"/>
    <x v="1"/>
    <x v="2"/>
    <n v="0.3"/>
    <x v="0"/>
  </r>
  <r>
    <n v="1638"/>
    <x v="2"/>
    <n v="2017"/>
    <x v="40"/>
    <x v="1"/>
    <n v="192949"/>
    <x v="0"/>
    <n v="89229.15"/>
    <s v="Q7"/>
    <x v="1"/>
    <x v="1"/>
    <x v="7"/>
    <n v="0.46"/>
    <x v="0"/>
  </r>
  <r>
    <n v="1639"/>
    <x v="4"/>
    <n v="2018"/>
    <x v="39"/>
    <x v="0"/>
    <n v="69072"/>
    <x v="1"/>
    <n v="73142.61"/>
    <s v="Accord"/>
    <x v="2"/>
    <x v="0"/>
    <x v="1"/>
    <n v="1.06"/>
    <x v="1"/>
  </r>
  <r>
    <n v="1640"/>
    <x v="0"/>
    <n v="2014"/>
    <x v="13"/>
    <x v="0"/>
    <n v="67309"/>
    <x v="1"/>
    <n v="17472.25"/>
    <s v="Model S"/>
    <x v="0"/>
    <x v="0"/>
    <x v="12"/>
    <n v="0.26"/>
    <x v="0"/>
  </r>
  <r>
    <n v="1641"/>
    <x v="2"/>
    <n v="2014"/>
    <x v="32"/>
    <x v="0"/>
    <n v="160966"/>
    <x v="1"/>
    <n v="94355.25"/>
    <s v="Q7"/>
    <x v="2"/>
    <x v="1"/>
    <x v="12"/>
    <n v="0.59"/>
    <x v="0"/>
  </r>
  <r>
    <n v="1642"/>
    <x v="3"/>
    <n v="2003"/>
    <x v="26"/>
    <x v="0"/>
    <n v="185639"/>
    <x v="1"/>
    <n v="90489.84"/>
    <s v="Fiesta"/>
    <x v="0"/>
    <x v="1"/>
    <x v="21"/>
    <n v="0.49"/>
    <x v="1"/>
  </r>
  <r>
    <n v="1643"/>
    <x v="5"/>
    <n v="2006"/>
    <x v="40"/>
    <x v="1"/>
    <n v="35326"/>
    <x v="2"/>
    <n v="38067.230000000003"/>
    <s v="GLA"/>
    <x v="1"/>
    <x v="2"/>
    <x v="11"/>
    <n v="1.08"/>
    <x v="0"/>
  </r>
  <r>
    <n v="1644"/>
    <x v="4"/>
    <n v="2012"/>
    <x v="17"/>
    <x v="1"/>
    <n v="186131"/>
    <x v="0"/>
    <n v="15595.67"/>
    <s v="CR-V"/>
    <x v="1"/>
    <x v="1"/>
    <x v="15"/>
    <n v="0.08"/>
    <x v="1"/>
  </r>
  <r>
    <n v="1645"/>
    <x v="2"/>
    <n v="2002"/>
    <x v="0"/>
    <x v="0"/>
    <n v="267223"/>
    <x v="1"/>
    <n v="71894.7"/>
    <s v="Q5"/>
    <x v="1"/>
    <x v="1"/>
    <x v="23"/>
    <n v="0.27"/>
    <x v="0"/>
  </r>
  <r>
    <n v="1646"/>
    <x v="4"/>
    <n v="2015"/>
    <x v="43"/>
    <x v="0"/>
    <n v="87340"/>
    <x v="0"/>
    <n v="74194.320000000007"/>
    <s v="CR-V"/>
    <x v="3"/>
    <x v="0"/>
    <x v="16"/>
    <n v="0.85"/>
    <x v="1"/>
  </r>
  <r>
    <n v="1647"/>
    <x v="1"/>
    <n v="2008"/>
    <x v="34"/>
    <x v="1"/>
    <n v="167364"/>
    <x v="0"/>
    <n v="90198.76"/>
    <s v="3 Series"/>
    <x v="2"/>
    <x v="1"/>
    <x v="22"/>
    <n v="0.54"/>
    <x v="0"/>
  </r>
  <r>
    <n v="1648"/>
    <x v="6"/>
    <n v="2007"/>
    <x v="4"/>
    <x v="0"/>
    <n v="118192"/>
    <x v="0"/>
    <n v="10002.299999999999"/>
    <s v="RAV4"/>
    <x v="3"/>
    <x v="0"/>
    <x v="17"/>
    <n v="0.08"/>
    <x v="1"/>
  </r>
  <r>
    <n v="1649"/>
    <x v="5"/>
    <n v="2019"/>
    <x v="6"/>
    <x v="1"/>
    <n v="251749"/>
    <x v="0"/>
    <n v="18461.86"/>
    <s v="GLC"/>
    <x v="0"/>
    <x v="1"/>
    <x v="5"/>
    <n v="7.0000000000000007E-2"/>
    <x v="0"/>
  </r>
  <r>
    <n v="1650"/>
    <x v="4"/>
    <n v="2012"/>
    <x v="49"/>
    <x v="0"/>
    <n v="51818"/>
    <x v="1"/>
    <n v="61833.64"/>
    <s v="Civic"/>
    <x v="2"/>
    <x v="0"/>
    <x v="15"/>
    <n v="1.19"/>
    <x v="1"/>
  </r>
  <r>
    <n v="1651"/>
    <x v="6"/>
    <n v="2016"/>
    <x v="23"/>
    <x v="1"/>
    <n v="13429"/>
    <x v="1"/>
    <n v="63817.5"/>
    <s v="RAV4"/>
    <x v="1"/>
    <x v="2"/>
    <x v="0"/>
    <n v="4.75"/>
    <x v="1"/>
  </r>
  <r>
    <n v="1652"/>
    <x v="2"/>
    <n v="2016"/>
    <x v="24"/>
    <x v="0"/>
    <n v="57748"/>
    <x v="1"/>
    <n v="8192.92"/>
    <s v="Q5"/>
    <x v="2"/>
    <x v="0"/>
    <x v="0"/>
    <n v="0.14000000000000001"/>
    <x v="0"/>
  </r>
  <r>
    <n v="1653"/>
    <x v="6"/>
    <n v="2016"/>
    <x v="46"/>
    <x v="0"/>
    <n v="48807"/>
    <x v="2"/>
    <n v="42708.54"/>
    <s v="RAV4"/>
    <x v="1"/>
    <x v="2"/>
    <x v="0"/>
    <n v="0.88"/>
    <x v="1"/>
  </r>
  <r>
    <n v="1654"/>
    <x v="5"/>
    <n v="2000"/>
    <x v="29"/>
    <x v="1"/>
    <n v="269284"/>
    <x v="1"/>
    <n v="60495.360000000001"/>
    <s v="GLA"/>
    <x v="3"/>
    <x v="1"/>
    <x v="18"/>
    <n v="0.22"/>
    <x v="0"/>
  </r>
  <r>
    <n v="1655"/>
    <x v="4"/>
    <n v="2007"/>
    <x v="13"/>
    <x v="1"/>
    <n v="238161"/>
    <x v="2"/>
    <n v="75101.58"/>
    <s v="Fit"/>
    <x v="3"/>
    <x v="1"/>
    <x v="17"/>
    <n v="0.32"/>
    <x v="1"/>
  </r>
  <r>
    <n v="1656"/>
    <x v="1"/>
    <n v="2018"/>
    <x v="40"/>
    <x v="0"/>
    <n v="290669"/>
    <x v="2"/>
    <n v="35034.32"/>
    <s v="X5"/>
    <x v="1"/>
    <x v="1"/>
    <x v="1"/>
    <n v="0.12"/>
    <x v="0"/>
  </r>
  <r>
    <n v="1657"/>
    <x v="0"/>
    <n v="2005"/>
    <x v="28"/>
    <x v="0"/>
    <n v="282635"/>
    <x v="2"/>
    <n v="50970.83"/>
    <s v="Model X"/>
    <x v="0"/>
    <x v="1"/>
    <x v="14"/>
    <n v="0.18"/>
    <x v="0"/>
  </r>
  <r>
    <n v="1658"/>
    <x v="2"/>
    <n v="2002"/>
    <x v="22"/>
    <x v="1"/>
    <n v="199888"/>
    <x v="1"/>
    <n v="82335.210000000006"/>
    <s v="A4"/>
    <x v="0"/>
    <x v="1"/>
    <x v="23"/>
    <n v="0.41"/>
    <x v="0"/>
  </r>
  <r>
    <n v="1659"/>
    <x v="4"/>
    <n v="2004"/>
    <x v="24"/>
    <x v="1"/>
    <n v="166052"/>
    <x v="1"/>
    <n v="95620.03"/>
    <s v="Civic"/>
    <x v="3"/>
    <x v="1"/>
    <x v="19"/>
    <n v="0.57999999999999996"/>
    <x v="1"/>
  </r>
  <r>
    <n v="1660"/>
    <x v="5"/>
    <n v="2012"/>
    <x v="19"/>
    <x v="0"/>
    <n v="226597"/>
    <x v="1"/>
    <n v="26879.89"/>
    <s v="C-Class"/>
    <x v="3"/>
    <x v="1"/>
    <x v="15"/>
    <n v="0.12"/>
    <x v="0"/>
  </r>
  <r>
    <n v="1661"/>
    <x v="2"/>
    <n v="2014"/>
    <x v="11"/>
    <x v="0"/>
    <n v="8078"/>
    <x v="2"/>
    <n v="29039.01"/>
    <s v="A4"/>
    <x v="0"/>
    <x v="2"/>
    <x v="12"/>
    <n v="3.59"/>
    <x v="0"/>
  </r>
  <r>
    <n v="1662"/>
    <x v="3"/>
    <n v="2013"/>
    <x v="10"/>
    <x v="1"/>
    <n v="91654"/>
    <x v="2"/>
    <n v="94282.73"/>
    <s v="Mustang"/>
    <x v="3"/>
    <x v="0"/>
    <x v="2"/>
    <n v="1.03"/>
    <x v="1"/>
  </r>
  <r>
    <n v="1663"/>
    <x v="6"/>
    <n v="2022"/>
    <x v="44"/>
    <x v="1"/>
    <n v="129101"/>
    <x v="0"/>
    <n v="42611.56"/>
    <s v="RAV4"/>
    <x v="1"/>
    <x v="0"/>
    <x v="13"/>
    <n v="0.33"/>
    <x v="1"/>
  </r>
  <r>
    <n v="1664"/>
    <x v="0"/>
    <n v="2015"/>
    <x v="29"/>
    <x v="1"/>
    <n v="16997"/>
    <x v="2"/>
    <n v="73243.09"/>
    <s v="Model 3"/>
    <x v="0"/>
    <x v="2"/>
    <x v="16"/>
    <n v="4.3099999999999996"/>
    <x v="0"/>
  </r>
  <r>
    <n v="1665"/>
    <x v="5"/>
    <n v="2017"/>
    <x v="25"/>
    <x v="1"/>
    <n v="131940"/>
    <x v="2"/>
    <n v="63165.2"/>
    <s v="C-Class"/>
    <x v="2"/>
    <x v="0"/>
    <x v="7"/>
    <n v="0.48"/>
    <x v="0"/>
  </r>
  <r>
    <n v="1666"/>
    <x v="3"/>
    <n v="2021"/>
    <x v="24"/>
    <x v="1"/>
    <n v="212650"/>
    <x v="1"/>
    <n v="32130.83"/>
    <s v="Fiesta"/>
    <x v="3"/>
    <x v="1"/>
    <x v="20"/>
    <n v="0.15"/>
    <x v="1"/>
  </r>
  <r>
    <n v="1667"/>
    <x v="4"/>
    <n v="2021"/>
    <x v="23"/>
    <x v="0"/>
    <n v="283390"/>
    <x v="0"/>
    <n v="67088.41"/>
    <s v="CR-V"/>
    <x v="0"/>
    <x v="1"/>
    <x v="20"/>
    <n v="0.24"/>
    <x v="1"/>
  </r>
  <r>
    <n v="1668"/>
    <x v="1"/>
    <n v="2010"/>
    <x v="44"/>
    <x v="0"/>
    <n v="151633"/>
    <x v="0"/>
    <n v="67278.759999999995"/>
    <s v="X5"/>
    <x v="1"/>
    <x v="1"/>
    <x v="9"/>
    <n v="0.44"/>
    <x v="0"/>
  </r>
  <r>
    <n v="1669"/>
    <x v="2"/>
    <n v="2002"/>
    <x v="34"/>
    <x v="1"/>
    <n v="34512"/>
    <x v="0"/>
    <n v="61282.1"/>
    <s v="A4"/>
    <x v="2"/>
    <x v="2"/>
    <x v="23"/>
    <n v="1.78"/>
    <x v="0"/>
  </r>
  <r>
    <n v="1670"/>
    <x v="6"/>
    <n v="2021"/>
    <x v="46"/>
    <x v="0"/>
    <n v="225226"/>
    <x v="1"/>
    <n v="14467.78"/>
    <s v="Prius"/>
    <x v="1"/>
    <x v="1"/>
    <x v="20"/>
    <n v="0.06"/>
    <x v="1"/>
  </r>
  <r>
    <n v="1671"/>
    <x v="2"/>
    <n v="2009"/>
    <x v="35"/>
    <x v="0"/>
    <n v="208467"/>
    <x v="0"/>
    <n v="99541.32"/>
    <s v="A3"/>
    <x v="3"/>
    <x v="1"/>
    <x v="4"/>
    <n v="0.48"/>
    <x v="0"/>
  </r>
  <r>
    <n v="1672"/>
    <x v="0"/>
    <n v="2009"/>
    <x v="3"/>
    <x v="1"/>
    <n v="72144"/>
    <x v="0"/>
    <n v="43039.56"/>
    <s v="Model X"/>
    <x v="0"/>
    <x v="0"/>
    <x v="4"/>
    <n v="0.6"/>
    <x v="0"/>
  </r>
  <r>
    <n v="1673"/>
    <x v="4"/>
    <n v="2020"/>
    <x v="25"/>
    <x v="0"/>
    <n v="173557"/>
    <x v="1"/>
    <n v="65633.84"/>
    <s v="CR-V"/>
    <x v="2"/>
    <x v="1"/>
    <x v="6"/>
    <n v="0.38"/>
    <x v="1"/>
  </r>
  <r>
    <n v="1674"/>
    <x v="2"/>
    <n v="2015"/>
    <x v="44"/>
    <x v="0"/>
    <n v="117363"/>
    <x v="0"/>
    <n v="89147.36"/>
    <s v="A4"/>
    <x v="3"/>
    <x v="0"/>
    <x v="16"/>
    <n v="0.76"/>
    <x v="0"/>
  </r>
  <r>
    <n v="1675"/>
    <x v="6"/>
    <n v="2011"/>
    <x v="50"/>
    <x v="0"/>
    <n v="201484"/>
    <x v="2"/>
    <n v="45212.41"/>
    <s v="Prius"/>
    <x v="0"/>
    <x v="1"/>
    <x v="3"/>
    <n v="0.22"/>
    <x v="1"/>
  </r>
  <r>
    <n v="1676"/>
    <x v="4"/>
    <n v="2001"/>
    <x v="49"/>
    <x v="1"/>
    <n v="181675"/>
    <x v="2"/>
    <n v="78522.880000000005"/>
    <s v="CR-V"/>
    <x v="3"/>
    <x v="1"/>
    <x v="10"/>
    <n v="0.43"/>
    <x v="1"/>
  </r>
  <r>
    <n v="1677"/>
    <x v="2"/>
    <n v="2008"/>
    <x v="27"/>
    <x v="1"/>
    <n v="152110"/>
    <x v="2"/>
    <n v="97323.32"/>
    <s v="A3"/>
    <x v="3"/>
    <x v="1"/>
    <x v="22"/>
    <n v="0.64"/>
    <x v="0"/>
  </r>
  <r>
    <n v="1678"/>
    <x v="1"/>
    <n v="2023"/>
    <x v="29"/>
    <x v="0"/>
    <n v="93542"/>
    <x v="2"/>
    <n v="39098.800000000003"/>
    <s v="5 Series"/>
    <x v="3"/>
    <x v="0"/>
    <x v="8"/>
    <n v="0.42"/>
    <x v="0"/>
  </r>
  <r>
    <n v="1679"/>
    <x v="5"/>
    <n v="2002"/>
    <x v="20"/>
    <x v="0"/>
    <n v="276469"/>
    <x v="2"/>
    <n v="43500.61"/>
    <s v="C-Class"/>
    <x v="1"/>
    <x v="1"/>
    <x v="23"/>
    <n v="0.16"/>
    <x v="0"/>
  </r>
  <r>
    <n v="1680"/>
    <x v="4"/>
    <n v="2023"/>
    <x v="50"/>
    <x v="0"/>
    <n v="166964"/>
    <x v="2"/>
    <n v="91029.73"/>
    <s v="Accord"/>
    <x v="1"/>
    <x v="1"/>
    <x v="8"/>
    <n v="0.55000000000000004"/>
    <x v="1"/>
  </r>
  <r>
    <n v="1681"/>
    <x v="5"/>
    <n v="2014"/>
    <x v="15"/>
    <x v="0"/>
    <n v="149068"/>
    <x v="2"/>
    <n v="20166.07"/>
    <s v="GLA"/>
    <x v="2"/>
    <x v="0"/>
    <x v="12"/>
    <n v="0.14000000000000001"/>
    <x v="0"/>
  </r>
  <r>
    <n v="1682"/>
    <x v="4"/>
    <n v="2002"/>
    <x v="31"/>
    <x v="0"/>
    <n v="205355"/>
    <x v="2"/>
    <n v="7716.51"/>
    <s v="Civic"/>
    <x v="2"/>
    <x v="1"/>
    <x v="23"/>
    <n v="0.04"/>
    <x v="1"/>
  </r>
  <r>
    <n v="1683"/>
    <x v="1"/>
    <n v="2018"/>
    <x v="46"/>
    <x v="0"/>
    <n v="116737"/>
    <x v="2"/>
    <n v="91344.46"/>
    <s v="3 Series"/>
    <x v="2"/>
    <x v="0"/>
    <x v="1"/>
    <n v="0.78"/>
    <x v="0"/>
  </r>
  <r>
    <n v="1684"/>
    <x v="5"/>
    <n v="2017"/>
    <x v="23"/>
    <x v="1"/>
    <n v="262968"/>
    <x v="1"/>
    <n v="83051.199999999997"/>
    <s v="GLC"/>
    <x v="3"/>
    <x v="1"/>
    <x v="7"/>
    <n v="0.32"/>
    <x v="0"/>
  </r>
  <r>
    <n v="1685"/>
    <x v="3"/>
    <n v="2007"/>
    <x v="1"/>
    <x v="0"/>
    <n v="240417"/>
    <x v="1"/>
    <n v="97395.39"/>
    <s v="Explorer"/>
    <x v="1"/>
    <x v="1"/>
    <x v="17"/>
    <n v="0.41"/>
    <x v="1"/>
  </r>
  <r>
    <n v="1686"/>
    <x v="6"/>
    <n v="2016"/>
    <x v="42"/>
    <x v="0"/>
    <n v="117718"/>
    <x v="2"/>
    <n v="10532.59"/>
    <s v="RAV4"/>
    <x v="0"/>
    <x v="0"/>
    <x v="0"/>
    <n v="0.09"/>
    <x v="1"/>
  </r>
  <r>
    <n v="1687"/>
    <x v="3"/>
    <n v="2007"/>
    <x v="7"/>
    <x v="1"/>
    <n v="273661"/>
    <x v="1"/>
    <n v="19836.849999999999"/>
    <s v="Mustang"/>
    <x v="3"/>
    <x v="1"/>
    <x v="17"/>
    <n v="7.0000000000000007E-2"/>
    <x v="1"/>
  </r>
  <r>
    <n v="1688"/>
    <x v="2"/>
    <n v="2006"/>
    <x v="7"/>
    <x v="0"/>
    <n v="152755"/>
    <x v="1"/>
    <n v="15004.69"/>
    <s v="A4"/>
    <x v="3"/>
    <x v="1"/>
    <x v="11"/>
    <n v="0.1"/>
    <x v="0"/>
  </r>
  <r>
    <n v="1689"/>
    <x v="1"/>
    <n v="2006"/>
    <x v="22"/>
    <x v="0"/>
    <n v="207791"/>
    <x v="2"/>
    <n v="69924.53"/>
    <s v="X3"/>
    <x v="3"/>
    <x v="1"/>
    <x v="11"/>
    <n v="0.34"/>
    <x v="0"/>
  </r>
  <r>
    <n v="1690"/>
    <x v="3"/>
    <n v="2002"/>
    <x v="39"/>
    <x v="0"/>
    <n v="249120"/>
    <x v="2"/>
    <n v="62570.96"/>
    <s v="Mustang"/>
    <x v="0"/>
    <x v="1"/>
    <x v="23"/>
    <n v="0.25"/>
    <x v="1"/>
  </r>
  <r>
    <n v="1691"/>
    <x v="4"/>
    <n v="2000"/>
    <x v="17"/>
    <x v="0"/>
    <n v="254322"/>
    <x v="1"/>
    <n v="39136.839999999997"/>
    <s v="Civic"/>
    <x v="2"/>
    <x v="1"/>
    <x v="18"/>
    <n v="0.15"/>
    <x v="1"/>
  </r>
  <r>
    <n v="1692"/>
    <x v="2"/>
    <n v="2003"/>
    <x v="21"/>
    <x v="1"/>
    <n v="209485"/>
    <x v="2"/>
    <n v="10455.23"/>
    <s v="A3"/>
    <x v="0"/>
    <x v="1"/>
    <x v="21"/>
    <n v="0.05"/>
    <x v="0"/>
  </r>
  <r>
    <n v="1693"/>
    <x v="2"/>
    <n v="2004"/>
    <x v="48"/>
    <x v="0"/>
    <n v="272126"/>
    <x v="2"/>
    <n v="65767.89"/>
    <s v="A3"/>
    <x v="2"/>
    <x v="1"/>
    <x v="19"/>
    <n v="0.24"/>
    <x v="0"/>
  </r>
  <r>
    <n v="1694"/>
    <x v="3"/>
    <n v="2000"/>
    <x v="21"/>
    <x v="1"/>
    <n v="145711"/>
    <x v="2"/>
    <n v="59161.45"/>
    <s v="Fiesta"/>
    <x v="0"/>
    <x v="0"/>
    <x v="18"/>
    <n v="0.41"/>
    <x v="1"/>
  </r>
  <r>
    <n v="1695"/>
    <x v="3"/>
    <n v="2014"/>
    <x v="43"/>
    <x v="0"/>
    <n v="70210"/>
    <x v="2"/>
    <n v="15725.81"/>
    <s v="Focus"/>
    <x v="1"/>
    <x v="0"/>
    <x v="12"/>
    <n v="0.22"/>
    <x v="1"/>
  </r>
  <r>
    <n v="1696"/>
    <x v="1"/>
    <n v="2004"/>
    <x v="27"/>
    <x v="0"/>
    <n v="69852"/>
    <x v="1"/>
    <n v="91346.42"/>
    <s v="X5"/>
    <x v="3"/>
    <x v="0"/>
    <x v="19"/>
    <n v="1.31"/>
    <x v="0"/>
  </r>
  <r>
    <n v="1697"/>
    <x v="6"/>
    <n v="2012"/>
    <x v="33"/>
    <x v="1"/>
    <n v="255139"/>
    <x v="0"/>
    <n v="23900.22"/>
    <s v="Corolla"/>
    <x v="3"/>
    <x v="1"/>
    <x v="15"/>
    <n v="0.09"/>
    <x v="1"/>
  </r>
  <r>
    <n v="1698"/>
    <x v="3"/>
    <n v="2007"/>
    <x v="49"/>
    <x v="0"/>
    <n v="9695"/>
    <x v="1"/>
    <n v="75633.37"/>
    <s v="Mustang"/>
    <x v="3"/>
    <x v="2"/>
    <x v="17"/>
    <n v="7.8"/>
    <x v="1"/>
  </r>
  <r>
    <n v="1699"/>
    <x v="0"/>
    <n v="2007"/>
    <x v="7"/>
    <x v="1"/>
    <n v="48582"/>
    <x v="0"/>
    <n v="89082.21"/>
    <s v="Model X"/>
    <x v="0"/>
    <x v="2"/>
    <x v="17"/>
    <n v="1.83"/>
    <x v="0"/>
  </r>
  <r>
    <n v="1700"/>
    <x v="3"/>
    <n v="2004"/>
    <x v="9"/>
    <x v="1"/>
    <n v="293238"/>
    <x v="0"/>
    <n v="60050.12"/>
    <s v="Mustang"/>
    <x v="0"/>
    <x v="1"/>
    <x v="19"/>
    <n v="0.2"/>
    <x v="1"/>
  </r>
  <r>
    <n v="1701"/>
    <x v="5"/>
    <n v="2008"/>
    <x v="2"/>
    <x v="1"/>
    <n v="191707"/>
    <x v="0"/>
    <n v="28450.65"/>
    <s v="E-Class"/>
    <x v="1"/>
    <x v="1"/>
    <x v="22"/>
    <n v="0.15"/>
    <x v="0"/>
  </r>
  <r>
    <n v="1702"/>
    <x v="4"/>
    <n v="2000"/>
    <x v="46"/>
    <x v="0"/>
    <n v="284331"/>
    <x v="1"/>
    <n v="34378.61"/>
    <s v="Civic"/>
    <x v="0"/>
    <x v="1"/>
    <x v="18"/>
    <n v="0.12"/>
    <x v="1"/>
  </r>
  <r>
    <n v="1703"/>
    <x v="0"/>
    <n v="2003"/>
    <x v="22"/>
    <x v="0"/>
    <n v="128721"/>
    <x v="1"/>
    <n v="89146.02"/>
    <s v="Model S"/>
    <x v="0"/>
    <x v="0"/>
    <x v="21"/>
    <n v="0.69"/>
    <x v="0"/>
  </r>
  <r>
    <n v="1704"/>
    <x v="0"/>
    <n v="2002"/>
    <x v="15"/>
    <x v="0"/>
    <n v="106683"/>
    <x v="1"/>
    <n v="33334.43"/>
    <s v="Model X"/>
    <x v="0"/>
    <x v="0"/>
    <x v="23"/>
    <n v="0.31"/>
    <x v="0"/>
  </r>
  <r>
    <n v="1705"/>
    <x v="5"/>
    <n v="2001"/>
    <x v="27"/>
    <x v="0"/>
    <n v="263358"/>
    <x v="1"/>
    <n v="75888.100000000006"/>
    <s v="GLA"/>
    <x v="1"/>
    <x v="1"/>
    <x v="10"/>
    <n v="0.28999999999999998"/>
    <x v="0"/>
  </r>
  <r>
    <n v="1706"/>
    <x v="5"/>
    <n v="2007"/>
    <x v="32"/>
    <x v="1"/>
    <n v="286084"/>
    <x v="1"/>
    <n v="99065.7"/>
    <s v="GLC"/>
    <x v="3"/>
    <x v="1"/>
    <x v="17"/>
    <n v="0.35"/>
    <x v="0"/>
  </r>
  <r>
    <n v="1707"/>
    <x v="2"/>
    <n v="2022"/>
    <x v="46"/>
    <x v="0"/>
    <n v="44406"/>
    <x v="0"/>
    <n v="99982.59"/>
    <s v="A3"/>
    <x v="0"/>
    <x v="2"/>
    <x v="13"/>
    <n v="2.25"/>
    <x v="0"/>
  </r>
  <r>
    <n v="1708"/>
    <x v="6"/>
    <n v="2008"/>
    <x v="32"/>
    <x v="0"/>
    <n v="147049"/>
    <x v="1"/>
    <n v="55680.58"/>
    <s v="Corolla"/>
    <x v="3"/>
    <x v="0"/>
    <x v="22"/>
    <n v="0.38"/>
    <x v="1"/>
  </r>
  <r>
    <n v="1709"/>
    <x v="4"/>
    <n v="2001"/>
    <x v="22"/>
    <x v="1"/>
    <n v="235994"/>
    <x v="0"/>
    <n v="83522.8"/>
    <s v="Fit"/>
    <x v="0"/>
    <x v="1"/>
    <x v="10"/>
    <n v="0.35"/>
    <x v="1"/>
  </r>
  <r>
    <n v="1710"/>
    <x v="1"/>
    <n v="2013"/>
    <x v="41"/>
    <x v="1"/>
    <n v="187313"/>
    <x v="1"/>
    <n v="99073.74"/>
    <s v="5 Series"/>
    <x v="1"/>
    <x v="1"/>
    <x v="2"/>
    <n v="0.53"/>
    <x v="0"/>
  </r>
  <r>
    <n v="1711"/>
    <x v="0"/>
    <n v="2013"/>
    <x v="27"/>
    <x v="0"/>
    <n v="204573"/>
    <x v="1"/>
    <n v="40593.919999999998"/>
    <s v="Model 3"/>
    <x v="0"/>
    <x v="1"/>
    <x v="2"/>
    <n v="0.2"/>
    <x v="0"/>
  </r>
  <r>
    <n v="1712"/>
    <x v="1"/>
    <n v="2003"/>
    <x v="27"/>
    <x v="1"/>
    <n v="206205"/>
    <x v="2"/>
    <n v="28978.91"/>
    <s v="X5"/>
    <x v="3"/>
    <x v="1"/>
    <x v="21"/>
    <n v="0.14000000000000001"/>
    <x v="0"/>
  </r>
  <r>
    <n v="1713"/>
    <x v="3"/>
    <n v="2005"/>
    <x v="29"/>
    <x v="1"/>
    <n v="60481"/>
    <x v="0"/>
    <n v="15852.17"/>
    <s v="Explorer"/>
    <x v="1"/>
    <x v="0"/>
    <x v="14"/>
    <n v="0.26"/>
    <x v="1"/>
  </r>
  <r>
    <n v="1714"/>
    <x v="3"/>
    <n v="2010"/>
    <x v="20"/>
    <x v="1"/>
    <n v="238084"/>
    <x v="1"/>
    <n v="18385.47"/>
    <s v="Mustang"/>
    <x v="2"/>
    <x v="1"/>
    <x v="9"/>
    <n v="0.08"/>
    <x v="1"/>
  </r>
  <r>
    <n v="1715"/>
    <x v="1"/>
    <n v="2002"/>
    <x v="45"/>
    <x v="1"/>
    <n v="289884"/>
    <x v="1"/>
    <n v="86087.85"/>
    <s v="X3"/>
    <x v="1"/>
    <x v="1"/>
    <x v="23"/>
    <n v="0.3"/>
    <x v="0"/>
  </r>
  <r>
    <n v="1716"/>
    <x v="3"/>
    <n v="2007"/>
    <x v="41"/>
    <x v="1"/>
    <n v="274025"/>
    <x v="1"/>
    <n v="60928.69"/>
    <s v="Explorer"/>
    <x v="2"/>
    <x v="1"/>
    <x v="17"/>
    <n v="0.22"/>
    <x v="1"/>
  </r>
  <r>
    <n v="1717"/>
    <x v="6"/>
    <n v="2002"/>
    <x v="40"/>
    <x v="0"/>
    <n v="299140"/>
    <x v="2"/>
    <n v="88002.37"/>
    <s v="Camry"/>
    <x v="1"/>
    <x v="1"/>
    <x v="23"/>
    <n v="0.28999999999999998"/>
    <x v="1"/>
  </r>
  <r>
    <n v="1718"/>
    <x v="5"/>
    <n v="2013"/>
    <x v="35"/>
    <x v="0"/>
    <n v="163249"/>
    <x v="0"/>
    <n v="79998.23"/>
    <s v="E-Class"/>
    <x v="3"/>
    <x v="1"/>
    <x v="2"/>
    <n v="0.49"/>
    <x v="0"/>
  </r>
  <r>
    <n v="1719"/>
    <x v="3"/>
    <n v="2012"/>
    <x v="12"/>
    <x v="0"/>
    <n v="122196"/>
    <x v="1"/>
    <n v="69005.740000000005"/>
    <s v="Focus"/>
    <x v="3"/>
    <x v="0"/>
    <x v="15"/>
    <n v="0.56000000000000005"/>
    <x v="1"/>
  </r>
  <r>
    <n v="1720"/>
    <x v="2"/>
    <n v="2012"/>
    <x v="37"/>
    <x v="0"/>
    <n v="37177"/>
    <x v="1"/>
    <n v="62884.66"/>
    <s v="A4"/>
    <x v="2"/>
    <x v="2"/>
    <x v="15"/>
    <n v="1.69"/>
    <x v="0"/>
  </r>
  <r>
    <n v="1721"/>
    <x v="3"/>
    <n v="2001"/>
    <x v="42"/>
    <x v="0"/>
    <n v="66126"/>
    <x v="1"/>
    <n v="9592.2000000000007"/>
    <s v="Mustang"/>
    <x v="3"/>
    <x v="0"/>
    <x v="10"/>
    <n v="0.15"/>
    <x v="1"/>
  </r>
  <r>
    <n v="1722"/>
    <x v="4"/>
    <n v="2012"/>
    <x v="46"/>
    <x v="0"/>
    <n v="26119"/>
    <x v="2"/>
    <n v="87866.14"/>
    <s v="Fit"/>
    <x v="1"/>
    <x v="2"/>
    <x v="15"/>
    <n v="3.36"/>
    <x v="1"/>
  </r>
  <r>
    <n v="1723"/>
    <x v="6"/>
    <n v="2018"/>
    <x v="9"/>
    <x v="0"/>
    <n v="117744"/>
    <x v="1"/>
    <n v="44695"/>
    <s v="Corolla"/>
    <x v="1"/>
    <x v="0"/>
    <x v="1"/>
    <n v="0.38"/>
    <x v="1"/>
  </r>
  <r>
    <n v="1724"/>
    <x v="4"/>
    <n v="2005"/>
    <x v="18"/>
    <x v="1"/>
    <n v="116894"/>
    <x v="0"/>
    <n v="58179.75"/>
    <s v="CR-V"/>
    <x v="3"/>
    <x v="0"/>
    <x v="14"/>
    <n v="0.5"/>
    <x v="1"/>
  </r>
  <r>
    <n v="1725"/>
    <x v="4"/>
    <n v="2015"/>
    <x v="29"/>
    <x v="0"/>
    <n v="158987"/>
    <x v="0"/>
    <n v="7085.58"/>
    <s v="Accord"/>
    <x v="1"/>
    <x v="1"/>
    <x v="16"/>
    <n v="0.04"/>
    <x v="1"/>
  </r>
  <r>
    <n v="1726"/>
    <x v="2"/>
    <n v="2001"/>
    <x v="41"/>
    <x v="0"/>
    <n v="44989"/>
    <x v="0"/>
    <n v="93926.98"/>
    <s v="A4"/>
    <x v="0"/>
    <x v="2"/>
    <x v="10"/>
    <n v="2.09"/>
    <x v="0"/>
  </r>
  <r>
    <n v="1727"/>
    <x v="6"/>
    <n v="2007"/>
    <x v="41"/>
    <x v="0"/>
    <n v="284250"/>
    <x v="0"/>
    <n v="90760.34"/>
    <s v="RAV4"/>
    <x v="0"/>
    <x v="1"/>
    <x v="17"/>
    <n v="0.32"/>
    <x v="1"/>
  </r>
  <r>
    <n v="1728"/>
    <x v="6"/>
    <n v="2016"/>
    <x v="4"/>
    <x v="1"/>
    <n v="279275"/>
    <x v="1"/>
    <n v="56611.41"/>
    <s v="Prius"/>
    <x v="1"/>
    <x v="1"/>
    <x v="0"/>
    <n v="0.2"/>
    <x v="1"/>
  </r>
  <r>
    <n v="1729"/>
    <x v="6"/>
    <n v="2022"/>
    <x v="10"/>
    <x v="0"/>
    <n v="6553"/>
    <x v="2"/>
    <n v="59844.61"/>
    <s v="Corolla"/>
    <x v="3"/>
    <x v="2"/>
    <x v="13"/>
    <n v="9.1300000000000008"/>
    <x v="1"/>
  </r>
  <r>
    <n v="1730"/>
    <x v="6"/>
    <n v="2001"/>
    <x v="39"/>
    <x v="0"/>
    <n v="17881"/>
    <x v="2"/>
    <n v="71976.639999999999"/>
    <s v="Prius"/>
    <x v="2"/>
    <x v="2"/>
    <x v="10"/>
    <n v="4.03"/>
    <x v="1"/>
  </r>
  <r>
    <n v="1731"/>
    <x v="6"/>
    <n v="2009"/>
    <x v="44"/>
    <x v="1"/>
    <n v="1379"/>
    <x v="2"/>
    <n v="30146.02"/>
    <s v="Prius"/>
    <x v="3"/>
    <x v="2"/>
    <x v="4"/>
    <n v="21.86"/>
    <x v="1"/>
  </r>
  <r>
    <n v="1732"/>
    <x v="2"/>
    <n v="2015"/>
    <x v="26"/>
    <x v="0"/>
    <n v="69306"/>
    <x v="1"/>
    <n v="26081.98"/>
    <s v="A4"/>
    <x v="2"/>
    <x v="0"/>
    <x v="16"/>
    <n v="0.38"/>
    <x v="0"/>
  </r>
  <r>
    <n v="1733"/>
    <x v="3"/>
    <n v="2005"/>
    <x v="44"/>
    <x v="0"/>
    <n v="243825"/>
    <x v="2"/>
    <n v="69032.179999999993"/>
    <s v="Focus"/>
    <x v="3"/>
    <x v="1"/>
    <x v="14"/>
    <n v="0.28000000000000003"/>
    <x v="1"/>
  </r>
  <r>
    <n v="1734"/>
    <x v="4"/>
    <n v="2001"/>
    <x v="30"/>
    <x v="1"/>
    <n v="104512"/>
    <x v="0"/>
    <n v="14920.13"/>
    <s v="Civic"/>
    <x v="1"/>
    <x v="0"/>
    <x v="10"/>
    <n v="0.14000000000000001"/>
    <x v="1"/>
  </r>
  <r>
    <n v="1735"/>
    <x v="6"/>
    <n v="2001"/>
    <x v="37"/>
    <x v="0"/>
    <n v="278494"/>
    <x v="1"/>
    <n v="48135.89"/>
    <s v="RAV4"/>
    <x v="0"/>
    <x v="1"/>
    <x v="10"/>
    <n v="0.17"/>
    <x v="1"/>
  </r>
  <r>
    <n v="1736"/>
    <x v="0"/>
    <n v="2012"/>
    <x v="13"/>
    <x v="1"/>
    <n v="99599"/>
    <x v="2"/>
    <n v="51812.24"/>
    <s v="Model S"/>
    <x v="0"/>
    <x v="0"/>
    <x v="15"/>
    <n v="0.52"/>
    <x v="0"/>
  </r>
  <r>
    <n v="1737"/>
    <x v="3"/>
    <n v="2023"/>
    <x v="32"/>
    <x v="0"/>
    <n v="81397"/>
    <x v="0"/>
    <n v="41227.01"/>
    <s v="Fiesta"/>
    <x v="2"/>
    <x v="0"/>
    <x v="8"/>
    <n v="0.51"/>
    <x v="1"/>
  </r>
  <r>
    <n v="1738"/>
    <x v="3"/>
    <n v="2014"/>
    <x v="33"/>
    <x v="0"/>
    <n v="17769"/>
    <x v="0"/>
    <n v="22600.48"/>
    <s v="Explorer"/>
    <x v="0"/>
    <x v="2"/>
    <x v="12"/>
    <n v="1.27"/>
    <x v="1"/>
  </r>
  <r>
    <n v="1739"/>
    <x v="4"/>
    <n v="2001"/>
    <x v="30"/>
    <x v="0"/>
    <n v="178321"/>
    <x v="1"/>
    <n v="38755.050000000003"/>
    <s v="Accord"/>
    <x v="2"/>
    <x v="1"/>
    <x v="10"/>
    <n v="0.22"/>
    <x v="1"/>
  </r>
  <r>
    <n v="1740"/>
    <x v="2"/>
    <n v="2006"/>
    <x v="18"/>
    <x v="1"/>
    <n v="101584"/>
    <x v="1"/>
    <n v="37067.94"/>
    <s v="Q5"/>
    <x v="1"/>
    <x v="0"/>
    <x v="11"/>
    <n v="0.36"/>
    <x v="0"/>
  </r>
  <r>
    <n v="1741"/>
    <x v="1"/>
    <n v="2002"/>
    <x v="27"/>
    <x v="1"/>
    <n v="133858"/>
    <x v="2"/>
    <n v="52430.239999999998"/>
    <s v="5 Series"/>
    <x v="0"/>
    <x v="0"/>
    <x v="23"/>
    <n v="0.39"/>
    <x v="0"/>
  </r>
  <r>
    <n v="1742"/>
    <x v="1"/>
    <n v="2007"/>
    <x v="7"/>
    <x v="1"/>
    <n v="231609"/>
    <x v="2"/>
    <n v="69094.679999999993"/>
    <s v="3 Series"/>
    <x v="2"/>
    <x v="1"/>
    <x v="17"/>
    <n v="0.3"/>
    <x v="0"/>
  </r>
  <r>
    <n v="1743"/>
    <x v="3"/>
    <n v="2022"/>
    <x v="10"/>
    <x v="0"/>
    <n v="126525"/>
    <x v="2"/>
    <n v="96982.34"/>
    <s v="Fiesta"/>
    <x v="3"/>
    <x v="0"/>
    <x v="13"/>
    <n v="0.77"/>
    <x v="1"/>
  </r>
  <r>
    <n v="1744"/>
    <x v="5"/>
    <n v="2013"/>
    <x v="7"/>
    <x v="0"/>
    <n v="36303"/>
    <x v="1"/>
    <n v="18695.509999999998"/>
    <s v="E-Class"/>
    <x v="1"/>
    <x v="2"/>
    <x v="2"/>
    <n v="0.51"/>
    <x v="0"/>
  </r>
  <r>
    <n v="1745"/>
    <x v="5"/>
    <n v="2023"/>
    <x v="16"/>
    <x v="1"/>
    <n v="19589"/>
    <x v="2"/>
    <n v="87936.63"/>
    <s v="C-Class"/>
    <x v="1"/>
    <x v="2"/>
    <x v="8"/>
    <n v="4.49"/>
    <x v="0"/>
  </r>
  <r>
    <n v="1746"/>
    <x v="4"/>
    <n v="2022"/>
    <x v="34"/>
    <x v="1"/>
    <n v="265026"/>
    <x v="2"/>
    <n v="31996.91"/>
    <s v="Accord"/>
    <x v="1"/>
    <x v="1"/>
    <x v="13"/>
    <n v="0.12"/>
    <x v="1"/>
  </r>
  <r>
    <n v="1747"/>
    <x v="1"/>
    <n v="2021"/>
    <x v="43"/>
    <x v="0"/>
    <n v="180394"/>
    <x v="0"/>
    <n v="61180.41"/>
    <s v="X5"/>
    <x v="3"/>
    <x v="1"/>
    <x v="20"/>
    <n v="0.34"/>
    <x v="0"/>
  </r>
  <r>
    <n v="1748"/>
    <x v="3"/>
    <n v="2006"/>
    <x v="8"/>
    <x v="0"/>
    <n v="129236"/>
    <x v="0"/>
    <n v="56940.01"/>
    <s v="Mustang"/>
    <x v="3"/>
    <x v="0"/>
    <x v="11"/>
    <n v="0.44"/>
    <x v="1"/>
  </r>
  <r>
    <n v="1749"/>
    <x v="2"/>
    <n v="2020"/>
    <x v="37"/>
    <x v="0"/>
    <n v="271889"/>
    <x v="0"/>
    <n v="57910.1"/>
    <s v="A3"/>
    <x v="0"/>
    <x v="1"/>
    <x v="6"/>
    <n v="0.21"/>
    <x v="0"/>
  </r>
  <r>
    <n v="1750"/>
    <x v="1"/>
    <n v="2006"/>
    <x v="32"/>
    <x v="0"/>
    <n v="15861"/>
    <x v="2"/>
    <n v="73719.070000000007"/>
    <s v="3 Series"/>
    <x v="3"/>
    <x v="2"/>
    <x v="11"/>
    <n v="4.6500000000000004"/>
    <x v="0"/>
  </r>
  <r>
    <n v="1751"/>
    <x v="3"/>
    <n v="2000"/>
    <x v="12"/>
    <x v="1"/>
    <n v="91707"/>
    <x v="1"/>
    <n v="41260.39"/>
    <s v="Mustang"/>
    <x v="0"/>
    <x v="0"/>
    <x v="18"/>
    <n v="0.45"/>
    <x v="1"/>
  </r>
  <r>
    <n v="1752"/>
    <x v="3"/>
    <n v="2016"/>
    <x v="13"/>
    <x v="0"/>
    <n v="255043"/>
    <x v="0"/>
    <n v="35314.5"/>
    <s v="Mustang"/>
    <x v="1"/>
    <x v="1"/>
    <x v="0"/>
    <n v="0.14000000000000001"/>
    <x v="1"/>
  </r>
  <r>
    <n v="1753"/>
    <x v="6"/>
    <n v="2008"/>
    <x v="5"/>
    <x v="0"/>
    <n v="133909"/>
    <x v="1"/>
    <n v="86019.28"/>
    <s v="Camry"/>
    <x v="0"/>
    <x v="0"/>
    <x v="22"/>
    <n v="0.64"/>
    <x v="1"/>
  </r>
  <r>
    <n v="1754"/>
    <x v="2"/>
    <n v="2020"/>
    <x v="5"/>
    <x v="0"/>
    <n v="54380"/>
    <x v="2"/>
    <n v="25909.03"/>
    <s v="A4"/>
    <x v="2"/>
    <x v="0"/>
    <x v="6"/>
    <n v="0.48"/>
    <x v="0"/>
  </r>
  <r>
    <n v="1755"/>
    <x v="6"/>
    <n v="2012"/>
    <x v="35"/>
    <x v="0"/>
    <n v="105025"/>
    <x v="2"/>
    <n v="22123.37"/>
    <s v="Corolla"/>
    <x v="1"/>
    <x v="0"/>
    <x v="15"/>
    <n v="0.21"/>
    <x v="1"/>
  </r>
  <r>
    <n v="1756"/>
    <x v="4"/>
    <n v="2020"/>
    <x v="15"/>
    <x v="0"/>
    <n v="180903"/>
    <x v="0"/>
    <n v="6482.71"/>
    <s v="Civic"/>
    <x v="1"/>
    <x v="1"/>
    <x v="6"/>
    <n v="0.04"/>
    <x v="1"/>
  </r>
  <r>
    <n v="1757"/>
    <x v="6"/>
    <n v="2018"/>
    <x v="33"/>
    <x v="0"/>
    <n v="220421"/>
    <x v="1"/>
    <n v="25004.89"/>
    <s v="Corolla"/>
    <x v="0"/>
    <x v="1"/>
    <x v="1"/>
    <n v="0.11"/>
    <x v="1"/>
  </r>
  <r>
    <n v="1758"/>
    <x v="0"/>
    <n v="2020"/>
    <x v="10"/>
    <x v="0"/>
    <n v="244497"/>
    <x v="0"/>
    <n v="54260.49"/>
    <s v="Model 3"/>
    <x v="0"/>
    <x v="1"/>
    <x v="6"/>
    <n v="0.22"/>
    <x v="0"/>
  </r>
  <r>
    <n v="1759"/>
    <x v="6"/>
    <n v="2018"/>
    <x v="2"/>
    <x v="1"/>
    <n v="160592"/>
    <x v="2"/>
    <n v="56158.34"/>
    <s v="Camry"/>
    <x v="3"/>
    <x v="1"/>
    <x v="1"/>
    <n v="0.35"/>
    <x v="1"/>
  </r>
  <r>
    <n v="1760"/>
    <x v="0"/>
    <n v="2021"/>
    <x v="10"/>
    <x v="1"/>
    <n v="44397"/>
    <x v="1"/>
    <n v="29169.95"/>
    <s v="Model S"/>
    <x v="0"/>
    <x v="2"/>
    <x v="20"/>
    <n v="0.66"/>
    <x v="0"/>
  </r>
  <r>
    <n v="1761"/>
    <x v="1"/>
    <n v="2016"/>
    <x v="4"/>
    <x v="1"/>
    <n v="277132"/>
    <x v="0"/>
    <n v="11866.05"/>
    <s v="5 Series"/>
    <x v="0"/>
    <x v="1"/>
    <x v="0"/>
    <n v="0.04"/>
    <x v="0"/>
  </r>
  <r>
    <n v="1762"/>
    <x v="5"/>
    <n v="2022"/>
    <x v="42"/>
    <x v="0"/>
    <n v="158795"/>
    <x v="2"/>
    <n v="75740.88"/>
    <s v="GLC"/>
    <x v="0"/>
    <x v="1"/>
    <x v="13"/>
    <n v="0.48"/>
    <x v="0"/>
  </r>
  <r>
    <n v="1763"/>
    <x v="3"/>
    <n v="2022"/>
    <x v="31"/>
    <x v="1"/>
    <n v="33800"/>
    <x v="0"/>
    <n v="77007.66"/>
    <s v="Fiesta"/>
    <x v="1"/>
    <x v="2"/>
    <x v="13"/>
    <n v="2.2799999999999998"/>
    <x v="1"/>
  </r>
  <r>
    <n v="1764"/>
    <x v="0"/>
    <n v="2009"/>
    <x v="11"/>
    <x v="0"/>
    <n v="158502"/>
    <x v="1"/>
    <n v="99794.46"/>
    <s v="Model 3"/>
    <x v="0"/>
    <x v="1"/>
    <x v="4"/>
    <n v="0.63"/>
    <x v="0"/>
  </r>
  <r>
    <n v="1765"/>
    <x v="2"/>
    <n v="2009"/>
    <x v="26"/>
    <x v="0"/>
    <n v="199548"/>
    <x v="1"/>
    <n v="90502.81"/>
    <s v="Q7"/>
    <x v="1"/>
    <x v="1"/>
    <x v="4"/>
    <n v="0.45"/>
    <x v="0"/>
  </r>
  <r>
    <n v="1766"/>
    <x v="6"/>
    <n v="2003"/>
    <x v="10"/>
    <x v="0"/>
    <n v="257653"/>
    <x v="1"/>
    <n v="92975.9"/>
    <s v="Camry"/>
    <x v="1"/>
    <x v="1"/>
    <x v="21"/>
    <n v="0.36"/>
    <x v="1"/>
  </r>
  <r>
    <n v="1767"/>
    <x v="0"/>
    <n v="2007"/>
    <x v="33"/>
    <x v="0"/>
    <n v="52284"/>
    <x v="1"/>
    <n v="80829.36"/>
    <s v="Model 3"/>
    <x v="0"/>
    <x v="0"/>
    <x v="17"/>
    <n v="1.55"/>
    <x v="0"/>
  </r>
  <r>
    <n v="1768"/>
    <x v="2"/>
    <n v="2021"/>
    <x v="30"/>
    <x v="1"/>
    <n v="56232"/>
    <x v="1"/>
    <n v="63472.77"/>
    <s v="A4"/>
    <x v="1"/>
    <x v="0"/>
    <x v="20"/>
    <n v="1.1299999999999999"/>
    <x v="0"/>
  </r>
  <r>
    <n v="1769"/>
    <x v="5"/>
    <n v="2019"/>
    <x v="35"/>
    <x v="0"/>
    <n v="44420"/>
    <x v="0"/>
    <n v="17211.87"/>
    <s v="E-Class"/>
    <x v="2"/>
    <x v="2"/>
    <x v="5"/>
    <n v="0.39"/>
    <x v="0"/>
  </r>
  <r>
    <n v="1770"/>
    <x v="5"/>
    <n v="2019"/>
    <x v="40"/>
    <x v="0"/>
    <n v="299854"/>
    <x v="0"/>
    <n v="64119.76"/>
    <s v="GLA"/>
    <x v="1"/>
    <x v="1"/>
    <x v="5"/>
    <n v="0.21"/>
    <x v="0"/>
  </r>
  <r>
    <n v="1771"/>
    <x v="6"/>
    <n v="2017"/>
    <x v="50"/>
    <x v="1"/>
    <n v="92035"/>
    <x v="0"/>
    <n v="10315.81"/>
    <s v="Camry"/>
    <x v="1"/>
    <x v="0"/>
    <x v="7"/>
    <n v="0.11"/>
    <x v="1"/>
  </r>
  <r>
    <n v="1772"/>
    <x v="4"/>
    <n v="2013"/>
    <x v="5"/>
    <x v="1"/>
    <n v="293427"/>
    <x v="0"/>
    <n v="89103.42"/>
    <s v="CR-V"/>
    <x v="0"/>
    <x v="1"/>
    <x v="2"/>
    <n v="0.3"/>
    <x v="1"/>
  </r>
  <r>
    <n v="1773"/>
    <x v="6"/>
    <n v="2017"/>
    <x v="18"/>
    <x v="1"/>
    <n v="197241"/>
    <x v="2"/>
    <n v="50773.03"/>
    <s v="Corolla"/>
    <x v="1"/>
    <x v="1"/>
    <x v="7"/>
    <n v="0.26"/>
    <x v="1"/>
  </r>
  <r>
    <n v="1774"/>
    <x v="1"/>
    <n v="2013"/>
    <x v="18"/>
    <x v="0"/>
    <n v="193529"/>
    <x v="2"/>
    <n v="71259.92"/>
    <s v="3 Series"/>
    <x v="3"/>
    <x v="1"/>
    <x v="2"/>
    <n v="0.37"/>
    <x v="0"/>
  </r>
  <r>
    <n v="1775"/>
    <x v="0"/>
    <n v="2019"/>
    <x v="36"/>
    <x v="1"/>
    <n v="249863"/>
    <x v="0"/>
    <n v="9963.15"/>
    <s v="Model X"/>
    <x v="0"/>
    <x v="1"/>
    <x v="5"/>
    <n v="0.04"/>
    <x v="0"/>
  </r>
  <r>
    <n v="1776"/>
    <x v="3"/>
    <n v="2020"/>
    <x v="50"/>
    <x v="0"/>
    <n v="25968"/>
    <x v="2"/>
    <n v="55753.599999999999"/>
    <s v="Explorer"/>
    <x v="1"/>
    <x v="2"/>
    <x v="6"/>
    <n v="2.15"/>
    <x v="1"/>
  </r>
  <r>
    <n v="1777"/>
    <x v="4"/>
    <n v="2023"/>
    <x v="20"/>
    <x v="0"/>
    <n v="62508"/>
    <x v="2"/>
    <n v="33620.019999999997"/>
    <s v="Fit"/>
    <x v="2"/>
    <x v="0"/>
    <x v="8"/>
    <n v="0.54"/>
    <x v="1"/>
  </r>
  <r>
    <n v="1778"/>
    <x v="6"/>
    <n v="2014"/>
    <x v="15"/>
    <x v="1"/>
    <n v="235863"/>
    <x v="1"/>
    <n v="32071.99"/>
    <s v="Camry"/>
    <x v="2"/>
    <x v="1"/>
    <x v="12"/>
    <n v="0.14000000000000001"/>
    <x v="1"/>
  </r>
  <r>
    <n v="1779"/>
    <x v="2"/>
    <n v="2021"/>
    <x v="8"/>
    <x v="1"/>
    <n v="194292"/>
    <x v="0"/>
    <n v="42017.31"/>
    <s v="Q7"/>
    <x v="0"/>
    <x v="1"/>
    <x v="20"/>
    <n v="0.22"/>
    <x v="0"/>
  </r>
  <r>
    <n v="1780"/>
    <x v="4"/>
    <n v="2003"/>
    <x v="47"/>
    <x v="1"/>
    <n v="85366"/>
    <x v="2"/>
    <n v="5060.75"/>
    <s v="Accord"/>
    <x v="0"/>
    <x v="0"/>
    <x v="21"/>
    <n v="0.06"/>
    <x v="1"/>
  </r>
  <r>
    <n v="1781"/>
    <x v="0"/>
    <n v="2012"/>
    <x v="43"/>
    <x v="0"/>
    <n v="5738"/>
    <x v="2"/>
    <n v="49332.78"/>
    <s v="Model 3"/>
    <x v="0"/>
    <x v="2"/>
    <x v="15"/>
    <n v="8.6"/>
    <x v="0"/>
  </r>
  <r>
    <n v="1782"/>
    <x v="4"/>
    <n v="2022"/>
    <x v="9"/>
    <x v="0"/>
    <n v="3098"/>
    <x v="0"/>
    <n v="51223.83"/>
    <s v="Civic"/>
    <x v="3"/>
    <x v="2"/>
    <x v="13"/>
    <n v="16.53"/>
    <x v="1"/>
  </r>
  <r>
    <n v="1783"/>
    <x v="0"/>
    <n v="2007"/>
    <x v="21"/>
    <x v="0"/>
    <n v="95424"/>
    <x v="1"/>
    <n v="86997.440000000002"/>
    <s v="Model X"/>
    <x v="0"/>
    <x v="0"/>
    <x v="17"/>
    <n v="0.91"/>
    <x v="0"/>
  </r>
  <r>
    <n v="1784"/>
    <x v="6"/>
    <n v="2017"/>
    <x v="35"/>
    <x v="0"/>
    <n v="204705"/>
    <x v="0"/>
    <n v="47609.93"/>
    <s v="Prius"/>
    <x v="2"/>
    <x v="1"/>
    <x v="7"/>
    <n v="0.23"/>
    <x v="1"/>
  </r>
  <r>
    <n v="1785"/>
    <x v="0"/>
    <n v="2011"/>
    <x v="39"/>
    <x v="0"/>
    <n v="78672"/>
    <x v="1"/>
    <n v="39537.85"/>
    <s v="Model X"/>
    <x v="0"/>
    <x v="0"/>
    <x v="3"/>
    <n v="0.5"/>
    <x v="0"/>
  </r>
  <r>
    <n v="1786"/>
    <x v="4"/>
    <n v="2022"/>
    <x v="46"/>
    <x v="0"/>
    <n v="139325"/>
    <x v="2"/>
    <n v="99500.97"/>
    <s v="Civic"/>
    <x v="3"/>
    <x v="0"/>
    <x v="13"/>
    <n v="0.71"/>
    <x v="1"/>
  </r>
  <r>
    <n v="1787"/>
    <x v="2"/>
    <n v="2013"/>
    <x v="3"/>
    <x v="1"/>
    <n v="125349"/>
    <x v="1"/>
    <n v="59265.27"/>
    <s v="Q7"/>
    <x v="3"/>
    <x v="0"/>
    <x v="2"/>
    <n v="0.47"/>
    <x v="0"/>
  </r>
  <r>
    <n v="1788"/>
    <x v="5"/>
    <n v="2001"/>
    <x v="13"/>
    <x v="0"/>
    <n v="50969"/>
    <x v="1"/>
    <n v="49898.25"/>
    <s v="GLA"/>
    <x v="1"/>
    <x v="0"/>
    <x v="10"/>
    <n v="0.98"/>
    <x v="0"/>
  </r>
  <r>
    <n v="1789"/>
    <x v="4"/>
    <n v="2017"/>
    <x v="47"/>
    <x v="1"/>
    <n v="90744"/>
    <x v="0"/>
    <n v="52113.9"/>
    <s v="Fit"/>
    <x v="2"/>
    <x v="0"/>
    <x v="7"/>
    <n v="0.56999999999999995"/>
    <x v="1"/>
  </r>
  <r>
    <n v="1790"/>
    <x v="0"/>
    <n v="2023"/>
    <x v="8"/>
    <x v="1"/>
    <n v="201495"/>
    <x v="2"/>
    <n v="81872.22"/>
    <s v="Model 3"/>
    <x v="0"/>
    <x v="1"/>
    <x v="8"/>
    <n v="0.41"/>
    <x v="0"/>
  </r>
  <r>
    <n v="1791"/>
    <x v="5"/>
    <n v="2001"/>
    <x v="24"/>
    <x v="1"/>
    <n v="117286"/>
    <x v="0"/>
    <n v="37364.26"/>
    <s v="C-Class"/>
    <x v="1"/>
    <x v="0"/>
    <x v="10"/>
    <n v="0.32"/>
    <x v="0"/>
  </r>
  <r>
    <n v="1792"/>
    <x v="0"/>
    <n v="2010"/>
    <x v="12"/>
    <x v="1"/>
    <n v="75028"/>
    <x v="0"/>
    <n v="41970.239999999998"/>
    <s v="Model 3"/>
    <x v="0"/>
    <x v="0"/>
    <x v="9"/>
    <n v="0.56000000000000005"/>
    <x v="0"/>
  </r>
  <r>
    <n v="1793"/>
    <x v="2"/>
    <n v="2008"/>
    <x v="3"/>
    <x v="1"/>
    <n v="297565"/>
    <x v="2"/>
    <n v="76807.97"/>
    <s v="A3"/>
    <x v="3"/>
    <x v="1"/>
    <x v="22"/>
    <n v="0.26"/>
    <x v="0"/>
  </r>
  <r>
    <n v="1794"/>
    <x v="0"/>
    <n v="2011"/>
    <x v="31"/>
    <x v="0"/>
    <n v="38575"/>
    <x v="0"/>
    <n v="11933.46"/>
    <s v="Model 3"/>
    <x v="0"/>
    <x v="2"/>
    <x v="3"/>
    <n v="0.31"/>
    <x v="0"/>
  </r>
  <r>
    <n v="1795"/>
    <x v="6"/>
    <n v="2016"/>
    <x v="29"/>
    <x v="0"/>
    <n v="3192"/>
    <x v="0"/>
    <n v="87191.07"/>
    <s v="RAV4"/>
    <x v="1"/>
    <x v="2"/>
    <x v="0"/>
    <n v="27.32"/>
    <x v="1"/>
  </r>
  <r>
    <n v="1796"/>
    <x v="3"/>
    <n v="2014"/>
    <x v="46"/>
    <x v="0"/>
    <n v="111116"/>
    <x v="1"/>
    <n v="45869.26"/>
    <s v="Fiesta"/>
    <x v="2"/>
    <x v="0"/>
    <x v="12"/>
    <n v="0.41"/>
    <x v="1"/>
  </r>
  <r>
    <n v="1797"/>
    <x v="4"/>
    <n v="2016"/>
    <x v="4"/>
    <x v="0"/>
    <n v="81311"/>
    <x v="0"/>
    <n v="60222.83"/>
    <s v="Fit"/>
    <x v="3"/>
    <x v="0"/>
    <x v="0"/>
    <n v="0.74"/>
    <x v="1"/>
  </r>
  <r>
    <n v="1798"/>
    <x v="3"/>
    <n v="2017"/>
    <x v="26"/>
    <x v="1"/>
    <n v="80781"/>
    <x v="2"/>
    <n v="76960.240000000005"/>
    <s v="Fiesta"/>
    <x v="0"/>
    <x v="0"/>
    <x v="7"/>
    <n v="0.95"/>
    <x v="1"/>
  </r>
  <r>
    <n v="1799"/>
    <x v="0"/>
    <n v="2021"/>
    <x v="36"/>
    <x v="1"/>
    <n v="36527"/>
    <x v="0"/>
    <n v="30274.93"/>
    <s v="Model Y"/>
    <x v="0"/>
    <x v="2"/>
    <x v="20"/>
    <n v="0.83"/>
    <x v="0"/>
  </r>
  <r>
    <n v="1800"/>
    <x v="2"/>
    <n v="2005"/>
    <x v="47"/>
    <x v="1"/>
    <n v="52181"/>
    <x v="1"/>
    <n v="89579.85"/>
    <s v="A4"/>
    <x v="1"/>
    <x v="0"/>
    <x v="14"/>
    <n v="1.72"/>
    <x v="0"/>
  </r>
  <r>
    <n v="1801"/>
    <x v="4"/>
    <n v="2016"/>
    <x v="6"/>
    <x v="0"/>
    <n v="91472"/>
    <x v="0"/>
    <n v="98026.37"/>
    <s v="Accord"/>
    <x v="0"/>
    <x v="0"/>
    <x v="0"/>
    <n v="1.07"/>
    <x v="1"/>
  </r>
  <r>
    <n v="1802"/>
    <x v="0"/>
    <n v="2022"/>
    <x v="32"/>
    <x v="0"/>
    <n v="81219"/>
    <x v="0"/>
    <n v="51956.06"/>
    <s v="Model Y"/>
    <x v="0"/>
    <x v="0"/>
    <x v="13"/>
    <n v="0.64"/>
    <x v="0"/>
  </r>
  <r>
    <n v="1803"/>
    <x v="5"/>
    <n v="2023"/>
    <x v="35"/>
    <x v="0"/>
    <n v="119783"/>
    <x v="0"/>
    <n v="94009.05"/>
    <s v="E-Class"/>
    <x v="3"/>
    <x v="0"/>
    <x v="8"/>
    <n v="0.78"/>
    <x v="0"/>
  </r>
  <r>
    <n v="1804"/>
    <x v="1"/>
    <n v="2017"/>
    <x v="47"/>
    <x v="0"/>
    <n v="161554"/>
    <x v="1"/>
    <n v="5107.22"/>
    <s v="X5"/>
    <x v="0"/>
    <x v="1"/>
    <x v="7"/>
    <n v="0.03"/>
    <x v="0"/>
  </r>
  <r>
    <n v="1805"/>
    <x v="0"/>
    <n v="2007"/>
    <x v="13"/>
    <x v="1"/>
    <n v="179300"/>
    <x v="2"/>
    <n v="89952.59"/>
    <s v="Model Y"/>
    <x v="0"/>
    <x v="1"/>
    <x v="17"/>
    <n v="0.5"/>
    <x v="0"/>
  </r>
  <r>
    <n v="1806"/>
    <x v="3"/>
    <n v="2008"/>
    <x v="27"/>
    <x v="1"/>
    <n v="83265"/>
    <x v="2"/>
    <n v="34549.31"/>
    <s v="Fiesta"/>
    <x v="3"/>
    <x v="0"/>
    <x v="22"/>
    <n v="0.41"/>
    <x v="1"/>
  </r>
  <r>
    <n v="1807"/>
    <x v="4"/>
    <n v="2005"/>
    <x v="41"/>
    <x v="0"/>
    <n v="50126"/>
    <x v="1"/>
    <n v="34592.07"/>
    <s v="Civic"/>
    <x v="1"/>
    <x v="0"/>
    <x v="14"/>
    <n v="0.69"/>
    <x v="1"/>
  </r>
  <r>
    <n v="1808"/>
    <x v="3"/>
    <n v="2004"/>
    <x v="26"/>
    <x v="0"/>
    <n v="282689"/>
    <x v="1"/>
    <n v="26668.44"/>
    <s v="Explorer"/>
    <x v="0"/>
    <x v="1"/>
    <x v="19"/>
    <n v="0.09"/>
    <x v="1"/>
  </r>
  <r>
    <n v="1809"/>
    <x v="4"/>
    <n v="2011"/>
    <x v="6"/>
    <x v="1"/>
    <n v="55114"/>
    <x v="0"/>
    <n v="35116.32"/>
    <s v="CR-V"/>
    <x v="1"/>
    <x v="0"/>
    <x v="3"/>
    <n v="0.64"/>
    <x v="1"/>
  </r>
  <r>
    <n v="1810"/>
    <x v="0"/>
    <n v="2010"/>
    <x v="2"/>
    <x v="1"/>
    <n v="206422"/>
    <x v="2"/>
    <n v="25281.040000000001"/>
    <s v="Model X"/>
    <x v="0"/>
    <x v="1"/>
    <x v="9"/>
    <n v="0.12"/>
    <x v="0"/>
  </r>
  <r>
    <n v="1811"/>
    <x v="6"/>
    <n v="2000"/>
    <x v="36"/>
    <x v="1"/>
    <n v="188873"/>
    <x v="1"/>
    <n v="91057.57"/>
    <s v="Corolla"/>
    <x v="0"/>
    <x v="1"/>
    <x v="18"/>
    <n v="0.48"/>
    <x v="1"/>
  </r>
  <r>
    <n v="1812"/>
    <x v="5"/>
    <n v="2010"/>
    <x v="32"/>
    <x v="1"/>
    <n v="276034"/>
    <x v="2"/>
    <n v="90407.25"/>
    <s v="GLC"/>
    <x v="2"/>
    <x v="1"/>
    <x v="9"/>
    <n v="0.33"/>
    <x v="0"/>
  </r>
  <r>
    <n v="1813"/>
    <x v="0"/>
    <n v="2018"/>
    <x v="13"/>
    <x v="0"/>
    <n v="121284"/>
    <x v="0"/>
    <n v="14710.07"/>
    <s v="Model S"/>
    <x v="0"/>
    <x v="0"/>
    <x v="1"/>
    <n v="0.12"/>
    <x v="0"/>
  </r>
  <r>
    <n v="1814"/>
    <x v="3"/>
    <n v="2008"/>
    <x v="17"/>
    <x v="1"/>
    <n v="194469"/>
    <x v="1"/>
    <n v="18571.55"/>
    <s v="Fiesta"/>
    <x v="0"/>
    <x v="1"/>
    <x v="22"/>
    <n v="0.1"/>
    <x v="1"/>
  </r>
  <r>
    <n v="1815"/>
    <x v="1"/>
    <n v="2001"/>
    <x v="31"/>
    <x v="1"/>
    <n v="142290"/>
    <x v="2"/>
    <n v="86891.77"/>
    <s v="5 Series"/>
    <x v="1"/>
    <x v="0"/>
    <x v="10"/>
    <n v="0.61"/>
    <x v="0"/>
  </r>
  <r>
    <n v="1816"/>
    <x v="1"/>
    <n v="2011"/>
    <x v="20"/>
    <x v="1"/>
    <n v="88241"/>
    <x v="2"/>
    <n v="42899.09"/>
    <s v="X3"/>
    <x v="3"/>
    <x v="0"/>
    <x v="3"/>
    <n v="0.49"/>
    <x v="0"/>
  </r>
  <r>
    <n v="1817"/>
    <x v="2"/>
    <n v="2003"/>
    <x v="9"/>
    <x v="1"/>
    <n v="296866"/>
    <x v="0"/>
    <n v="21080.81"/>
    <s v="Q7"/>
    <x v="2"/>
    <x v="1"/>
    <x v="21"/>
    <n v="7.0000000000000007E-2"/>
    <x v="0"/>
  </r>
  <r>
    <n v="1818"/>
    <x v="4"/>
    <n v="2003"/>
    <x v="12"/>
    <x v="0"/>
    <n v="182615"/>
    <x v="1"/>
    <n v="53513.59"/>
    <s v="CR-V"/>
    <x v="2"/>
    <x v="1"/>
    <x v="21"/>
    <n v="0.28999999999999998"/>
    <x v="1"/>
  </r>
  <r>
    <n v="1819"/>
    <x v="3"/>
    <n v="2017"/>
    <x v="46"/>
    <x v="0"/>
    <n v="30921"/>
    <x v="2"/>
    <n v="44583.46"/>
    <s v="Fiesta"/>
    <x v="3"/>
    <x v="2"/>
    <x v="7"/>
    <n v="1.44"/>
    <x v="1"/>
  </r>
  <r>
    <n v="1820"/>
    <x v="2"/>
    <n v="2014"/>
    <x v="1"/>
    <x v="0"/>
    <n v="161686"/>
    <x v="0"/>
    <n v="25820.35"/>
    <s v="A3"/>
    <x v="3"/>
    <x v="1"/>
    <x v="12"/>
    <n v="0.16"/>
    <x v="0"/>
  </r>
  <r>
    <n v="1821"/>
    <x v="3"/>
    <n v="2018"/>
    <x v="16"/>
    <x v="0"/>
    <n v="192261"/>
    <x v="2"/>
    <n v="73471.460000000006"/>
    <s v="Focus"/>
    <x v="1"/>
    <x v="1"/>
    <x v="1"/>
    <n v="0.38"/>
    <x v="1"/>
  </r>
  <r>
    <n v="1822"/>
    <x v="4"/>
    <n v="2012"/>
    <x v="2"/>
    <x v="0"/>
    <n v="17601"/>
    <x v="0"/>
    <n v="64972.480000000003"/>
    <s v="Fit"/>
    <x v="3"/>
    <x v="2"/>
    <x v="15"/>
    <n v="3.69"/>
    <x v="1"/>
  </r>
  <r>
    <n v="1823"/>
    <x v="0"/>
    <n v="2018"/>
    <x v="4"/>
    <x v="0"/>
    <n v="93332"/>
    <x v="2"/>
    <n v="14467.85"/>
    <s v="Model X"/>
    <x v="0"/>
    <x v="0"/>
    <x v="1"/>
    <n v="0.16"/>
    <x v="0"/>
  </r>
  <r>
    <n v="1824"/>
    <x v="0"/>
    <n v="2016"/>
    <x v="29"/>
    <x v="1"/>
    <n v="202615"/>
    <x v="2"/>
    <n v="92911.74"/>
    <s v="Model 3"/>
    <x v="0"/>
    <x v="1"/>
    <x v="0"/>
    <n v="0.46"/>
    <x v="0"/>
  </r>
  <r>
    <n v="1825"/>
    <x v="1"/>
    <n v="2005"/>
    <x v="6"/>
    <x v="1"/>
    <n v="235572"/>
    <x v="0"/>
    <n v="58054.65"/>
    <s v="5 Series"/>
    <x v="0"/>
    <x v="1"/>
    <x v="14"/>
    <n v="0.25"/>
    <x v="0"/>
  </r>
  <r>
    <n v="1826"/>
    <x v="0"/>
    <n v="2015"/>
    <x v="27"/>
    <x v="1"/>
    <n v="290144"/>
    <x v="1"/>
    <n v="28769.43"/>
    <s v="Model X"/>
    <x v="0"/>
    <x v="1"/>
    <x v="16"/>
    <n v="0.1"/>
    <x v="0"/>
  </r>
  <r>
    <n v="1827"/>
    <x v="0"/>
    <n v="2023"/>
    <x v="35"/>
    <x v="1"/>
    <n v="130439"/>
    <x v="0"/>
    <n v="24597.72"/>
    <s v="Model 3"/>
    <x v="0"/>
    <x v="0"/>
    <x v="8"/>
    <n v="0.19"/>
    <x v="0"/>
  </r>
  <r>
    <n v="1828"/>
    <x v="6"/>
    <n v="2011"/>
    <x v="30"/>
    <x v="0"/>
    <n v="239691"/>
    <x v="1"/>
    <n v="17915.060000000001"/>
    <s v="RAV4"/>
    <x v="2"/>
    <x v="1"/>
    <x v="3"/>
    <n v="7.0000000000000007E-2"/>
    <x v="1"/>
  </r>
  <r>
    <n v="1829"/>
    <x v="1"/>
    <n v="2018"/>
    <x v="47"/>
    <x v="1"/>
    <n v="119277"/>
    <x v="2"/>
    <n v="45340.55"/>
    <s v="X5"/>
    <x v="0"/>
    <x v="0"/>
    <x v="1"/>
    <n v="0.38"/>
    <x v="0"/>
  </r>
  <r>
    <n v="1830"/>
    <x v="2"/>
    <n v="2004"/>
    <x v="41"/>
    <x v="0"/>
    <n v="292527"/>
    <x v="2"/>
    <n v="17876.400000000001"/>
    <s v="A3"/>
    <x v="3"/>
    <x v="1"/>
    <x v="19"/>
    <n v="0.06"/>
    <x v="0"/>
  </r>
  <r>
    <n v="1831"/>
    <x v="5"/>
    <n v="2016"/>
    <x v="30"/>
    <x v="1"/>
    <n v="142857"/>
    <x v="0"/>
    <n v="44502.559999999998"/>
    <s v="GLA"/>
    <x v="0"/>
    <x v="0"/>
    <x v="0"/>
    <n v="0.31"/>
    <x v="0"/>
  </r>
  <r>
    <n v="1832"/>
    <x v="6"/>
    <n v="2022"/>
    <x v="24"/>
    <x v="1"/>
    <n v="40910"/>
    <x v="0"/>
    <n v="19133.189999999999"/>
    <s v="Prius"/>
    <x v="0"/>
    <x v="2"/>
    <x v="13"/>
    <n v="0.47"/>
    <x v="1"/>
  </r>
  <r>
    <n v="1833"/>
    <x v="2"/>
    <n v="2000"/>
    <x v="22"/>
    <x v="1"/>
    <n v="170100"/>
    <x v="1"/>
    <n v="67396.710000000006"/>
    <s v="Q5"/>
    <x v="1"/>
    <x v="1"/>
    <x v="18"/>
    <n v="0.4"/>
    <x v="0"/>
  </r>
  <r>
    <n v="1834"/>
    <x v="4"/>
    <n v="2023"/>
    <x v="48"/>
    <x v="0"/>
    <n v="155927"/>
    <x v="1"/>
    <n v="79597.990000000005"/>
    <s v="Accord"/>
    <x v="3"/>
    <x v="1"/>
    <x v="8"/>
    <n v="0.51"/>
    <x v="1"/>
  </r>
  <r>
    <n v="1835"/>
    <x v="6"/>
    <n v="2022"/>
    <x v="44"/>
    <x v="1"/>
    <n v="286425"/>
    <x v="1"/>
    <n v="57204.66"/>
    <s v="Camry"/>
    <x v="3"/>
    <x v="1"/>
    <x v="13"/>
    <n v="0.2"/>
    <x v="1"/>
  </r>
  <r>
    <n v="1836"/>
    <x v="2"/>
    <n v="2009"/>
    <x v="41"/>
    <x v="0"/>
    <n v="4841"/>
    <x v="0"/>
    <n v="69605.399999999994"/>
    <s v="A4"/>
    <x v="3"/>
    <x v="2"/>
    <x v="4"/>
    <n v="14.38"/>
    <x v="0"/>
  </r>
  <r>
    <n v="1837"/>
    <x v="4"/>
    <n v="2014"/>
    <x v="24"/>
    <x v="0"/>
    <n v="97204"/>
    <x v="2"/>
    <n v="94145.98"/>
    <s v="Fit"/>
    <x v="1"/>
    <x v="0"/>
    <x v="12"/>
    <n v="0.97"/>
    <x v="1"/>
  </r>
  <r>
    <n v="1838"/>
    <x v="1"/>
    <n v="2022"/>
    <x v="10"/>
    <x v="1"/>
    <n v="60155"/>
    <x v="0"/>
    <n v="65645.3"/>
    <s v="3 Series"/>
    <x v="3"/>
    <x v="0"/>
    <x v="13"/>
    <n v="1.0900000000000001"/>
    <x v="0"/>
  </r>
  <r>
    <n v="1839"/>
    <x v="5"/>
    <n v="2020"/>
    <x v="18"/>
    <x v="0"/>
    <n v="259589"/>
    <x v="2"/>
    <n v="39595.03"/>
    <s v="E-Class"/>
    <x v="3"/>
    <x v="1"/>
    <x v="6"/>
    <n v="0.15"/>
    <x v="0"/>
  </r>
  <r>
    <n v="1840"/>
    <x v="4"/>
    <n v="2020"/>
    <x v="13"/>
    <x v="0"/>
    <n v="261140"/>
    <x v="0"/>
    <n v="47700.62"/>
    <s v="Civic"/>
    <x v="0"/>
    <x v="1"/>
    <x v="6"/>
    <n v="0.18"/>
    <x v="1"/>
  </r>
  <r>
    <n v="1841"/>
    <x v="0"/>
    <n v="2010"/>
    <x v="11"/>
    <x v="1"/>
    <n v="148515"/>
    <x v="0"/>
    <n v="86749.9"/>
    <s v="Model Y"/>
    <x v="0"/>
    <x v="0"/>
    <x v="9"/>
    <n v="0.57999999999999996"/>
    <x v="0"/>
  </r>
  <r>
    <n v="1842"/>
    <x v="3"/>
    <n v="2012"/>
    <x v="33"/>
    <x v="1"/>
    <n v="132994"/>
    <x v="1"/>
    <n v="17418.43"/>
    <s v="Fiesta"/>
    <x v="3"/>
    <x v="0"/>
    <x v="15"/>
    <n v="0.13"/>
    <x v="1"/>
  </r>
  <r>
    <n v="1843"/>
    <x v="4"/>
    <n v="2004"/>
    <x v="12"/>
    <x v="1"/>
    <n v="294120"/>
    <x v="2"/>
    <n v="35945.019999999997"/>
    <s v="Accord"/>
    <x v="2"/>
    <x v="1"/>
    <x v="19"/>
    <n v="0.12"/>
    <x v="1"/>
  </r>
  <r>
    <n v="1844"/>
    <x v="4"/>
    <n v="2000"/>
    <x v="45"/>
    <x v="1"/>
    <n v="143063"/>
    <x v="0"/>
    <n v="59841.61"/>
    <s v="CR-V"/>
    <x v="2"/>
    <x v="0"/>
    <x v="18"/>
    <n v="0.42"/>
    <x v="1"/>
  </r>
  <r>
    <n v="1845"/>
    <x v="5"/>
    <n v="2023"/>
    <x v="33"/>
    <x v="1"/>
    <n v="104405"/>
    <x v="0"/>
    <n v="69257.009999999995"/>
    <s v="GLC"/>
    <x v="3"/>
    <x v="0"/>
    <x v="8"/>
    <n v="0.66"/>
    <x v="0"/>
  </r>
  <r>
    <n v="1846"/>
    <x v="3"/>
    <n v="2011"/>
    <x v="13"/>
    <x v="1"/>
    <n v="53744"/>
    <x v="2"/>
    <n v="77532.41"/>
    <s v="Focus"/>
    <x v="2"/>
    <x v="0"/>
    <x v="3"/>
    <n v="1.44"/>
    <x v="1"/>
  </r>
  <r>
    <n v="1847"/>
    <x v="0"/>
    <n v="2010"/>
    <x v="10"/>
    <x v="0"/>
    <n v="2473"/>
    <x v="0"/>
    <n v="35229.65"/>
    <s v="Model 3"/>
    <x v="0"/>
    <x v="2"/>
    <x v="9"/>
    <n v="14.25"/>
    <x v="0"/>
  </r>
  <r>
    <n v="1848"/>
    <x v="2"/>
    <n v="2016"/>
    <x v="24"/>
    <x v="1"/>
    <n v="139180"/>
    <x v="2"/>
    <n v="18856.62"/>
    <s v="A3"/>
    <x v="0"/>
    <x v="0"/>
    <x v="0"/>
    <n v="0.14000000000000001"/>
    <x v="0"/>
  </r>
  <r>
    <n v="1849"/>
    <x v="2"/>
    <n v="2003"/>
    <x v="4"/>
    <x v="1"/>
    <n v="28715"/>
    <x v="1"/>
    <n v="95709.72"/>
    <s v="A3"/>
    <x v="1"/>
    <x v="2"/>
    <x v="21"/>
    <n v="3.33"/>
    <x v="0"/>
  </r>
  <r>
    <n v="1850"/>
    <x v="4"/>
    <n v="2014"/>
    <x v="35"/>
    <x v="0"/>
    <n v="244826"/>
    <x v="1"/>
    <n v="12257.26"/>
    <s v="Civic"/>
    <x v="0"/>
    <x v="1"/>
    <x v="12"/>
    <n v="0.05"/>
    <x v="1"/>
  </r>
  <r>
    <n v="1851"/>
    <x v="3"/>
    <n v="2008"/>
    <x v="43"/>
    <x v="1"/>
    <n v="253856"/>
    <x v="2"/>
    <n v="14101.51"/>
    <s v="Mustang"/>
    <x v="2"/>
    <x v="1"/>
    <x v="22"/>
    <n v="0.06"/>
    <x v="1"/>
  </r>
  <r>
    <n v="1852"/>
    <x v="3"/>
    <n v="2020"/>
    <x v="46"/>
    <x v="0"/>
    <n v="239419"/>
    <x v="1"/>
    <n v="52019.54"/>
    <s v="Fiesta"/>
    <x v="2"/>
    <x v="1"/>
    <x v="6"/>
    <n v="0.22"/>
    <x v="1"/>
  </r>
  <r>
    <n v="1853"/>
    <x v="0"/>
    <n v="2019"/>
    <x v="18"/>
    <x v="1"/>
    <n v="252508"/>
    <x v="2"/>
    <n v="82830.75"/>
    <s v="Model S"/>
    <x v="0"/>
    <x v="1"/>
    <x v="5"/>
    <n v="0.33"/>
    <x v="0"/>
  </r>
  <r>
    <n v="1854"/>
    <x v="5"/>
    <n v="2018"/>
    <x v="11"/>
    <x v="1"/>
    <n v="299461"/>
    <x v="0"/>
    <n v="78577.89"/>
    <s v="E-Class"/>
    <x v="2"/>
    <x v="1"/>
    <x v="1"/>
    <n v="0.26"/>
    <x v="0"/>
  </r>
  <r>
    <n v="1855"/>
    <x v="1"/>
    <n v="2018"/>
    <x v="6"/>
    <x v="0"/>
    <n v="164434"/>
    <x v="0"/>
    <n v="94081.43"/>
    <s v="X5"/>
    <x v="2"/>
    <x v="1"/>
    <x v="1"/>
    <n v="0.56999999999999995"/>
    <x v="0"/>
  </r>
  <r>
    <n v="1856"/>
    <x v="2"/>
    <n v="2011"/>
    <x v="12"/>
    <x v="1"/>
    <n v="54604"/>
    <x v="2"/>
    <n v="18452.240000000002"/>
    <s v="A4"/>
    <x v="3"/>
    <x v="0"/>
    <x v="3"/>
    <n v="0.34"/>
    <x v="0"/>
  </r>
  <r>
    <n v="1857"/>
    <x v="5"/>
    <n v="2004"/>
    <x v="50"/>
    <x v="0"/>
    <n v="4889"/>
    <x v="0"/>
    <n v="40694.089999999997"/>
    <s v="C-Class"/>
    <x v="3"/>
    <x v="2"/>
    <x v="19"/>
    <n v="8.32"/>
    <x v="0"/>
  </r>
  <r>
    <n v="1858"/>
    <x v="6"/>
    <n v="2009"/>
    <x v="0"/>
    <x v="1"/>
    <n v="220629"/>
    <x v="1"/>
    <n v="31803.5"/>
    <s v="Prius"/>
    <x v="0"/>
    <x v="1"/>
    <x v="4"/>
    <n v="0.14000000000000001"/>
    <x v="1"/>
  </r>
  <r>
    <n v="1859"/>
    <x v="2"/>
    <n v="2016"/>
    <x v="17"/>
    <x v="1"/>
    <n v="294115"/>
    <x v="0"/>
    <n v="86782.66"/>
    <s v="Q7"/>
    <x v="2"/>
    <x v="1"/>
    <x v="0"/>
    <n v="0.3"/>
    <x v="0"/>
  </r>
  <r>
    <n v="1860"/>
    <x v="5"/>
    <n v="2004"/>
    <x v="28"/>
    <x v="0"/>
    <n v="50551"/>
    <x v="0"/>
    <n v="51393.69"/>
    <s v="C-Class"/>
    <x v="0"/>
    <x v="0"/>
    <x v="19"/>
    <n v="1.02"/>
    <x v="0"/>
  </r>
  <r>
    <n v="1861"/>
    <x v="2"/>
    <n v="2021"/>
    <x v="11"/>
    <x v="1"/>
    <n v="134273"/>
    <x v="2"/>
    <n v="7550.55"/>
    <s v="Q7"/>
    <x v="0"/>
    <x v="0"/>
    <x v="20"/>
    <n v="0.06"/>
    <x v="0"/>
  </r>
  <r>
    <n v="1862"/>
    <x v="1"/>
    <n v="2015"/>
    <x v="24"/>
    <x v="1"/>
    <n v="237230"/>
    <x v="1"/>
    <n v="72256.62"/>
    <s v="3 Series"/>
    <x v="1"/>
    <x v="1"/>
    <x v="16"/>
    <n v="0.3"/>
    <x v="0"/>
  </r>
  <r>
    <n v="1863"/>
    <x v="6"/>
    <n v="2006"/>
    <x v="40"/>
    <x v="0"/>
    <n v="236139"/>
    <x v="0"/>
    <n v="41926.32"/>
    <s v="Camry"/>
    <x v="2"/>
    <x v="1"/>
    <x v="11"/>
    <n v="0.18"/>
    <x v="1"/>
  </r>
  <r>
    <n v="1864"/>
    <x v="1"/>
    <n v="2008"/>
    <x v="46"/>
    <x v="1"/>
    <n v="108957"/>
    <x v="0"/>
    <n v="55458.94"/>
    <s v="5 Series"/>
    <x v="2"/>
    <x v="0"/>
    <x v="22"/>
    <n v="0.51"/>
    <x v="0"/>
  </r>
  <r>
    <n v="1865"/>
    <x v="0"/>
    <n v="2002"/>
    <x v="18"/>
    <x v="0"/>
    <n v="89882"/>
    <x v="2"/>
    <n v="89909.81"/>
    <s v="Model X"/>
    <x v="0"/>
    <x v="0"/>
    <x v="23"/>
    <n v="1"/>
    <x v="0"/>
  </r>
  <r>
    <n v="1866"/>
    <x v="6"/>
    <n v="2014"/>
    <x v="23"/>
    <x v="1"/>
    <n v="210323"/>
    <x v="2"/>
    <n v="29390.09"/>
    <s v="RAV4"/>
    <x v="0"/>
    <x v="1"/>
    <x v="12"/>
    <n v="0.14000000000000001"/>
    <x v="1"/>
  </r>
  <r>
    <n v="1867"/>
    <x v="4"/>
    <n v="2015"/>
    <x v="48"/>
    <x v="0"/>
    <n v="267825"/>
    <x v="1"/>
    <n v="27825.14"/>
    <s v="Accord"/>
    <x v="2"/>
    <x v="1"/>
    <x v="16"/>
    <n v="0.1"/>
    <x v="1"/>
  </r>
  <r>
    <n v="1868"/>
    <x v="5"/>
    <n v="2017"/>
    <x v="36"/>
    <x v="1"/>
    <n v="101982"/>
    <x v="0"/>
    <n v="30003.29"/>
    <s v="E-Class"/>
    <x v="0"/>
    <x v="0"/>
    <x v="7"/>
    <n v="0.28999999999999998"/>
    <x v="0"/>
  </r>
  <r>
    <n v="1869"/>
    <x v="6"/>
    <n v="2013"/>
    <x v="37"/>
    <x v="0"/>
    <n v="46870"/>
    <x v="2"/>
    <n v="37120.26"/>
    <s v="Prius"/>
    <x v="1"/>
    <x v="2"/>
    <x v="2"/>
    <n v="0.79"/>
    <x v="1"/>
  </r>
  <r>
    <n v="1870"/>
    <x v="0"/>
    <n v="2002"/>
    <x v="45"/>
    <x v="0"/>
    <n v="213328"/>
    <x v="2"/>
    <n v="15198.63"/>
    <s v="Model X"/>
    <x v="0"/>
    <x v="1"/>
    <x v="23"/>
    <n v="7.0000000000000007E-2"/>
    <x v="0"/>
  </r>
  <r>
    <n v="1871"/>
    <x v="0"/>
    <n v="2011"/>
    <x v="43"/>
    <x v="1"/>
    <n v="159224"/>
    <x v="2"/>
    <n v="71235.87"/>
    <s v="Model Y"/>
    <x v="0"/>
    <x v="1"/>
    <x v="3"/>
    <n v="0.45"/>
    <x v="0"/>
  </r>
  <r>
    <n v="1872"/>
    <x v="1"/>
    <n v="2008"/>
    <x v="32"/>
    <x v="1"/>
    <n v="50061"/>
    <x v="1"/>
    <n v="24702.880000000001"/>
    <s v="3 Series"/>
    <x v="2"/>
    <x v="0"/>
    <x v="22"/>
    <n v="0.49"/>
    <x v="0"/>
  </r>
  <r>
    <n v="1873"/>
    <x v="2"/>
    <n v="2006"/>
    <x v="46"/>
    <x v="0"/>
    <n v="188691"/>
    <x v="2"/>
    <n v="92983.85"/>
    <s v="A4"/>
    <x v="3"/>
    <x v="1"/>
    <x v="11"/>
    <n v="0.49"/>
    <x v="0"/>
  </r>
  <r>
    <n v="1874"/>
    <x v="6"/>
    <n v="2008"/>
    <x v="23"/>
    <x v="1"/>
    <n v="58235"/>
    <x v="1"/>
    <n v="25490.2"/>
    <s v="Corolla"/>
    <x v="0"/>
    <x v="0"/>
    <x v="22"/>
    <n v="0.44"/>
    <x v="1"/>
  </r>
  <r>
    <n v="1875"/>
    <x v="5"/>
    <n v="2012"/>
    <x v="19"/>
    <x v="0"/>
    <n v="90073"/>
    <x v="1"/>
    <n v="29285.99"/>
    <s v="C-Class"/>
    <x v="0"/>
    <x v="0"/>
    <x v="15"/>
    <n v="0.33"/>
    <x v="0"/>
  </r>
  <r>
    <n v="1876"/>
    <x v="6"/>
    <n v="2017"/>
    <x v="36"/>
    <x v="1"/>
    <n v="11217"/>
    <x v="0"/>
    <n v="33216.92"/>
    <s v="RAV4"/>
    <x v="3"/>
    <x v="2"/>
    <x v="7"/>
    <n v="2.96"/>
    <x v="1"/>
  </r>
  <r>
    <n v="1877"/>
    <x v="3"/>
    <n v="2004"/>
    <x v="31"/>
    <x v="1"/>
    <n v="295885"/>
    <x v="0"/>
    <n v="78011.12"/>
    <s v="Mustang"/>
    <x v="3"/>
    <x v="1"/>
    <x v="19"/>
    <n v="0.26"/>
    <x v="1"/>
  </r>
  <r>
    <n v="1878"/>
    <x v="2"/>
    <n v="2012"/>
    <x v="8"/>
    <x v="0"/>
    <n v="192386"/>
    <x v="1"/>
    <n v="45622.62"/>
    <s v="Q5"/>
    <x v="3"/>
    <x v="1"/>
    <x v="15"/>
    <n v="0.24"/>
    <x v="0"/>
  </r>
  <r>
    <n v="1879"/>
    <x v="5"/>
    <n v="2003"/>
    <x v="3"/>
    <x v="0"/>
    <n v="263552"/>
    <x v="0"/>
    <n v="82836.789999999994"/>
    <s v="GLC"/>
    <x v="2"/>
    <x v="1"/>
    <x v="21"/>
    <n v="0.31"/>
    <x v="0"/>
  </r>
  <r>
    <n v="1880"/>
    <x v="5"/>
    <n v="2001"/>
    <x v="11"/>
    <x v="1"/>
    <n v="42903"/>
    <x v="0"/>
    <n v="79561.100000000006"/>
    <s v="GLA"/>
    <x v="2"/>
    <x v="2"/>
    <x v="10"/>
    <n v="1.85"/>
    <x v="0"/>
  </r>
  <r>
    <n v="1881"/>
    <x v="4"/>
    <n v="2015"/>
    <x v="31"/>
    <x v="1"/>
    <n v="215280"/>
    <x v="2"/>
    <n v="93301.59"/>
    <s v="Accord"/>
    <x v="0"/>
    <x v="1"/>
    <x v="16"/>
    <n v="0.43"/>
    <x v="1"/>
  </r>
  <r>
    <n v="1882"/>
    <x v="1"/>
    <n v="2008"/>
    <x v="19"/>
    <x v="1"/>
    <n v="107042"/>
    <x v="0"/>
    <n v="76877.39"/>
    <s v="3 Series"/>
    <x v="0"/>
    <x v="0"/>
    <x v="22"/>
    <n v="0.72"/>
    <x v="0"/>
  </r>
  <r>
    <n v="1883"/>
    <x v="4"/>
    <n v="2008"/>
    <x v="15"/>
    <x v="1"/>
    <n v="243725"/>
    <x v="1"/>
    <n v="9931.56"/>
    <s v="CR-V"/>
    <x v="1"/>
    <x v="1"/>
    <x v="22"/>
    <n v="0.04"/>
    <x v="1"/>
  </r>
  <r>
    <n v="1884"/>
    <x v="5"/>
    <n v="2005"/>
    <x v="29"/>
    <x v="1"/>
    <n v="132290"/>
    <x v="0"/>
    <n v="84541.72"/>
    <s v="E-Class"/>
    <x v="2"/>
    <x v="0"/>
    <x v="14"/>
    <n v="0.64"/>
    <x v="0"/>
  </r>
  <r>
    <n v="1885"/>
    <x v="2"/>
    <n v="2010"/>
    <x v="15"/>
    <x v="0"/>
    <n v="181644"/>
    <x v="2"/>
    <n v="94116.9"/>
    <s v="Q5"/>
    <x v="0"/>
    <x v="1"/>
    <x v="9"/>
    <n v="0.52"/>
    <x v="0"/>
  </r>
  <r>
    <n v="1886"/>
    <x v="6"/>
    <n v="2021"/>
    <x v="1"/>
    <x v="1"/>
    <n v="109268"/>
    <x v="1"/>
    <n v="99400.47"/>
    <s v="Camry"/>
    <x v="3"/>
    <x v="0"/>
    <x v="20"/>
    <n v="0.91"/>
    <x v="1"/>
  </r>
  <r>
    <n v="1887"/>
    <x v="6"/>
    <n v="2023"/>
    <x v="17"/>
    <x v="1"/>
    <n v="30105"/>
    <x v="0"/>
    <n v="16900.419999999998"/>
    <s v="Corolla"/>
    <x v="3"/>
    <x v="2"/>
    <x v="8"/>
    <n v="0.56000000000000005"/>
    <x v="1"/>
  </r>
  <r>
    <n v="1888"/>
    <x v="2"/>
    <n v="2021"/>
    <x v="11"/>
    <x v="0"/>
    <n v="69634"/>
    <x v="1"/>
    <n v="63260.959999999999"/>
    <s v="A4"/>
    <x v="2"/>
    <x v="0"/>
    <x v="20"/>
    <n v="0.91"/>
    <x v="0"/>
  </r>
  <r>
    <n v="1889"/>
    <x v="5"/>
    <n v="2000"/>
    <x v="36"/>
    <x v="0"/>
    <n v="138691"/>
    <x v="0"/>
    <n v="23948.57"/>
    <s v="E-Class"/>
    <x v="3"/>
    <x v="0"/>
    <x v="18"/>
    <n v="0.17"/>
    <x v="0"/>
  </r>
  <r>
    <n v="1890"/>
    <x v="0"/>
    <n v="2003"/>
    <x v="26"/>
    <x v="0"/>
    <n v="18226"/>
    <x v="2"/>
    <n v="29938.42"/>
    <s v="Model 3"/>
    <x v="0"/>
    <x v="2"/>
    <x v="21"/>
    <n v="1.64"/>
    <x v="0"/>
  </r>
  <r>
    <n v="1891"/>
    <x v="6"/>
    <n v="2012"/>
    <x v="20"/>
    <x v="1"/>
    <n v="25322"/>
    <x v="0"/>
    <n v="75830.509999999995"/>
    <s v="Corolla"/>
    <x v="0"/>
    <x v="2"/>
    <x v="15"/>
    <n v="2.99"/>
    <x v="1"/>
  </r>
  <r>
    <n v="1892"/>
    <x v="0"/>
    <n v="2022"/>
    <x v="11"/>
    <x v="0"/>
    <n v="167284"/>
    <x v="1"/>
    <n v="97878.43"/>
    <s v="Model Y"/>
    <x v="0"/>
    <x v="1"/>
    <x v="13"/>
    <n v="0.59"/>
    <x v="0"/>
  </r>
  <r>
    <n v="1893"/>
    <x v="6"/>
    <n v="2012"/>
    <x v="33"/>
    <x v="0"/>
    <n v="94835"/>
    <x v="1"/>
    <n v="61511.27"/>
    <s v="RAV4"/>
    <x v="0"/>
    <x v="0"/>
    <x v="15"/>
    <n v="0.65"/>
    <x v="1"/>
  </r>
  <r>
    <n v="1894"/>
    <x v="6"/>
    <n v="2012"/>
    <x v="13"/>
    <x v="0"/>
    <n v="255027"/>
    <x v="1"/>
    <n v="85805.52"/>
    <s v="RAV4"/>
    <x v="2"/>
    <x v="1"/>
    <x v="15"/>
    <n v="0.34"/>
    <x v="1"/>
  </r>
  <r>
    <n v="1895"/>
    <x v="1"/>
    <n v="2001"/>
    <x v="41"/>
    <x v="0"/>
    <n v="73079"/>
    <x v="0"/>
    <n v="5843.96"/>
    <s v="X5"/>
    <x v="3"/>
    <x v="0"/>
    <x v="10"/>
    <n v="0.08"/>
    <x v="0"/>
  </r>
  <r>
    <n v="1896"/>
    <x v="1"/>
    <n v="2008"/>
    <x v="11"/>
    <x v="1"/>
    <n v="23946"/>
    <x v="0"/>
    <n v="8480.01"/>
    <s v="X5"/>
    <x v="1"/>
    <x v="2"/>
    <x v="22"/>
    <n v="0.35"/>
    <x v="0"/>
  </r>
  <r>
    <n v="1897"/>
    <x v="3"/>
    <n v="2023"/>
    <x v="48"/>
    <x v="1"/>
    <n v="162812"/>
    <x v="0"/>
    <n v="61688.81"/>
    <s v="Focus"/>
    <x v="2"/>
    <x v="1"/>
    <x v="8"/>
    <n v="0.38"/>
    <x v="1"/>
  </r>
  <r>
    <n v="1898"/>
    <x v="4"/>
    <n v="2007"/>
    <x v="28"/>
    <x v="1"/>
    <n v="7253"/>
    <x v="2"/>
    <n v="41953.39"/>
    <s v="Civic"/>
    <x v="0"/>
    <x v="2"/>
    <x v="17"/>
    <n v="5.78"/>
    <x v="1"/>
  </r>
  <r>
    <n v="1899"/>
    <x v="2"/>
    <n v="2006"/>
    <x v="18"/>
    <x v="0"/>
    <n v="79311"/>
    <x v="2"/>
    <n v="89526.99"/>
    <s v="Q7"/>
    <x v="1"/>
    <x v="0"/>
    <x v="11"/>
    <n v="1.1299999999999999"/>
    <x v="0"/>
  </r>
  <r>
    <n v="1900"/>
    <x v="2"/>
    <n v="2003"/>
    <x v="25"/>
    <x v="0"/>
    <n v="294957"/>
    <x v="2"/>
    <n v="33688.28"/>
    <s v="Q5"/>
    <x v="0"/>
    <x v="1"/>
    <x v="21"/>
    <n v="0.11"/>
    <x v="0"/>
  </r>
  <r>
    <n v="1901"/>
    <x v="2"/>
    <n v="2017"/>
    <x v="18"/>
    <x v="0"/>
    <n v="67593"/>
    <x v="1"/>
    <n v="46044.85"/>
    <s v="Q5"/>
    <x v="0"/>
    <x v="0"/>
    <x v="7"/>
    <n v="0.68"/>
    <x v="0"/>
  </r>
  <r>
    <n v="1902"/>
    <x v="3"/>
    <n v="2002"/>
    <x v="40"/>
    <x v="0"/>
    <n v="149485"/>
    <x v="1"/>
    <n v="55151.37"/>
    <s v="Focus"/>
    <x v="2"/>
    <x v="0"/>
    <x v="23"/>
    <n v="0.37"/>
    <x v="1"/>
  </r>
  <r>
    <n v="1903"/>
    <x v="1"/>
    <n v="2005"/>
    <x v="48"/>
    <x v="0"/>
    <n v="226833"/>
    <x v="1"/>
    <n v="30938.69"/>
    <s v="X3"/>
    <x v="0"/>
    <x v="1"/>
    <x v="14"/>
    <n v="0.14000000000000001"/>
    <x v="0"/>
  </r>
  <r>
    <n v="1904"/>
    <x v="5"/>
    <n v="2011"/>
    <x v="37"/>
    <x v="0"/>
    <n v="38485"/>
    <x v="1"/>
    <n v="91307.01"/>
    <s v="E-Class"/>
    <x v="1"/>
    <x v="2"/>
    <x v="3"/>
    <n v="2.37"/>
    <x v="0"/>
  </r>
  <r>
    <n v="1905"/>
    <x v="0"/>
    <n v="2011"/>
    <x v="34"/>
    <x v="1"/>
    <n v="199304"/>
    <x v="1"/>
    <n v="49130.69"/>
    <s v="Model X"/>
    <x v="0"/>
    <x v="1"/>
    <x v="3"/>
    <n v="0.25"/>
    <x v="0"/>
  </r>
  <r>
    <n v="1906"/>
    <x v="0"/>
    <n v="2020"/>
    <x v="2"/>
    <x v="1"/>
    <n v="278245"/>
    <x v="0"/>
    <n v="45294.78"/>
    <s v="Model Y"/>
    <x v="0"/>
    <x v="1"/>
    <x v="6"/>
    <n v="0.16"/>
    <x v="0"/>
  </r>
  <r>
    <n v="1907"/>
    <x v="5"/>
    <n v="2007"/>
    <x v="0"/>
    <x v="0"/>
    <n v="8831"/>
    <x v="1"/>
    <n v="85726.54"/>
    <s v="GLC"/>
    <x v="0"/>
    <x v="2"/>
    <x v="17"/>
    <n v="9.7100000000000009"/>
    <x v="0"/>
  </r>
  <r>
    <n v="1908"/>
    <x v="3"/>
    <n v="2021"/>
    <x v="23"/>
    <x v="1"/>
    <n v="5004"/>
    <x v="0"/>
    <n v="34637.949999999997"/>
    <s v="Explorer"/>
    <x v="2"/>
    <x v="2"/>
    <x v="20"/>
    <n v="6.92"/>
    <x v="1"/>
  </r>
  <r>
    <n v="1909"/>
    <x v="5"/>
    <n v="2021"/>
    <x v="44"/>
    <x v="0"/>
    <n v="37170"/>
    <x v="2"/>
    <n v="82659.210000000006"/>
    <s v="GLA"/>
    <x v="1"/>
    <x v="2"/>
    <x v="20"/>
    <n v="2.2200000000000002"/>
    <x v="0"/>
  </r>
  <r>
    <n v="1910"/>
    <x v="2"/>
    <n v="2000"/>
    <x v="13"/>
    <x v="0"/>
    <n v="43555"/>
    <x v="2"/>
    <n v="16615.919999999998"/>
    <s v="A3"/>
    <x v="2"/>
    <x v="2"/>
    <x v="18"/>
    <n v="0.38"/>
    <x v="0"/>
  </r>
  <r>
    <n v="1911"/>
    <x v="4"/>
    <n v="2003"/>
    <x v="22"/>
    <x v="1"/>
    <n v="118115"/>
    <x v="2"/>
    <n v="22364.91"/>
    <s v="CR-V"/>
    <x v="3"/>
    <x v="0"/>
    <x v="21"/>
    <n v="0.19"/>
    <x v="1"/>
  </r>
  <r>
    <n v="1912"/>
    <x v="6"/>
    <n v="2020"/>
    <x v="50"/>
    <x v="0"/>
    <n v="178475"/>
    <x v="2"/>
    <n v="95329.96"/>
    <s v="Corolla"/>
    <x v="0"/>
    <x v="1"/>
    <x v="6"/>
    <n v="0.53"/>
    <x v="1"/>
  </r>
  <r>
    <n v="1913"/>
    <x v="0"/>
    <n v="2010"/>
    <x v="21"/>
    <x v="1"/>
    <n v="298509"/>
    <x v="2"/>
    <n v="85032.51"/>
    <s v="Model 3"/>
    <x v="0"/>
    <x v="1"/>
    <x v="9"/>
    <n v="0.28000000000000003"/>
    <x v="0"/>
  </r>
  <r>
    <n v="1914"/>
    <x v="1"/>
    <n v="2002"/>
    <x v="27"/>
    <x v="0"/>
    <n v="207132"/>
    <x v="1"/>
    <n v="41850.400000000001"/>
    <s v="5 Series"/>
    <x v="2"/>
    <x v="1"/>
    <x v="23"/>
    <n v="0.2"/>
    <x v="0"/>
  </r>
  <r>
    <n v="1915"/>
    <x v="1"/>
    <n v="2012"/>
    <x v="38"/>
    <x v="0"/>
    <n v="63471"/>
    <x v="1"/>
    <n v="65653.36"/>
    <s v="3 Series"/>
    <x v="2"/>
    <x v="0"/>
    <x v="15"/>
    <n v="1.03"/>
    <x v="0"/>
  </r>
  <r>
    <n v="1916"/>
    <x v="3"/>
    <n v="2016"/>
    <x v="19"/>
    <x v="1"/>
    <n v="57287"/>
    <x v="1"/>
    <n v="94582.17"/>
    <s v="Focus"/>
    <x v="2"/>
    <x v="0"/>
    <x v="0"/>
    <n v="1.65"/>
    <x v="1"/>
  </r>
  <r>
    <n v="1917"/>
    <x v="1"/>
    <n v="2021"/>
    <x v="45"/>
    <x v="0"/>
    <n v="116475"/>
    <x v="2"/>
    <n v="25126.6"/>
    <s v="X3"/>
    <x v="3"/>
    <x v="0"/>
    <x v="20"/>
    <n v="0.22"/>
    <x v="0"/>
  </r>
  <r>
    <n v="1918"/>
    <x v="2"/>
    <n v="2021"/>
    <x v="10"/>
    <x v="0"/>
    <n v="50151"/>
    <x v="2"/>
    <n v="10605.99"/>
    <s v="A4"/>
    <x v="3"/>
    <x v="0"/>
    <x v="20"/>
    <n v="0.21"/>
    <x v="0"/>
  </r>
  <r>
    <n v="1919"/>
    <x v="0"/>
    <n v="2009"/>
    <x v="25"/>
    <x v="0"/>
    <n v="67384"/>
    <x v="0"/>
    <n v="56059.47"/>
    <s v="Model X"/>
    <x v="0"/>
    <x v="0"/>
    <x v="4"/>
    <n v="0.83"/>
    <x v="0"/>
  </r>
  <r>
    <n v="1920"/>
    <x v="5"/>
    <n v="2020"/>
    <x v="6"/>
    <x v="1"/>
    <n v="33541"/>
    <x v="1"/>
    <n v="18546.7"/>
    <s v="E-Class"/>
    <x v="0"/>
    <x v="2"/>
    <x v="6"/>
    <n v="0.55000000000000004"/>
    <x v="0"/>
  </r>
  <r>
    <n v="1921"/>
    <x v="2"/>
    <n v="2011"/>
    <x v="11"/>
    <x v="0"/>
    <n v="72847"/>
    <x v="2"/>
    <n v="22795.31"/>
    <s v="A3"/>
    <x v="1"/>
    <x v="0"/>
    <x v="3"/>
    <n v="0.31"/>
    <x v="0"/>
  </r>
  <r>
    <n v="1922"/>
    <x v="3"/>
    <n v="2014"/>
    <x v="43"/>
    <x v="0"/>
    <n v="218171"/>
    <x v="2"/>
    <n v="89696.22"/>
    <s v="Focus"/>
    <x v="3"/>
    <x v="1"/>
    <x v="12"/>
    <n v="0.41"/>
    <x v="1"/>
  </r>
  <r>
    <n v="1923"/>
    <x v="2"/>
    <n v="2020"/>
    <x v="21"/>
    <x v="0"/>
    <n v="211811"/>
    <x v="2"/>
    <n v="5703.33"/>
    <s v="Q5"/>
    <x v="2"/>
    <x v="1"/>
    <x v="6"/>
    <n v="0.03"/>
    <x v="0"/>
  </r>
  <r>
    <n v="1924"/>
    <x v="5"/>
    <n v="2009"/>
    <x v="14"/>
    <x v="1"/>
    <n v="213739"/>
    <x v="0"/>
    <n v="82597.899999999994"/>
    <s v="C-Class"/>
    <x v="2"/>
    <x v="1"/>
    <x v="4"/>
    <n v="0.39"/>
    <x v="0"/>
  </r>
  <r>
    <n v="1925"/>
    <x v="4"/>
    <n v="2013"/>
    <x v="46"/>
    <x v="1"/>
    <n v="167813"/>
    <x v="2"/>
    <n v="54110.32"/>
    <s v="Fit"/>
    <x v="1"/>
    <x v="1"/>
    <x v="2"/>
    <n v="0.32"/>
    <x v="1"/>
  </r>
  <r>
    <n v="1926"/>
    <x v="3"/>
    <n v="2012"/>
    <x v="26"/>
    <x v="1"/>
    <n v="99919"/>
    <x v="0"/>
    <n v="58132.97"/>
    <s v="Fiesta"/>
    <x v="2"/>
    <x v="0"/>
    <x v="15"/>
    <n v="0.57999999999999996"/>
    <x v="1"/>
  </r>
  <r>
    <n v="1927"/>
    <x v="4"/>
    <n v="2004"/>
    <x v="29"/>
    <x v="1"/>
    <n v="216746"/>
    <x v="0"/>
    <n v="68817.960000000006"/>
    <s v="CR-V"/>
    <x v="1"/>
    <x v="1"/>
    <x v="19"/>
    <n v="0.32"/>
    <x v="1"/>
  </r>
  <r>
    <n v="1928"/>
    <x v="6"/>
    <n v="2005"/>
    <x v="37"/>
    <x v="1"/>
    <n v="194020"/>
    <x v="1"/>
    <n v="45987.27"/>
    <s v="Corolla"/>
    <x v="0"/>
    <x v="1"/>
    <x v="14"/>
    <n v="0.24"/>
    <x v="1"/>
  </r>
  <r>
    <n v="1929"/>
    <x v="4"/>
    <n v="2023"/>
    <x v="44"/>
    <x v="0"/>
    <n v="61768"/>
    <x v="2"/>
    <n v="15983.13"/>
    <s v="Fit"/>
    <x v="3"/>
    <x v="0"/>
    <x v="8"/>
    <n v="0.26"/>
    <x v="1"/>
  </r>
  <r>
    <n v="1930"/>
    <x v="6"/>
    <n v="2001"/>
    <x v="4"/>
    <x v="1"/>
    <n v="43262"/>
    <x v="0"/>
    <n v="14767.92"/>
    <s v="RAV4"/>
    <x v="1"/>
    <x v="2"/>
    <x v="10"/>
    <n v="0.34"/>
    <x v="1"/>
  </r>
  <r>
    <n v="1931"/>
    <x v="6"/>
    <n v="2021"/>
    <x v="32"/>
    <x v="1"/>
    <n v="20605"/>
    <x v="2"/>
    <n v="76664.41"/>
    <s v="Corolla"/>
    <x v="2"/>
    <x v="2"/>
    <x v="20"/>
    <n v="3.72"/>
    <x v="1"/>
  </r>
  <r>
    <n v="1932"/>
    <x v="4"/>
    <n v="2016"/>
    <x v="6"/>
    <x v="0"/>
    <n v="78590"/>
    <x v="1"/>
    <n v="25998.34"/>
    <s v="CR-V"/>
    <x v="1"/>
    <x v="0"/>
    <x v="0"/>
    <n v="0.33"/>
    <x v="1"/>
  </r>
  <r>
    <n v="1933"/>
    <x v="3"/>
    <n v="2003"/>
    <x v="15"/>
    <x v="1"/>
    <n v="290375"/>
    <x v="1"/>
    <n v="7669.66"/>
    <s v="Fiesta"/>
    <x v="0"/>
    <x v="1"/>
    <x v="21"/>
    <n v="0.03"/>
    <x v="1"/>
  </r>
  <r>
    <n v="1934"/>
    <x v="5"/>
    <n v="2013"/>
    <x v="48"/>
    <x v="0"/>
    <n v="79397"/>
    <x v="0"/>
    <n v="98063.32"/>
    <s v="GLC"/>
    <x v="2"/>
    <x v="0"/>
    <x v="2"/>
    <n v="1.24"/>
    <x v="0"/>
  </r>
  <r>
    <n v="1935"/>
    <x v="2"/>
    <n v="2009"/>
    <x v="7"/>
    <x v="1"/>
    <n v="77123"/>
    <x v="1"/>
    <n v="98137.19"/>
    <s v="Q7"/>
    <x v="0"/>
    <x v="0"/>
    <x v="4"/>
    <n v="1.27"/>
    <x v="0"/>
  </r>
  <r>
    <n v="1936"/>
    <x v="2"/>
    <n v="2002"/>
    <x v="46"/>
    <x v="0"/>
    <n v="275659"/>
    <x v="1"/>
    <n v="40923.43"/>
    <s v="A3"/>
    <x v="0"/>
    <x v="1"/>
    <x v="23"/>
    <n v="0.15"/>
    <x v="0"/>
  </r>
  <r>
    <n v="1937"/>
    <x v="5"/>
    <n v="2002"/>
    <x v="7"/>
    <x v="0"/>
    <n v="278744"/>
    <x v="1"/>
    <n v="7424.77"/>
    <s v="C-Class"/>
    <x v="1"/>
    <x v="1"/>
    <x v="23"/>
    <n v="0.03"/>
    <x v="0"/>
  </r>
  <r>
    <n v="1938"/>
    <x v="0"/>
    <n v="2014"/>
    <x v="30"/>
    <x v="1"/>
    <n v="158964"/>
    <x v="2"/>
    <n v="74090.14"/>
    <s v="Model S"/>
    <x v="0"/>
    <x v="1"/>
    <x v="12"/>
    <n v="0.47"/>
    <x v="0"/>
  </r>
  <r>
    <n v="1939"/>
    <x v="0"/>
    <n v="2005"/>
    <x v="39"/>
    <x v="1"/>
    <n v="168767"/>
    <x v="2"/>
    <n v="83946.15"/>
    <s v="Model X"/>
    <x v="0"/>
    <x v="1"/>
    <x v="14"/>
    <n v="0.5"/>
    <x v="0"/>
  </r>
  <r>
    <n v="1940"/>
    <x v="6"/>
    <n v="2016"/>
    <x v="19"/>
    <x v="0"/>
    <n v="135501"/>
    <x v="0"/>
    <n v="16876.3"/>
    <s v="Camry"/>
    <x v="0"/>
    <x v="0"/>
    <x v="0"/>
    <n v="0.12"/>
    <x v="1"/>
  </r>
  <r>
    <n v="1941"/>
    <x v="6"/>
    <n v="2011"/>
    <x v="20"/>
    <x v="0"/>
    <n v="135678"/>
    <x v="0"/>
    <n v="17868.57"/>
    <s v="Corolla"/>
    <x v="0"/>
    <x v="0"/>
    <x v="3"/>
    <n v="0.13"/>
    <x v="1"/>
  </r>
  <r>
    <n v="1942"/>
    <x v="3"/>
    <n v="2021"/>
    <x v="23"/>
    <x v="0"/>
    <n v="114380"/>
    <x v="1"/>
    <n v="83111.28"/>
    <s v="Mustang"/>
    <x v="1"/>
    <x v="0"/>
    <x v="20"/>
    <n v="0.73"/>
    <x v="1"/>
  </r>
  <r>
    <n v="1943"/>
    <x v="1"/>
    <n v="2019"/>
    <x v="10"/>
    <x v="0"/>
    <n v="171206"/>
    <x v="1"/>
    <n v="92581.2"/>
    <s v="5 Series"/>
    <x v="0"/>
    <x v="1"/>
    <x v="5"/>
    <n v="0.54"/>
    <x v="0"/>
  </r>
  <r>
    <n v="1944"/>
    <x v="4"/>
    <n v="2023"/>
    <x v="2"/>
    <x v="0"/>
    <n v="156547"/>
    <x v="0"/>
    <n v="80121.710000000006"/>
    <s v="Fit"/>
    <x v="3"/>
    <x v="1"/>
    <x v="8"/>
    <n v="0.51"/>
    <x v="1"/>
  </r>
  <r>
    <n v="1945"/>
    <x v="6"/>
    <n v="2010"/>
    <x v="33"/>
    <x v="0"/>
    <n v="152802"/>
    <x v="1"/>
    <n v="24070.77"/>
    <s v="Prius"/>
    <x v="1"/>
    <x v="1"/>
    <x v="9"/>
    <n v="0.16"/>
    <x v="1"/>
  </r>
  <r>
    <n v="1946"/>
    <x v="2"/>
    <n v="2003"/>
    <x v="26"/>
    <x v="0"/>
    <n v="152185"/>
    <x v="0"/>
    <n v="44094.52"/>
    <s v="A3"/>
    <x v="1"/>
    <x v="1"/>
    <x v="21"/>
    <n v="0.28999999999999998"/>
    <x v="0"/>
  </r>
  <r>
    <n v="1947"/>
    <x v="3"/>
    <n v="2005"/>
    <x v="13"/>
    <x v="1"/>
    <n v="151083"/>
    <x v="2"/>
    <n v="62080.03"/>
    <s v="Fiesta"/>
    <x v="2"/>
    <x v="1"/>
    <x v="14"/>
    <n v="0.41"/>
    <x v="1"/>
  </r>
  <r>
    <n v="1948"/>
    <x v="4"/>
    <n v="2000"/>
    <x v="28"/>
    <x v="0"/>
    <n v="55746"/>
    <x v="1"/>
    <n v="20227.88"/>
    <s v="Fit"/>
    <x v="2"/>
    <x v="0"/>
    <x v="18"/>
    <n v="0.36"/>
    <x v="1"/>
  </r>
  <r>
    <n v="1949"/>
    <x v="3"/>
    <n v="2019"/>
    <x v="50"/>
    <x v="1"/>
    <n v="173925"/>
    <x v="1"/>
    <n v="25007.24"/>
    <s v="Explorer"/>
    <x v="2"/>
    <x v="1"/>
    <x v="5"/>
    <n v="0.14000000000000001"/>
    <x v="1"/>
  </r>
  <r>
    <n v="1950"/>
    <x v="4"/>
    <n v="2022"/>
    <x v="4"/>
    <x v="1"/>
    <n v="298962"/>
    <x v="1"/>
    <n v="31874.18"/>
    <s v="Civic"/>
    <x v="2"/>
    <x v="1"/>
    <x v="13"/>
    <n v="0.11"/>
    <x v="1"/>
  </r>
  <r>
    <n v="1951"/>
    <x v="4"/>
    <n v="2015"/>
    <x v="45"/>
    <x v="0"/>
    <n v="168393"/>
    <x v="2"/>
    <n v="53403.76"/>
    <s v="CR-V"/>
    <x v="3"/>
    <x v="1"/>
    <x v="16"/>
    <n v="0.32"/>
    <x v="1"/>
  </r>
  <r>
    <n v="1952"/>
    <x v="5"/>
    <n v="2014"/>
    <x v="7"/>
    <x v="0"/>
    <n v="283453"/>
    <x v="2"/>
    <n v="53526.46"/>
    <s v="GLA"/>
    <x v="1"/>
    <x v="1"/>
    <x v="12"/>
    <n v="0.19"/>
    <x v="0"/>
  </r>
  <r>
    <n v="1953"/>
    <x v="6"/>
    <n v="2016"/>
    <x v="38"/>
    <x v="1"/>
    <n v="290320"/>
    <x v="1"/>
    <n v="82357.98"/>
    <s v="Camry"/>
    <x v="0"/>
    <x v="1"/>
    <x v="0"/>
    <n v="0.28000000000000003"/>
    <x v="1"/>
  </r>
  <r>
    <n v="1954"/>
    <x v="3"/>
    <n v="2007"/>
    <x v="23"/>
    <x v="0"/>
    <n v="68879"/>
    <x v="0"/>
    <n v="76535.97"/>
    <s v="Mustang"/>
    <x v="2"/>
    <x v="0"/>
    <x v="17"/>
    <n v="1.1100000000000001"/>
    <x v="1"/>
  </r>
  <r>
    <n v="1955"/>
    <x v="3"/>
    <n v="2011"/>
    <x v="18"/>
    <x v="0"/>
    <n v="67592"/>
    <x v="2"/>
    <n v="91804.89"/>
    <s v="Focus"/>
    <x v="2"/>
    <x v="0"/>
    <x v="3"/>
    <n v="1.36"/>
    <x v="1"/>
  </r>
  <r>
    <n v="1956"/>
    <x v="5"/>
    <n v="2021"/>
    <x v="25"/>
    <x v="1"/>
    <n v="220084"/>
    <x v="1"/>
    <n v="84125.66"/>
    <s v="GLC"/>
    <x v="2"/>
    <x v="1"/>
    <x v="20"/>
    <n v="0.38"/>
    <x v="0"/>
  </r>
  <r>
    <n v="1957"/>
    <x v="2"/>
    <n v="2020"/>
    <x v="8"/>
    <x v="1"/>
    <n v="197494"/>
    <x v="1"/>
    <n v="29118.37"/>
    <s v="A3"/>
    <x v="0"/>
    <x v="1"/>
    <x v="6"/>
    <n v="0.15"/>
    <x v="0"/>
  </r>
  <r>
    <n v="1958"/>
    <x v="2"/>
    <n v="2009"/>
    <x v="34"/>
    <x v="1"/>
    <n v="270728"/>
    <x v="2"/>
    <n v="36473.19"/>
    <s v="Q5"/>
    <x v="2"/>
    <x v="1"/>
    <x v="4"/>
    <n v="0.13"/>
    <x v="0"/>
  </r>
  <r>
    <n v="1959"/>
    <x v="0"/>
    <n v="2014"/>
    <x v="0"/>
    <x v="0"/>
    <n v="124555"/>
    <x v="0"/>
    <n v="52540.21"/>
    <s v="Model 3"/>
    <x v="0"/>
    <x v="0"/>
    <x v="12"/>
    <n v="0.42"/>
    <x v="0"/>
  </r>
  <r>
    <n v="1960"/>
    <x v="6"/>
    <n v="2008"/>
    <x v="29"/>
    <x v="0"/>
    <n v="18830"/>
    <x v="1"/>
    <n v="6355.76"/>
    <s v="RAV4"/>
    <x v="1"/>
    <x v="2"/>
    <x v="22"/>
    <n v="0.34"/>
    <x v="1"/>
  </r>
  <r>
    <n v="1961"/>
    <x v="6"/>
    <n v="2001"/>
    <x v="25"/>
    <x v="1"/>
    <n v="216897"/>
    <x v="0"/>
    <n v="90870.69"/>
    <s v="Corolla"/>
    <x v="1"/>
    <x v="1"/>
    <x v="10"/>
    <n v="0.42"/>
    <x v="1"/>
  </r>
  <r>
    <n v="1962"/>
    <x v="1"/>
    <n v="2004"/>
    <x v="44"/>
    <x v="0"/>
    <n v="252234"/>
    <x v="0"/>
    <n v="9212.7000000000007"/>
    <s v="5 Series"/>
    <x v="1"/>
    <x v="1"/>
    <x v="19"/>
    <n v="0.04"/>
    <x v="0"/>
  </r>
  <r>
    <n v="1963"/>
    <x v="5"/>
    <n v="2005"/>
    <x v="41"/>
    <x v="1"/>
    <n v="265735"/>
    <x v="2"/>
    <n v="35631.919999999998"/>
    <s v="GLA"/>
    <x v="3"/>
    <x v="1"/>
    <x v="14"/>
    <n v="0.13"/>
    <x v="0"/>
  </r>
  <r>
    <n v="1964"/>
    <x v="2"/>
    <n v="2006"/>
    <x v="33"/>
    <x v="0"/>
    <n v="93878"/>
    <x v="1"/>
    <n v="59071.61"/>
    <s v="A3"/>
    <x v="0"/>
    <x v="0"/>
    <x v="11"/>
    <n v="0.63"/>
    <x v="0"/>
  </r>
  <r>
    <n v="1965"/>
    <x v="4"/>
    <n v="2020"/>
    <x v="45"/>
    <x v="1"/>
    <n v="125407"/>
    <x v="1"/>
    <n v="54194.93"/>
    <s v="Civic"/>
    <x v="2"/>
    <x v="0"/>
    <x v="6"/>
    <n v="0.43"/>
    <x v="1"/>
  </r>
  <r>
    <n v="1966"/>
    <x v="3"/>
    <n v="2000"/>
    <x v="6"/>
    <x v="0"/>
    <n v="116869"/>
    <x v="0"/>
    <n v="67173.69"/>
    <s v="Fiesta"/>
    <x v="2"/>
    <x v="0"/>
    <x v="18"/>
    <n v="0.56999999999999995"/>
    <x v="1"/>
  </r>
  <r>
    <n v="1967"/>
    <x v="6"/>
    <n v="2022"/>
    <x v="10"/>
    <x v="1"/>
    <n v="257716"/>
    <x v="2"/>
    <n v="55114.42"/>
    <s v="Camry"/>
    <x v="2"/>
    <x v="1"/>
    <x v="13"/>
    <n v="0.21"/>
    <x v="1"/>
  </r>
  <r>
    <n v="1968"/>
    <x v="3"/>
    <n v="2006"/>
    <x v="35"/>
    <x v="0"/>
    <n v="283539"/>
    <x v="2"/>
    <n v="26755.14"/>
    <s v="Explorer"/>
    <x v="2"/>
    <x v="1"/>
    <x v="11"/>
    <n v="0.09"/>
    <x v="1"/>
  </r>
  <r>
    <n v="1969"/>
    <x v="3"/>
    <n v="2019"/>
    <x v="3"/>
    <x v="0"/>
    <n v="16738"/>
    <x v="2"/>
    <n v="24102.43"/>
    <s v="Fiesta"/>
    <x v="3"/>
    <x v="2"/>
    <x v="5"/>
    <n v="1.44"/>
    <x v="1"/>
  </r>
  <r>
    <n v="1970"/>
    <x v="1"/>
    <n v="2011"/>
    <x v="18"/>
    <x v="1"/>
    <n v="133703"/>
    <x v="0"/>
    <n v="91188.47"/>
    <s v="X3"/>
    <x v="2"/>
    <x v="0"/>
    <x v="3"/>
    <n v="0.68"/>
    <x v="0"/>
  </r>
  <r>
    <n v="1971"/>
    <x v="2"/>
    <n v="2015"/>
    <x v="25"/>
    <x v="0"/>
    <n v="148977"/>
    <x v="0"/>
    <n v="30076.84"/>
    <s v="Q7"/>
    <x v="3"/>
    <x v="0"/>
    <x v="16"/>
    <n v="0.2"/>
    <x v="0"/>
  </r>
  <r>
    <n v="1972"/>
    <x v="6"/>
    <n v="2015"/>
    <x v="24"/>
    <x v="0"/>
    <n v="19056"/>
    <x v="1"/>
    <n v="31692.84"/>
    <s v="Corolla"/>
    <x v="0"/>
    <x v="2"/>
    <x v="16"/>
    <n v="1.66"/>
    <x v="1"/>
  </r>
  <r>
    <n v="1973"/>
    <x v="3"/>
    <n v="2010"/>
    <x v="43"/>
    <x v="1"/>
    <n v="240746"/>
    <x v="2"/>
    <n v="44230.53"/>
    <s v="Focus"/>
    <x v="1"/>
    <x v="1"/>
    <x v="9"/>
    <n v="0.18"/>
    <x v="1"/>
  </r>
  <r>
    <n v="1974"/>
    <x v="6"/>
    <n v="2020"/>
    <x v="6"/>
    <x v="0"/>
    <n v="115316"/>
    <x v="0"/>
    <n v="18246.64"/>
    <s v="Prius"/>
    <x v="2"/>
    <x v="0"/>
    <x v="6"/>
    <n v="0.16"/>
    <x v="1"/>
  </r>
  <r>
    <n v="1975"/>
    <x v="4"/>
    <n v="2003"/>
    <x v="13"/>
    <x v="0"/>
    <n v="166519"/>
    <x v="2"/>
    <n v="53190.92"/>
    <s v="Fit"/>
    <x v="1"/>
    <x v="1"/>
    <x v="21"/>
    <n v="0.32"/>
    <x v="1"/>
  </r>
  <r>
    <n v="1976"/>
    <x v="1"/>
    <n v="2012"/>
    <x v="38"/>
    <x v="0"/>
    <n v="54418"/>
    <x v="0"/>
    <n v="68178.02"/>
    <s v="X3"/>
    <x v="0"/>
    <x v="0"/>
    <x v="15"/>
    <n v="1.25"/>
    <x v="0"/>
  </r>
  <r>
    <n v="1977"/>
    <x v="4"/>
    <n v="2006"/>
    <x v="3"/>
    <x v="1"/>
    <n v="299334"/>
    <x v="1"/>
    <n v="79670.05"/>
    <s v="CR-V"/>
    <x v="0"/>
    <x v="1"/>
    <x v="11"/>
    <n v="0.27"/>
    <x v="1"/>
  </r>
  <r>
    <n v="1978"/>
    <x v="6"/>
    <n v="2003"/>
    <x v="6"/>
    <x v="1"/>
    <n v="26014"/>
    <x v="2"/>
    <n v="72588.149999999994"/>
    <s v="Corolla"/>
    <x v="2"/>
    <x v="2"/>
    <x v="21"/>
    <n v="2.79"/>
    <x v="1"/>
  </r>
  <r>
    <n v="1979"/>
    <x v="0"/>
    <n v="2014"/>
    <x v="48"/>
    <x v="1"/>
    <n v="204071"/>
    <x v="0"/>
    <n v="19025.419999999998"/>
    <s v="Model S"/>
    <x v="0"/>
    <x v="1"/>
    <x v="12"/>
    <n v="0.09"/>
    <x v="0"/>
  </r>
  <r>
    <n v="1980"/>
    <x v="6"/>
    <n v="2018"/>
    <x v="34"/>
    <x v="1"/>
    <n v="238989"/>
    <x v="2"/>
    <n v="48326.38"/>
    <s v="RAV4"/>
    <x v="1"/>
    <x v="1"/>
    <x v="1"/>
    <n v="0.2"/>
    <x v="1"/>
  </r>
  <r>
    <n v="1981"/>
    <x v="2"/>
    <n v="2008"/>
    <x v="46"/>
    <x v="1"/>
    <n v="181350"/>
    <x v="0"/>
    <n v="8665.69"/>
    <s v="A3"/>
    <x v="2"/>
    <x v="1"/>
    <x v="22"/>
    <n v="0.05"/>
    <x v="0"/>
  </r>
  <r>
    <n v="1982"/>
    <x v="3"/>
    <n v="2010"/>
    <x v="34"/>
    <x v="0"/>
    <n v="263924"/>
    <x v="0"/>
    <n v="6690.81"/>
    <s v="Fiesta"/>
    <x v="3"/>
    <x v="1"/>
    <x v="9"/>
    <n v="0.03"/>
    <x v="1"/>
  </r>
  <r>
    <n v="1983"/>
    <x v="3"/>
    <n v="2007"/>
    <x v="13"/>
    <x v="0"/>
    <n v="190330"/>
    <x v="0"/>
    <n v="46812.39"/>
    <s v="Mustang"/>
    <x v="2"/>
    <x v="1"/>
    <x v="17"/>
    <n v="0.25"/>
    <x v="1"/>
  </r>
  <r>
    <n v="1984"/>
    <x v="4"/>
    <n v="2000"/>
    <x v="31"/>
    <x v="1"/>
    <n v="42192"/>
    <x v="2"/>
    <n v="29031.25"/>
    <s v="Accord"/>
    <x v="1"/>
    <x v="2"/>
    <x v="18"/>
    <n v="0.69"/>
    <x v="1"/>
  </r>
  <r>
    <n v="1985"/>
    <x v="1"/>
    <n v="2022"/>
    <x v="20"/>
    <x v="0"/>
    <n v="43923"/>
    <x v="0"/>
    <n v="69919.28"/>
    <s v="3 Series"/>
    <x v="2"/>
    <x v="2"/>
    <x v="13"/>
    <n v="1.59"/>
    <x v="0"/>
  </r>
  <r>
    <n v="1986"/>
    <x v="0"/>
    <n v="2023"/>
    <x v="30"/>
    <x v="0"/>
    <n v="89196"/>
    <x v="1"/>
    <n v="73802.87"/>
    <s v="Model X"/>
    <x v="0"/>
    <x v="0"/>
    <x v="8"/>
    <n v="0.83"/>
    <x v="0"/>
  </r>
  <r>
    <n v="1987"/>
    <x v="5"/>
    <n v="2007"/>
    <x v="23"/>
    <x v="0"/>
    <n v="2395"/>
    <x v="2"/>
    <n v="90063.35"/>
    <s v="GLC"/>
    <x v="1"/>
    <x v="2"/>
    <x v="17"/>
    <n v="37.6"/>
    <x v="0"/>
  </r>
  <r>
    <n v="1988"/>
    <x v="3"/>
    <n v="2012"/>
    <x v="38"/>
    <x v="0"/>
    <n v="228456"/>
    <x v="1"/>
    <n v="77264.84"/>
    <s v="Fiesta"/>
    <x v="2"/>
    <x v="1"/>
    <x v="15"/>
    <n v="0.34"/>
    <x v="1"/>
  </r>
  <r>
    <n v="1989"/>
    <x v="2"/>
    <n v="2021"/>
    <x v="23"/>
    <x v="1"/>
    <n v="71028"/>
    <x v="1"/>
    <n v="9583.19"/>
    <s v="A4"/>
    <x v="2"/>
    <x v="0"/>
    <x v="20"/>
    <n v="0.13"/>
    <x v="0"/>
  </r>
  <r>
    <n v="1990"/>
    <x v="4"/>
    <n v="2003"/>
    <x v="5"/>
    <x v="1"/>
    <n v="242463"/>
    <x v="2"/>
    <n v="40304.19"/>
    <s v="CR-V"/>
    <x v="1"/>
    <x v="1"/>
    <x v="21"/>
    <n v="0.17"/>
    <x v="1"/>
  </r>
  <r>
    <n v="1991"/>
    <x v="4"/>
    <n v="2007"/>
    <x v="45"/>
    <x v="0"/>
    <n v="141056"/>
    <x v="0"/>
    <n v="30937.22"/>
    <s v="Accord"/>
    <x v="0"/>
    <x v="0"/>
    <x v="17"/>
    <n v="0.22"/>
    <x v="1"/>
  </r>
  <r>
    <n v="1992"/>
    <x v="5"/>
    <n v="2002"/>
    <x v="46"/>
    <x v="0"/>
    <n v="203400"/>
    <x v="1"/>
    <n v="41682.58"/>
    <s v="E-Class"/>
    <x v="1"/>
    <x v="1"/>
    <x v="23"/>
    <n v="0.2"/>
    <x v="0"/>
  </r>
  <r>
    <n v="1993"/>
    <x v="2"/>
    <n v="2008"/>
    <x v="8"/>
    <x v="1"/>
    <n v="255315"/>
    <x v="2"/>
    <n v="20207.189999999999"/>
    <s v="Q5"/>
    <x v="2"/>
    <x v="1"/>
    <x v="22"/>
    <n v="0.08"/>
    <x v="0"/>
  </r>
  <r>
    <n v="1994"/>
    <x v="1"/>
    <n v="2001"/>
    <x v="24"/>
    <x v="0"/>
    <n v="289068"/>
    <x v="0"/>
    <n v="14281.89"/>
    <s v="3 Series"/>
    <x v="3"/>
    <x v="1"/>
    <x v="10"/>
    <n v="0.05"/>
    <x v="0"/>
  </r>
  <r>
    <n v="1995"/>
    <x v="2"/>
    <n v="2001"/>
    <x v="42"/>
    <x v="0"/>
    <n v="294721"/>
    <x v="2"/>
    <n v="54493.53"/>
    <s v="Q7"/>
    <x v="3"/>
    <x v="1"/>
    <x v="10"/>
    <n v="0.18"/>
    <x v="0"/>
  </r>
  <r>
    <n v="1996"/>
    <x v="1"/>
    <n v="2012"/>
    <x v="4"/>
    <x v="0"/>
    <n v="138783"/>
    <x v="2"/>
    <n v="73436.22"/>
    <s v="X3"/>
    <x v="1"/>
    <x v="0"/>
    <x v="15"/>
    <n v="0.53"/>
    <x v="0"/>
  </r>
  <r>
    <n v="1997"/>
    <x v="2"/>
    <n v="2014"/>
    <x v="11"/>
    <x v="1"/>
    <n v="85548"/>
    <x v="2"/>
    <n v="71681.539999999994"/>
    <s v="A4"/>
    <x v="3"/>
    <x v="0"/>
    <x v="12"/>
    <n v="0.84"/>
    <x v="0"/>
  </r>
  <r>
    <n v="1998"/>
    <x v="2"/>
    <n v="2022"/>
    <x v="50"/>
    <x v="1"/>
    <n v="257288"/>
    <x v="0"/>
    <n v="47839.71"/>
    <s v="Q5"/>
    <x v="2"/>
    <x v="1"/>
    <x v="13"/>
    <n v="0.19"/>
    <x v="0"/>
  </r>
  <r>
    <n v="1999"/>
    <x v="6"/>
    <n v="2011"/>
    <x v="48"/>
    <x v="0"/>
    <n v="125093"/>
    <x v="1"/>
    <n v="54616.5"/>
    <s v="Prius"/>
    <x v="2"/>
    <x v="0"/>
    <x v="3"/>
    <n v="0.44"/>
    <x v="1"/>
  </r>
  <r>
    <n v="2000"/>
    <x v="4"/>
    <n v="2003"/>
    <x v="46"/>
    <x v="0"/>
    <n v="235835"/>
    <x v="1"/>
    <n v="54051.23"/>
    <s v="Accord"/>
    <x v="1"/>
    <x v="1"/>
    <x v="21"/>
    <n v="0.23"/>
    <x v="1"/>
  </r>
  <r>
    <n v="2001"/>
    <x v="2"/>
    <n v="2007"/>
    <x v="24"/>
    <x v="0"/>
    <n v="206084"/>
    <x v="2"/>
    <n v="70699.19"/>
    <s v="Q5"/>
    <x v="2"/>
    <x v="1"/>
    <x v="17"/>
    <n v="0.34"/>
    <x v="0"/>
  </r>
  <r>
    <n v="2002"/>
    <x v="5"/>
    <n v="2008"/>
    <x v="16"/>
    <x v="0"/>
    <n v="270398"/>
    <x v="2"/>
    <n v="9552.89"/>
    <s v="GLA"/>
    <x v="0"/>
    <x v="1"/>
    <x v="22"/>
    <n v="0.04"/>
    <x v="0"/>
  </r>
  <r>
    <n v="2003"/>
    <x v="2"/>
    <n v="2022"/>
    <x v="45"/>
    <x v="0"/>
    <n v="229027"/>
    <x v="0"/>
    <n v="72440.13"/>
    <s v="A4"/>
    <x v="2"/>
    <x v="1"/>
    <x v="13"/>
    <n v="0.32"/>
    <x v="0"/>
  </r>
  <r>
    <n v="2004"/>
    <x v="3"/>
    <n v="2004"/>
    <x v="11"/>
    <x v="0"/>
    <n v="208072"/>
    <x v="2"/>
    <n v="60309.09"/>
    <s v="Mustang"/>
    <x v="1"/>
    <x v="1"/>
    <x v="19"/>
    <n v="0.28999999999999998"/>
    <x v="1"/>
  </r>
  <r>
    <n v="2005"/>
    <x v="4"/>
    <n v="2023"/>
    <x v="48"/>
    <x v="1"/>
    <n v="248029"/>
    <x v="2"/>
    <n v="23820.33"/>
    <s v="Accord"/>
    <x v="0"/>
    <x v="1"/>
    <x v="8"/>
    <n v="0.1"/>
    <x v="1"/>
  </r>
  <r>
    <n v="2006"/>
    <x v="3"/>
    <n v="2019"/>
    <x v="30"/>
    <x v="1"/>
    <n v="209047"/>
    <x v="2"/>
    <n v="9660.59"/>
    <s v="Mustang"/>
    <x v="0"/>
    <x v="1"/>
    <x v="5"/>
    <n v="0.05"/>
    <x v="1"/>
  </r>
  <r>
    <n v="2007"/>
    <x v="4"/>
    <n v="2017"/>
    <x v="21"/>
    <x v="0"/>
    <n v="130509"/>
    <x v="1"/>
    <n v="15310.14"/>
    <s v="CR-V"/>
    <x v="3"/>
    <x v="0"/>
    <x v="7"/>
    <n v="0.12"/>
    <x v="1"/>
  </r>
  <r>
    <n v="2008"/>
    <x v="3"/>
    <n v="2010"/>
    <x v="34"/>
    <x v="1"/>
    <n v="237784"/>
    <x v="2"/>
    <n v="54845.68"/>
    <s v="Fiesta"/>
    <x v="2"/>
    <x v="1"/>
    <x v="9"/>
    <n v="0.23"/>
    <x v="1"/>
  </r>
  <r>
    <n v="2009"/>
    <x v="2"/>
    <n v="2014"/>
    <x v="3"/>
    <x v="0"/>
    <n v="295107"/>
    <x v="1"/>
    <n v="77048.81"/>
    <s v="A4"/>
    <x v="1"/>
    <x v="1"/>
    <x v="12"/>
    <n v="0.26"/>
    <x v="0"/>
  </r>
  <r>
    <n v="2010"/>
    <x v="2"/>
    <n v="2021"/>
    <x v="27"/>
    <x v="0"/>
    <n v="3273"/>
    <x v="0"/>
    <n v="36792.44"/>
    <s v="A3"/>
    <x v="3"/>
    <x v="2"/>
    <x v="20"/>
    <n v="11.24"/>
    <x v="0"/>
  </r>
  <r>
    <n v="2011"/>
    <x v="6"/>
    <n v="2008"/>
    <x v="48"/>
    <x v="1"/>
    <n v="15330"/>
    <x v="0"/>
    <n v="41016.769999999997"/>
    <s v="Prius"/>
    <x v="3"/>
    <x v="2"/>
    <x v="22"/>
    <n v="2.68"/>
    <x v="1"/>
  </r>
  <r>
    <n v="2012"/>
    <x v="5"/>
    <n v="2016"/>
    <x v="40"/>
    <x v="1"/>
    <n v="152566"/>
    <x v="1"/>
    <n v="93743.91"/>
    <s v="E-Class"/>
    <x v="2"/>
    <x v="1"/>
    <x v="0"/>
    <n v="0.61"/>
    <x v="0"/>
  </r>
  <r>
    <n v="2013"/>
    <x v="3"/>
    <n v="2011"/>
    <x v="30"/>
    <x v="0"/>
    <n v="76422"/>
    <x v="1"/>
    <n v="25236.240000000002"/>
    <s v="Focus"/>
    <x v="2"/>
    <x v="0"/>
    <x v="3"/>
    <n v="0.33"/>
    <x v="1"/>
  </r>
  <r>
    <n v="2014"/>
    <x v="1"/>
    <n v="2006"/>
    <x v="9"/>
    <x v="0"/>
    <n v="3212"/>
    <x v="1"/>
    <n v="14856.2"/>
    <s v="5 Series"/>
    <x v="1"/>
    <x v="2"/>
    <x v="11"/>
    <n v="4.63"/>
    <x v="0"/>
  </r>
  <r>
    <n v="2015"/>
    <x v="6"/>
    <n v="2009"/>
    <x v="19"/>
    <x v="1"/>
    <n v="232131"/>
    <x v="1"/>
    <n v="37623.96"/>
    <s v="RAV4"/>
    <x v="3"/>
    <x v="1"/>
    <x v="4"/>
    <n v="0.16"/>
    <x v="1"/>
  </r>
  <r>
    <n v="2016"/>
    <x v="3"/>
    <n v="2009"/>
    <x v="27"/>
    <x v="1"/>
    <n v="87594"/>
    <x v="2"/>
    <n v="75862.600000000006"/>
    <s v="Mustang"/>
    <x v="1"/>
    <x v="0"/>
    <x v="4"/>
    <n v="0.87"/>
    <x v="1"/>
  </r>
  <r>
    <n v="2017"/>
    <x v="3"/>
    <n v="2012"/>
    <x v="13"/>
    <x v="0"/>
    <n v="132152"/>
    <x v="1"/>
    <n v="64477.34"/>
    <s v="Mustang"/>
    <x v="3"/>
    <x v="0"/>
    <x v="15"/>
    <n v="0.49"/>
    <x v="1"/>
  </r>
  <r>
    <n v="2018"/>
    <x v="6"/>
    <n v="2018"/>
    <x v="42"/>
    <x v="0"/>
    <n v="294819"/>
    <x v="1"/>
    <n v="44500.57"/>
    <s v="Prius"/>
    <x v="3"/>
    <x v="1"/>
    <x v="1"/>
    <n v="0.15"/>
    <x v="1"/>
  </r>
  <r>
    <n v="2019"/>
    <x v="2"/>
    <n v="2010"/>
    <x v="43"/>
    <x v="0"/>
    <n v="22007"/>
    <x v="1"/>
    <n v="96651.49"/>
    <s v="Q5"/>
    <x v="3"/>
    <x v="2"/>
    <x v="9"/>
    <n v="4.3899999999999997"/>
    <x v="0"/>
  </r>
  <r>
    <n v="2020"/>
    <x v="3"/>
    <n v="2012"/>
    <x v="29"/>
    <x v="1"/>
    <n v="113805"/>
    <x v="2"/>
    <n v="74824.66"/>
    <s v="Explorer"/>
    <x v="2"/>
    <x v="0"/>
    <x v="15"/>
    <n v="0.66"/>
    <x v="1"/>
  </r>
  <r>
    <n v="2021"/>
    <x v="2"/>
    <n v="2020"/>
    <x v="14"/>
    <x v="0"/>
    <n v="95815"/>
    <x v="2"/>
    <n v="10876.84"/>
    <s v="A4"/>
    <x v="3"/>
    <x v="0"/>
    <x v="6"/>
    <n v="0.11"/>
    <x v="0"/>
  </r>
  <r>
    <n v="2022"/>
    <x v="6"/>
    <n v="2007"/>
    <x v="44"/>
    <x v="1"/>
    <n v="262783"/>
    <x v="2"/>
    <n v="75739.990000000005"/>
    <s v="Camry"/>
    <x v="3"/>
    <x v="1"/>
    <x v="17"/>
    <n v="0.28999999999999998"/>
    <x v="1"/>
  </r>
  <r>
    <n v="2023"/>
    <x v="2"/>
    <n v="2007"/>
    <x v="50"/>
    <x v="0"/>
    <n v="78038"/>
    <x v="0"/>
    <n v="7283.66"/>
    <s v="A4"/>
    <x v="3"/>
    <x v="0"/>
    <x v="17"/>
    <n v="0.09"/>
    <x v="0"/>
  </r>
  <r>
    <n v="2024"/>
    <x v="4"/>
    <n v="2003"/>
    <x v="29"/>
    <x v="1"/>
    <n v="265880"/>
    <x v="2"/>
    <n v="66780.72"/>
    <s v="Accord"/>
    <x v="0"/>
    <x v="1"/>
    <x v="21"/>
    <n v="0.25"/>
    <x v="1"/>
  </r>
  <r>
    <n v="2025"/>
    <x v="1"/>
    <n v="2014"/>
    <x v="19"/>
    <x v="1"/>
    <n v="253506"/>
    <x v="1"/>
    <n v="24995.87"/>
    <s v="5 Series"/>
    <x v="2"/>
    <x v="1"/>
    <x v="12"/>
    <n v="0.1"/>
    <x v="0"/>
  </r>
  <r>
    <n v="2026"/>
    <x v="0"/>
    <n v="2010"/>
    <x v="44"/>
    <x v="1"/>
    <n v="16473"/>
    <x v="2"/>
    <n v="71162.009999999995"/>
    <s v="Model S"/>
    <x v="0"/>
    <x v="2"/>
    <x v="9"/>
    <n v="4.32"/>
    <x v="0"/>
  </r>
  <r>
    <n v="2027"/>
    <x v="3"/>
    <n v="2010"/>
    <x v="50"/>
    <x v="1"/>
    <n v="128771"/>
    <x v="2"/>
    <n v="34429.06"/>
    <s v="Focus"/>
    <x v="2"/>
    <x v="0"/>
    <x v="9"/>
    <n v="0.27"/>
    <x v="1"/>
  </r>
  <r>
    <n v="2028"/>
    <x v="5"/>
    <n v="2000"/>
    <x v="23"/>
    <x v="0"/>
    <n v="125801"/>
    <x v="1"/>
    <n v="87935.6"/>
    <s v="GLC"/>
    <x v="1"/>
    <x v="0"/>
    <x v="18"/>
    <n v="0.7"/>
    <x v="0"/>
  </r>
  <r>
    <n v="2029"/>
    <x v="1"/>
    <n v="2016"/>
    <x v="19"/>
    <x v="1"/>
    <n v="86623"/>
    <x v="2"/>
    <n v="37006.81"/>
    <s v="X3"/>
    <x v="0"/>
    <x v="0"/>
    <x v="0"/>
    <n v="0.43"/>
    <x v="0"/>
  </r>
  <r>
    <n v="2030"/>
    <x v="0"/>
    <n v="2014"/>
    <x v="0"/>
    <x v="1"/>
    <n v="225097"/>
    <x v="0"/>
    <n v="63871.11"/>
    <s v="Model S"/>
    <x v="0"/>
    <x v="1"/>
    <x v="12"/>
    <n v="0.28000000000000003"/>
    <x v="0"/>
  </r>
  <r>
    <n v="2031"/>
    <x v="2"/>
    <n v="2019"/>
    <x v="40"/>
    <x v="1"/>
    <n v="298964"/>
    <x v="2"/>
    <n v="32163.119999999999"/>
    <s v="A4"/>
    <x v="3"/>
    <x v="1"/>
    <x v="5"/>
    <n v="0.11"/>
    <x v="0"/>
  </r>
  <r>
    <n v="2032"/>
    <x v="3"/>
    <n v="2005"/>
    <x v="50"/>
    <x v="0"/>
    <n v="215933"/>
    <x v="0"/>
    <n v="92136.05"/>
    <s v="Fiesta"/>
    <x v="1"/>
    <x v="1"/>
    <x v="14"/>
    <n v="0.43"/>
    <x v="1"/>
  </r>
  <r>
    <n v="2033"/>
    <x v="2"/>
    <n v="2023"/>
    <x v="23"/>
    <x v="0"/>
    <n v="196879"/>
    <x v="0"/>
    <n v="79194.62"/>
    <s v="Q5"/>
    <x v="1"/>
    <x v="1"/>
    <x v="8"/>
    <n v="0.4"/>
    <x v="0"/>
  </r>
  <r>
    <n v="2034"/>
    <x v="4"/>
    <n v="2021"/>
    <x v="14"/>
    <x v="0"/>
    <n v="280558"/>
    <x v="0"/>
    <n v="28113.77"/>
    <s v="Fit"/>
    <x v="1"/>
    <x v="1"/>
    <x v="20"/>
    <n v="0.1"/>
    <x v="1"/>
  </r>
  <r>
    <n v="2035"/>
    <x v="6"/>
    <n v="2014"/>
    <x v="14"/>
    <x v="0"/>
    <n v="24220"/>
    <x v="1"/>
    <n v="95135.69"/>
    <s v="RAV4"/>
    <x v="1"/>
    <x v="2"/>
    <x v="12"/>
    <n v="3.93"/>
    <x v="1"/>
  </r>
  <r>
    <n v="2036"/>
    <x v="3"/>
    <n v="2008"/>
    <x v="46"/>
    <x v="0"/>
    <n v="60531"/>
    <x v="2"/>
    <n v="38929.97"/>
    <s v="Focus"/>
    <x v="2"/>
    <x v="0"/>
    <x v="22"/>
    <n v="0.64"/>
    <x v="1"/>
  </r>
  <r>
    <n v="2037"/>
    <x v="0"/>
    <n v="2013"/>
    <x v="4"/>
    <x v="0"/>
    <n v="173497"/>
    <x v="0"/>
    <n v="66927.17"/>
    <s v="Model X"/>
    <x v="0"/>
    <x v="1"/>
    <x v="2"/>
    <n v="0.39"/>
    <x v="0"/>
  </r>
  <r>
    <n v="2038"/>
    <x v="0"/>
    <n v="2017"/>
    <x v="9"/>
    <x v="1"/>
    <n v="9387"/>
    <x v="0"/>
    <n v="75571.06"/>
    <s v="Model Y"/>
    <x v="0"/>
    <x v="2"/>
    <x v="7"/>
    <n v="8.0500000000000007"/>
    <x v="0"/>
  </r>
  <r>
    <n v="2039"/>
    <x v="4"/>
    <n v="2016"/>
    <x v="36"/>
    <x v="1"/>
    <n v="245752"/>
    <x v="2"/>
    <n v="7175.71"/>
    <s v="Fit"/>
    <x v="2"/>
    <x v="1"/>
    <x v="0"/>
    <n v="0.03"/>
    <x v="1"/>
  </r>
  <r>
    <n v="2040"/>
    <x v="4"/>
    <n v="2017"/>
    <x v="9"/>
    <x v="1"/>
    <n v="76815"/>
    <x v="1"/>
    <n v="96101.9"/>
    <s v="Fit"/>
    <x v="2"/>
    <x v="0"/>
    <x v="7"/>
    <n v="1.25"/>
    <x v="1"/>
  </r>
  <r>
    <n v="2041"/>
    <x v="3"/>
    <n v="2004"/>
    <x v="43"/>
    <x v="0"/>
    <n v="27584"/>
    <x v="1"/>
    <n v="37721.919999999998"/>
    <s v="Explorer"/>
    <x v="1"/>
    <x v="2"/>
    <x v="19"/>
    <n v="1.37"/>
    <x v="1"/>
  </r>
  <r>
    <n v="2042"/>
    <x v="2"/>
    <n v="2019"/>
    <x v="18"/>
    <x v="1"/>
    <n v="44783"/>
    <x v="0"/>
    <n v="23028.99"/>
    <s v="Q7"/>
    <x v="2"/>
    <x v="2"/>
    <x v="5"/>
    <n v="0.51"/>
    <x v="0"/>
  </r>
  <r>
    <n v="2043"/>
    <x v="5"/>
    <n v="2019"/>
    <x v="21"/>
    <x v="1"/>
    <n v="170881"/>
    <x v="1"/>
    <n v="85817.24"/>
    <s v="E-Class"/>
    <x v="0"/>
    <x v="1"/>
    <x v="5"/>
    <n v="0.5"/>
    <x v="0"/>
  </r>
  <r>
    <n v="2044"/>
    <x v="0"/>
    <n v="2008"/>
    <x v="7"/>
    <x v="0"/>
    <n v="185399"/>
    <x v="2"/>
    <n v="71775.429999999993"/>
    <s v="Model Y"/>
    <x v="0"/>
    <x v="1"/>
    <x v="22"/>
    <n v="0.39"/>
    <x v="0"/>
  </r>
  <r>
    <n v="2045"/>
    <x v="0"/>
    <n v="2010"/>
    <x v="6"/>
    <x v="1"/>
    <n v="124494"/>
    <x v="1"/>
    <n v="13240.61"/>
    <s v="Model S"/>
    <x v="0"/>
    <x v="0"/>
    <x v="9"/>
    <n v="0.11"/>
    <x v="0"/>
  </r>
  <r>
    <n v="2046"/>
    <x v="4"/>
    <n v="2023"/>
    <x v="2"/>
    <x v="0"/>
    <n v="115814"/>
    <x v="2"/>
    <n v="16119.24"/>
    <s v="Civic"/>
    <x v="1"/>
    <x v="0"/>
    <x v="8"/>
    <n v="0.14000000000000001"/>
    <x v="1"/>
  </r>
  <r>
    <n v="2047"/>
    <x v="1"/>
    <n v="2021"/>
    <x v="5"/>
    <x v="1"/>
    <n v="250139"/>
    <x v="0"/>
    <n v="72943.23"/>
    <s v="X3"/>
    <x v="3"/>
    <x v="1"/>
    <x v="20"/>
    <n v="0.28999999999999998"/>
    <x v="0"/>
  </r>
  <r>
    <n v="2048"/>
    <x v="4"/>
    <n v="2000"/>
    <x v="26"/>
    <x v="0"/>
    <n v="141929"/>
    <x v="2"/>
    <n v="12104.41"/>
    <s v="CR-V"/>
    <x v="0"/>
    <x v="0"/>
    <x v="18"/>
    <n v="0.09"/>
    <x v="1"/>
  </r>
  <r>
    <n v="2049"/>
    <x v="5"/>
    <n v="2017"/>
    <x v="17"/>
    <x v="0"/>
    <n v="173333"/>
    <x v="0"/>
    <n v="92131.67"/>
    <s v="E-Class"/>
    <x v="0"/>
    <x v="1"/>
    <x v="7"/>
    <n v="0.53"/>
    <x v="0"/>
  </r>
  <r>
    <n v="2050"/>
    <x v="2"/>
    <n v="2005"/>
    <x v="48"/>
    <x v="0"/>
    <n v="246509"/>
    <x v="2"/>
    <n v="75446.31"/>
    <s v="Q5"/>
    <x v="0"/>
    <x v="1"/>
    <x v="14"/>
    <n v="0.31"/>
    <x v="0"/>
  </r>
  <r>
    <n v="2051"/>
    <x v="2"/>
    <n v="2001"/>
    <x v="43"/>
    <x v="1"/>
    <n v="13580"/>
    <x v="2"/>
    <n v="36871.760000000002"/>
    <s v="A3"/>
    <x v="0"/>
    <x v="2"/>
    <x v="10"/>
    <n v="2.72"/>
    <x v="0"/>
  </r>
  <r>
    <n v="2052"/>
    <x v="1"/>
    <n v="2014"/>
    <x v="5"/>
    <x v="1"/>
    <n v="18240"/>
    <x v="1"/>
    <n v="39479.18"/>
    <s v="X3"/>
    <x v="2"/>
    <x v="2"/>
    <x v="12"/>
    <n v="2.16"/>
    <x v="0"/>
  </r>
  <r>
    <n v="2053"/>
    <x v="0"/>
    <n v="2020"/>
    <x v="4"/>
    <x v="0"/>
    <n v="254351"/>
    <x v="2"/>
    <n v="53117.13"/>
    <s v="Model 3"/>
    <x v="0"/>
    <x v="1"/>
    <x v="6"/>
    <n v="0.21"/>
    <x v="0"/>
  </r>
  <r>
    <n v="2054"/>
    <x v="4"/>
    <n v="2013"/>
    <x v="24"/>
    <x v="0"/>
    <n v="254271"/>
    <x v="0"/>
    <n v="39292.089999999997"/>
    <s v="Civic"/>
    <x v="0"/>
    <x v="1"/>
    <x v="2"/>
    <n v="0.15"/>
    <x v="1"/>
  </r>
  <r>
    <n v="2055"/>
    <x v="2"/>
    <n v="2004"/>
    <x v="29"/>
    <x v="1"/>
    <n v="80974"/>
    <x v="2"/>
    <n v="79429.509999999995"/>
    <s v="Q7"/>
    <x v="3"/>
    <x v="0"/>
    <x v="19"/>
    <n v="0.98"/>
    <x v="0"/>
  </r>
  <r>
    <n v="2056"/>
    <x v="5"/>
    <n v="2005"/>
    <x v="48"/>
    <x v="1"/>
    <n v="73401"/>
    <x v="0"/>
    <n v="97600.01"/>
    <s v="C-Class"/>
    <x v="0"/>
    <x v="0"/>
    <x v="14"/>
    <n v="1.33"/>
    <x v="0"/>
  </r>
  <r>
    <n v="2057"/>
    <x v="3"/>
    <n v="2005"/>
    <x v="24"/>
    <x v="0"/>
    <n v="213165"/>
    <x v="0"/>
    <n v="60529.54"/>
    <s v="Explorer"/>
    <x v="1"/>
    <x v="1"/>
    <x v="14"/>
    <n v="0.28000000000000003"/>
    <x v="1"/>
  </r>
  <r>
    <n v="2058"/>
    <x v="6"/>
    <n v="2021"/>
    <x v="3"/>
    <x v="1"/>
    <n v="164340"/>
    <x v="2"/>
    <n v="47373.55"/>
    <s v="RAV4"/>
    <x v="3"/>
    <x v="1"/>
    <x v="20"/>
    <n v="0.28999999999999998"/>
    <x v="1"/>
  </r>
  <r>
    <n v="2059"/>
    <x v="6"/>
    <n v="2017"/>
    <x v="33"/>
    <x v="1"/>
    <n v="265790"/>
    <x v="1"/>
    <n v="26163.54"/>
    <s v="Prius"/>
    <x v="3"/>
    <x v="1"/>
    <x v="7"/>
    <n v="0.1"/>
    <x v="1"/>
  </r>
  <r>
    <n v="2060"/>
    <x v="6"/>
    <n v="2013"/>
    <x v="27"/>
    <x v="1"/>
    <n v="186443"/>
    <x v="2"/>
    <n v="67076.17"/>
    <s v="RAV4"/>
    <x v="3"/>
    <x v="1"/>
    <x v="2"/>
    <n v="0.36"/>
    <x v="1"/>
  </r>
  <r>
    <n v="2061"/>
    <x v="0"/>
    <n v="2009"/>
    <x v="46"/>
    <x v="0"/>
    <n v="248123"/>
    <x v="2"/>
    <n v="70129.8"/>
    <s v="Model X"/>
    <x v="0"/>
    <x v="1"/>
    <x v="4"/>
    <n v="0.28000000000000003"/>
    <x v="0"/>
  </r>
  <r>
    <n v="2062"/>
    <x v="4"/>
    <n v="2013"/>
    <x v="7"/>
    <x v="0"/>
    <n v="89460"/>
    <x v="1"/>
    <n v="70093.11"/>
    <s v="Fit"/>
    <x v="0"/>
    <x v="0"/>
    <x v="2"/>
    <n v="0.78"/>
    <x v="1"/>
  </r>
  <r>
    <n v="2063"/>
    <x v="1"/>
    <n v="2012"/>
    <x v="45"/>
    <x v="1"/>
    <n v="51048"/>
    <x v="0"/>
    <n v="7563.58"/>
    <s v="5 Series"/>
    <x v="2"/>
    <x v="0"/>
    <x v="15"/>
    <n v="0.15"/>
    <x v="0"/>
  </r>
  <r>
    <n v="2064"/>
    <x v="2"/>
    <n v="2002"/>
    <x v="34"/>
    <x v="0"/>
    <n v="206518"/>
    <x v="2"/>
    <n v="90416.6"/>
    <s v="A3"/>
    <x v="3"/>
    <x v="1"/>
    <x v="23"/>
    <n v="0.44"/>
    <x v="0"/>
  </r>
  <r>
    <n v="2065"/>
    <x v="3"/>
    <n v="2005"/>
    <x v="9"/>
    <x v="1"/>
    <n v="132850"/>
    <x v="1"/>
    <n v="37120.120000000003"/>
    <s v="Focus"/>
    <x v="2"/>
    <x v="0"/>
    <x v="14"/>
    <n v="0.28000000000000003"/>
    <x v="1"/>
  </r>
  <r>
    <n v="2066"/>
    <x v="5"/>
    <n v="2007"/>
    <x v="16"/>
    <x v="1"/>
    <n v="211912"/>
    <x v="1"/>
    <n v="75695.75"/>
    <s v="GLA"/>
    <x v="2"/>
    <x v="1"/>
    <x v="17"/>
    <n v="0.36"/>
    <x v="0"/>
  </r>
  <r>
    <n v="2067"/>
    <x v="3"/>
    <n v="2011"/>
    <x v="18"/>
    <x v="0"/>
    <n v="266891"/>
    <x v="0"/>
    <n v="77181.66"/>
    <s v="Focus"/>
    <x v="2"/>
    <x v="1"/>
    <x v="3"/>
    <n v="0.28999999999999998"/>
    <x v="1"/>
  </r>
  <r>
    <n v="2068"/>
    <x v="5"/>
    <n v="2012"/>
    <x v="35"/>
    <x v="0"/>
    <n v="45"/>
    <x v="1"/>
    <n v="66802.720000000001"/>
    <s v="E-Class"/>
    <x v="0"/>
    <x v="2"/>
    <x v="15"/>
    <n v="1484.5"/>
    <x v="0"/>
  </r>
  <r>
    <n v="2069"/>
    <x v="0"/>
    <n v="2010"/>
    <x v="6"/>
    <x v="0"/>
    <n v="7758"/>
    <x v="0"/>
    <n v="42512.32"/>
    <s v="Model S"/>
    <x v="0"/>
    <x v="2"/>
    <x v="9"/>
    <n v="5.48"/>
    <x v="0"/>
  </r>
  <r>
    <n v="2070"/>
    <x v="4"/>
    <n v="2011"/>
    <x v="30"/>
    <x v="1"/>
    <n v="255397"/>
    <x v="2"/>
    <n v="62796.5"/>
    <s v="Fit"/>
    <x v="3"/>
    <x v="1"/>
    <x v="3"/>
    <n v="0.25"/>
    <x v="1"/>
  </r>
  <r>
    <n v="2071"/>
    <x v="6"/>
    <n v="2000"/>
    <x v="1"/>
    <x v="1"/>
    <n v="154509"/>
    <x v="1"/>
    <n v="8818.8799999999992"/>
    <s v="Corolla"/>
    <x v="0"/>
    <x v="1"/>
    <x v="18"/>
    <n v="0.06"/>
    <x v="1"/>
  </r>
  <r>
    <n v="2072"/>
    <x v="4"/>
    <n v="2016"/>
    <x v="8"/>
    <x v="0"/>
    <n v="150657"/>
    <x v="2"/>
    <n v="77380.100000000006"/>
    <s v="Fit"/>
    <x v="2"/>
    <x v="1"/>
    <x v="0"/>
    <n v="0.51"/>
    <x v="1"/>
  </r>
  <r>
    <n v="2073"/>
    <x v="0"/>
    <n v="2015"/>
    <x v="14"/>
    <x v="0"/>
    <n v="140926"/>
    <x v="1"/>
    <n v="14460.92"/>
    <s v="Model 3"/>
    <x v="0"/>
    <x v="0"/>
    <x v="16"/>
    <n v="0.1"/>
    <x v="0"/>
  </r>
  <r>
    <n v="2074"/>
    <x v="1"/>
    <n v="2010"/>
    <x v="44"/>
    <x v="0"/>
    <n v="183148"/>
    <x v="1"/>
    <n v="42691.34"/>
    <s v="5 Series"/>
    <x v="1"/>
    <x v="1"/>
    <x v="9"/>
    <n v="0.23"/>
    <x v="0"/>
  </r>
  <r>
    <n v="2075"/>
    <x v="1"/>
    <n v="2012"/>
    <x v="14"/>
    <x v="1"/>
    <n v="148421"/>
    <x v="2"/>
    <n v="14843.78"/>
    <s v="3 Series"/>
    <x v="1"/>
    <x v="0"/>
    <x v="15"/>
    <n v="0.1"/>
    <x v="0"/>
  </r>
  <r>
    <n v="2076"/>
    <x v="0"/>
    <n v="2017"/>
    <x v="43"/>
    <x v="1"/>
    <n v="227300"/>
    <x v="1"/>
    <n v="84522.07"/>
    <s v="Model 3"/>
    <x v="0"/>
    <x v="1"/>
    <x v="7"/>
    <n v="0.37"/>
    <x v="0"/>
  </r>
  <r>
    <n v="2077"/>
    <x v="5"/>
    <n v="2010"/>
    <x v="15"/>
    <x v="1"/>
    <n v="152420"/>
    <x v="2"/>
    <n v="57278.73"/>
    <s v="E-Class"/>
    <x v="0"/>
    <x v="1"/>
    <x v="9"/>
    <n v="0.38"/>
    <x v="0"/>
  </r>
  <r>
    <n v="2078"/>
    <x v="2"/>
    <n v="2011"/>
    <x v="12"/>
    <x v="0"/>
    <n v="165368"/>
    <x v="2"/>
    <n v="70640.740000000005"/>
    <s v="A4"/>
    <x v="3"/>
    <x v="1"/>
    <x v="3"/>
    <n v="0.43"/>
    <x v="0"/>
  </r>
  <r>
    <n v="2079"/>
    <x v="2"/>
    <n v="2005"/>
    <x v="26"/>
    <x v="0"/>
    <n v="19455"/>
    <x v="0"/>
    <n v="69845.31"/>
    <s v="Q5"/>
    <x v="1"/>
    <x v="2"/>
    <x v="14"/>
    <n v="3.59"/>
    <x v="0"/>
  </r>
  <r>
    <n v="2080"/>
    <x v="5"/>
    <n v="2008"/>
    <x v="37"/>
    <x v="1"/>
    <n v="209896"/>
    <x v="2"/>
    <n v="84952.59"/>
    <s v="C-Class"/>
    <x v="3"/>
    <x v="1"/>
    <x v="22"/>
    <n v="0.4"/>
    <x v="0"/>
  </r>
  <r>
    <n v="2081"/>
    <x v="1"/>
    <n v="2015"/>
    <x v="3"/>
    <x v="0"/>
    <n v="231897"/>
    <x v="0"/>
    <n v="17594.09"/>
    <s v="3 Series"/>
    <x v="3"/>
    <x v="1"/>
    <x v="16"/>
    <n v="0.08"/>
    <x v="0"/>
  </r>
  <r>
    <n v="2082"/>
    <x v="1"/>
    <n v="2003"/>
    <x v="47"/>
    <x v="0"/>
    <n v="88552"/>
    <x v="2"/>
    <n v="67674.17"/>
    <s v="X5"/>
    <x v="3"/>
    <x v="0"/>
    <x v="21"/>
    <n v="0.76"/>
    <x v="0"/>
  </r>
  <r>
    <n v="2083"/>
    <x v="1"/>
    <n v="2002"/>
    <x v="41"/>
    <x v="0"/>
    <n v="40484"/>
    <x v="1"/>
    <n v="59637.74"/>
    <s v="5 Series"/>
    <x v="0"/>
    <x v="2"/>
    <x v="23"/>
    <n v="1.47"/>
    <x v="0"/>
  </r>
  <r>
    <n v="2084"/>
    <x v="4"/>
    <n v="2015"/>
    <x v="13"/>
    <x v="0"/>
    <n v="134476"/>
    <x v="2"/>
    <n v="7935.23"/>
    <s v="Accord"/>
    <x v="0"/>
    <x v="0"/>
    <x v="16"/>
    <n v="0.06"/>
    <x v="1"/>
  </r>
  <r>
    <n v="2085"/>
    <x v="1"/>
    <n v="2023"/>
    <x v="37"/>
    <x v="1"/>
    <n v="168332"/>
    <x v="1"/>
    <n v="24135.18"/>
    <s v="3 Series"/>
    <x v="0"/>
    <x v="1"/>
    <x v="8"/>
    <n v="0.14000000000000001"/>
    <x v="0"/>
  </r>
  <r>
    <n v="2086"/>
    <x v="3"/>
    <n v="2011"/>
    <x v="43"/>
    <x v="0"/>
    <n v="100647"/>
    <x v="0"/>
    <n v="30419.3"/>
    <s v="Explorer"/>
    <x v="0"/>
    <x v="0"/>
    <x v="3"/>
    <n v="0.3"/>
    <x v="1"/>
  </r>
  <r>
    <n v="2087"/>
    <x v="6"/>
    <n v="2010"/>
    <x v="1"/>
    <x v="1"/>
    <n v="65642"/>
    <x v="1"/>
    <n v="11892.86"/>
    <s v="RAV4"/>
    <x v="1"/>
    <x v="0"/>
    <x v="9"/>
    <n v="0.18"/>
    <x v="1"/>
  </r>
  <r>
    <n v="2088"/>
    <x v="1"/>
    <n v="2004"/>
    <x v="41"/>
    <x v="1"/>
    <n v="211803"/>
    <x v="2"/>
    <n v="38698.379999999997"/>
    <s v="X5"/>
    <x v="2"/>
    <x v="1"/>
    <x v="19"/>
    <n v="0.18"/>
    <x v="0"/>
  </r>
  <r>
    <n v="2089"/>
    <x v="5"/>
    <n v="2017"/>
    <x v="20"/>
    <x v="0"/>
    <n v="128824"/>
    <x v="1"/>
    <n v="7584.24"/>
    <s v="GLA"/>
    <x v="2"/>
    <x v="0"/>
    <x v="7"/>
    <n v="0.06"/>
    <x v="0"/>
  </r>
  <r>
    <n v="2090"/>
    <x v="6"/>
    <n v="2018"/>
    <x v="43"/>
    <x v="1"/>
    <n v="248914"/>
    <x v="0"/>
    <n v="57552.43"/>
    <s v="Camry"/>
    <x v="2"/>
    <x v="1"/>
    <x v="1"/>
    <n v="0.23"/>
    <x v="1"/>
  </r>
  <r>
    <n v="2091"/>
    <x v="4"/>
    <n v="2022"/>
    <x v="48"/>
    <x v="1"/>
    <n v="291749"/>
    <x v="1"/>
    <n v="25092.59"/>
    <s v="Accord"/>
    <x v="1"/>
    <x v="1"/>
    <x v="13"/>
    <n v="0.09"/>
    <x v="1"/>
  </r>
  <r>
    <n v="2092"/>
    <x v="5"/>
    <n v="2022"/>
    <x v="28"/>
    <x v="0"/>
    <n v="110879"/>
    <x v="1"/>
    <n v="32265.3"/>
    <s v="E-Class"/>
    <x v="2"/>
    <x v="0"/>
    <x v="13"/>
    <n v="0.28999999999999998"/>
    <x v="0"/>
  </r>
  <r>
    <n v="2093"/>
    <x v="6"/>
    <n v="2005"/>
    <x v="3"/>
    <x v="1"/>
    <n v="120827"/>
    <x v="2"/>
    <n v="91494.8"/>
    <s v="Camry"/>
    <x v="1"/>
    <x v="0"/>
    <x v="14"/>
    <n v="0.76"/>
    <x v="1"/>
  </r>
  <r>
    <n v="2094"/>
    <x v="5"/>
    <n v="2021"/>
    <x v="50"/>
    <x v="1"/>
    <n v="267724"/>
    <x v="2"/>
    <n v="52767.6"/>
    <s v="E-Class"/>
    <x v="1"/>
    <x v="1"/>
    <x v="20"/>
    <n v="0.2"/>
    <x v="0"/>
  </r>
  <r>
    <n v="2095"/>
    <x v="4"/>
    <n v="2017"/>
    <x v="4"/>
    <x v="1"/>
    <n v="267544"/>
    <x v="1"/>
    <n v="30556.32"/>
    <s v="CR-V"/>
    <x v="1"/>
    <x v="1"/>
    <x v="7"/>
    <n v="0.11"/>
    <x v="1"/>
  </r>
  <r>
    <n v="2096"/>
    <x v="3"/>
    <n v="2005"/>
    <x v="17"/>
    <x v="1"/>
    <n v="170715"/>
    <x v="0"/>
    <n v="61853.87"/>
    <s v="Mustang"/>
    <x v="2"/>
    <x v="1"/>
    <x v="14"/>
    <n v="0.36"/>
    <x v="1"/>
  </r>
  <r>
    <n v="2097"/>
    <x v="4"/>
    <n v="2003"/>
    <x v="47"/>
    <x v="1"/>
    <n v="227257"/>
    <x v="1"/>
    <n v="24158.79"/>
    <s v="Accord"/>
    <x v="3"/>
    <x v="1"/>
    <x v="21"/>
    <n v="0.11"/>
    <x v="1"/>
  </r>
  <r>
    <n v="2098"/>
    <x v="4"/>
    <n v="2011"/>
    <x v="21"/>
    <x v="1"/>
    <n v="127319"/>
    <x v="0"/>
    <n v="12067.59"/>
    <s v="Civic"/>
    <x v="2"/>
    <x v="0"/>
    <x v="3"/>
    <n v="0.09"/>
    <x v="1"/>
  </r>
  <r>
    <n v="2099"/>
    <x v="5"/>
    <n v="2018"/>
    <x v="13"/>
    <x v="1"/>
    <n v="106960"/>
    <x v="0"/>
    <n v="6986.1"/>
    <s v="GLA"/>
    <x v="2"/>
    <x v="0"/>
    <x v="1"/>
    <n v="7.0000000000000007E-2"/>
    <x v="0"/>
  </r>
  <r>
    <n v="2100"/>
    <x v="0"/>
    <n v="2001"/>
    <x v="47"/>
    <x v="1"/>
    <n v="39015"/>
    <x v="0"/>
    <n v="95395.26"/>
    <s v="Model 3"/>
    <x v="0"/>
    <x v="2"/>
    <x v="10"/>
    <n v="2.4500000000000002"/>
    <x v="0"/>
  </r>
  <r>
    <n v="2101"/>
    <x v="2"/>
    <n v="2016"/>
    <x v="13"/>
    <x v="0"/>
    <n v="203877"/>
    <x v="1"/>
    <n v="73838.03"/>
    <s v="Q5"/>
    <x v="1"/>
    <x v="1"/>
    <x v="0"/>
    <n v="0.36"/>
    <x v="0"/>
  </r>
  <r>
    <n v="2102"/>
    <x v="1"/>
    <n v="2010"/>
    <x v="43"/>
    <x v="0"/>
    <n v="145109"/>
    <x v="0"/>
    <n v="80995.070000000007"/>
    <s v="X5"/>
    <x v="3"/>
    <x v="0"/>
    <x v="9"/>
    <n v="0.56000000000000005"/>
    <x v="0"/>
  </r>
  <r>
    <n v="2103"/>
    <x v="1"/>
    <n v="2010"/>
    <x v="40"/>
    <x v="0"/>
    <n v="262063"/>
    <x v="1"/>
    <n v="98187.18"/>
    <s v="X3"/>
    <x v="0"/>
    <x v="1"/>
    <x v="9"/>
    <n v="0.37"/>
    <x v="0"/>
  </r>
  <r>
    <n v="2104"/>
    <x v="3"/>
    <n v="2020"/>
    <x v="45"/>
    <x v="1"/>
    <n v="88754"/>
    <x v="0"/>
    <n v="93504.73"/>
    <s v="Explorer"/>
    <x v="3"/>
    <x v="0"/>
    <x v="6"/>
    <n v="1.05"/>
    <x v="1"/>
  </r>
  <r>
    <n v="2105"/>
    <x v="3"/>
    <n v="2015"/>
    <x v="16"/>
    <x v="1"/>
    <n v="221775"/>
    <x v="0"/>
    <n v="75006.75"/>
    <s v="Explorer"/>
    <x v="3"/>
    <x v="1"/>
    <x v="16"/>
    <n v="0.34"/>
    <x v="1"/>
  </r>
  <r>
    <n v="2106"/>
    <x v="1"/>
    <n v="2001"/>
    <x v="50"/>
    <x v="1"/>
    <n v="203225"/>
    <x v="1"/>
    <n v="70928.77"/>
    <s v="5 Series"/>
    <x v="1"/>
    <x v="1"/>
    <x v="10"/>
    <n v="0.35"/>
    <x v="0"/>
  </r>
  <r>
    <n v="2107"/>
    <x v="2"/>
    <n v="2001"/>
    <x v="23"/>
    <x v="0"/>
    <n v="152606"/>
    <x v="2"/>
    <n v="37000.75"/>
    <s v="Q7"/>
    <x v="2"/>
    <x v="1"/>
    <x v="10"/>
    <n v="0.24"/>
    <x v="0"/>
  </r>
  <r>
    <n v="2108"/>
    <x v="1"/>
    <n v="2022"/>
    <x v="32"/>
    <x v="0"/>
    <n v="222067"/>
    <x v="2"/>
    <n v="14881.64"/>
    <s v="X3"/>
    <x v="1"/>
    <x v="1"/>
    <x v="13"/>
    <n v="7.0000000000000007E-2"/>
    <x v="0"/>
  </r>
  <r>
    <n v="2109"/>
    <x v="0"/>
    <n v="2007"/>
    <x v="12"/>
    <x v="0"/>
    <n v="56879"/>
    <x v="1"/>
    <n v="59503.64"/>
    <s v="Model Y"/>
    <x v="0"/>
    <x v="0"/>
    <x v="17"/>
    <n v="1.05"/>
    <x v="0"/>
  </r>
  <r>
    <n v="2110"/>
    <x v="2"/>
    <n v="2012"/>
    <x v="30"/>
    <x v="1"/>
    <n v="119894"/>
    <x v="1"/>
    <n v="59744.06"/>
    <s v="Q5"/>
    <x v="0"/>
    <x v="0"/>
    <x v="15"/>
    <n v="0.5"/>
    <x v="0"/>
  </r>
  <r>
    <n v="2111"/>
    <x v="3"/>
    <n v="2009"/>
    <x v="33"/>
    <x v="0"/>
    <n v="65839"/>
    <x v="2"/>
    <n v="95462.54"/>
    <s v="Explorer"/>
    <x v="1"/>
    <x v="0"/>
    <x v="4"/>
    <n v="1.45"/>
    <x v="1"/>
  </r>
  <r>
    <n v="2112"/>
    <x v="6"/>
    <n v="2007"/>
    <x v="24"/>
    <x v="0"/>
    <n v="29756"/>
    <x v="2"/>
    <n v="47044.23"/>
    <s v="Prius"/>
    <x v="2"/>
    <x v="2"/>
    <x v="17"/>
    <n v="1.58"/>
    <x v="1"/>
  </r>
  <r>
    <n v="2113"/>
    <x v="5"/>
    <n v="2003"/>
    <x v="35"/>
    <x v="1"/>
    <n v="143755"/>
    <x v="2"/>
    <n v="70626.720000000001"/>
    <s v="C-Class"/>
    <x v="3"/>
    <x v="0"/>
    <x v="21"/>
    <n v="0.49"/>
    <x v="0"/>
  </r>
  <r>
    <n v="2114"/>
    <x v="0"/>
    <n v="2014"/>
    <x v="32"/>
    <x v="0"/>
    <n v="180557"/>
    <x v="1"/>
    <n v="59622.21"/>
    <s v="Model X"/>
    <x v="0"/>
    <x v="1"/>
    <x v="12"/>
    <n v="0.33"/>
    <x v="0"/>
  </r>
  <r>
    <n v="2115"/>
    <x v="0"/>
    <n v="2000"/>
    <x v="47"/>
    <x v="1"/>
    <n v="229303"/>
    <x v="0"/>
    <n v="21792.22"/>
    <s v="Model 3"/>
    <x v="0"/>
    <x v="1"/>
    <x v="18"/>
    <n v="0.1"/>
    <x v="0"/>
  </r>
  <r>
    <n v="2116"/>
    <x v="3"/>
    <n v="2010"/>
    <x v="8"/>
    <x v="0"/>
    <n v="149787"/>
    <x v="1"/>
    <n v="61246.11"/>
    <s v="Explorer"/>
    <x v="1"/>
    <x v="0"/>
    <x v="9"/>
    <n v="0.41"/>
    <x v="1"/>
  </r>
  <r>
    <n v="2117"/>
    <x v="3"/>
    <n v="2006"/>
    <x v="43"/>
    <x v="1"/>
    <n v="92943"/>
    <x v="2"/>
    <n v="56311.09"/>
    <s v="Focus"/>
    <x v="3"/>
    <x v="0"/>
    <x v="11"/>
    <n v="0.61"/>
    <x v="1"/>
  </r>
  <r>
    <n v="2118"/>
    <x v="4"/>
    <n v="2016"/>
    <x v="8"/>
    <x v="1"/>
    <n v="218188"/>
    <x v="0"/>
    <n v="51921.07"/>
    <s v="CR-V"/>
    <x v="1"/>
    <x v="1"/>
    <x v="0"/>
    <n v="0.24"/>
    <x v="1"/>
  </r>
  <r>
    <n v="2119"/>
    <x v="0"/>
    <n v="2019"/>
    <x v="1"/>
    <x v="1"/>
    <n v="148188"/>
    <x v="1"/>
    <n v="53775.18"/>
    <s v="Model X"/>
    <x v="0"/>
    <x v="0"/>
    <x v="5"/>
    <n v="0.36"/>
    <x v="0"/>
  </r>
  <r>
    <n v="2120"/>
    <x v="4"/>
    <n v="2023"/>
    <x v="36"/>
    <x v="1"/>
    <n v="36744"/>
    <x v="2"/>
    <n v="20578.86"/>
    <s v="Accord"/>
    <x v="3"/>
    <x v="2"/>
    <x v="8"/>
    <n v="0.56000000000000005"/>
    <x v="1"/>
  </r>
  <r>
    <n v="2121"/>
    <x v="4"/>
    <n v="2017"/>
    <x v="8"/>
    <x v="1"/>
    <n v="124697"/>
    <x v="1"/>
    <n v="49030.38"/>
    <s v="Civic"/>
    <x v="1"/>
    <x v="0"/>
    <x v="7"/>
    <n v="0.39"/>
    <x v="1"/>
  </r>
  <r>
    <n v="2122"/>
    <x v="5"/>
    <n v="2021"/>
    <x v="5"/>
    <x v="0"/>
    <n v="116072"/>
    <x v="0"/>
    <n v="62537.06"/>
    <s v="C-Class"/>
    <x v="1"/>
    <x v="0"/>
    <x v="20"/>
    <n v="0.54"/>
    <x v="0"/>
  </r>
  <r>
    <n v="2123"/>
    <x v="4"/>
    <n v="2021"/>
    <x v="46"/>
    <x v="1"/>
    <n v="236028"/>
    <x v="2"/>
    <n v="51497.67"/>
    <s v="Fit"/>
    <x v="0"/>
    <x v="1"/>
    <x v="20"/>
    <n v="0.22"/>
    <x v="1"/>
  </r>
  <r>
    <n v="2124"/>
    <x v="2"/>
    <n v="2011"/>
    <x v="2"/>
    <x v="1"/>
    <n v="169123"/>
    <x v="1"/>
    <n v="51425.19"/>
    <s v="Q5"/>
    <x v="0"/>
    <x v="1"/>
    <x v="3"/>
    <n v="0.3"/>
    <x v="0"/>
  </r>
  <r>
    <n v="2125"/>
    <x v="1"/>
    <n v="2008"/>
    <x v="43"/>
    <x v="1"/>
    <n v="7176"/>
    <x v="0"/>
    <n v="12364.18"/>
    <s v="X3"/>
    <x v="0"/>
    <x v="2"/>
    <x v="22"/>
    <n v="1.72"/>
    <x v="0"/>
  </r>
  <r>
    <n v="2126"/>
    <x v="6"/>
    <n v="2004"/>
    <x v="24"/>
    <x v="1"/>
    <n v="252365"/>
    <x v="0"/>
    <n v="23123.54"/>
    <s v="RAV4"/>
    <x v="3"/>
    <x v="1"/>
    <x v="19"/>
    <n v="0.09"/>
    <x v="1"/>
  </r>
  <r>
    <n v="2127"/>
    <x v="3"/>
    <n v="2009"/>
    <x v="13"/>
    <x v="0"/>
    <n v="149748"/>
    <x v="1"/>
    <n v="35492.410000000003"/>
    <s v="Fiesta"/>
    <x v="3"/>
    <x v="0"/>
    <x v="4"/>
    <n v="0.24"/>
    <x v="1"/>
  </r>
  <r>
    <n v="2128"/>
    <x v="2"/>
    <n v="2003"/>
    <x v="31"/>
    <x v="1"/>
    <n v="45177"/>
    <x v="0"/>
    <n v="44837.96"/>
    <s v="A4"/>
    <x v="0"/>
    <x v="2"/>
    <x v="21"/>
    <n v="0.99"/>
    <x v="0"/>
  </r>
  <r>
    <n v="2129"/>
    <x v="6"/>
    <n v="2004"/>
    <x v="11"/>
    <x v="0"/>
    <n v="110623"/>
    <x v="2"/>
    <n v="61424.06"/>
    <s v="Corolla"/>
    <x v="2"/>
    <x v="0"/>
    <x v="19"/>
    <n v="0.56000000000000005"/>
    <x v="1"/>
  </r>
  <r>
    <n v="2130"/>
    <x v="0"/>
    <n v="2009"/>
    <x v="29"/>
    <x v="1"/>
    <n v="997"/>
    <x v="0"/>
    <n v="87017.78"/>
    <s v="Model S"/>
    <x v="0"/>
    <x v="2"/>
    <x v="4"/>
    <n v="87.28"/>
    <x v="0"/>
  </r>
  <r>
    <n v="2131"/>
    <x v="0"/>
    <n v="2010"/>
    <x v="35"/>
    <x v="1"/>
    <n v="120179"/>
    <x v="1"/>
    <n v="20120.650000000001"/>
    <s v="Model Y"/>
    <x v="0"/>
    <x v="0"/>
    <x v="9"/>
    <n v="0.17"/>
    <x v="0"/>
  </r>
  <r>
    <n v="2132"/>
    <x v="0"/>
    <n v="2020"/>
    <x v="5"/>
    <x v="0"/>
    <n v="247439"/>
    <x v="2"/>
    <n v="6433.36"/>
    <s v="Model X"/>
    <x v="0"/>
    <x v="1"/>
    <x v="6"/>
    <n v="0.03"/>
    <x v="0"/>
  </r>
  <r>
    <n v="2133"/>
    <x v="2"/>
    <n v="2023"/>
    <x v="41"/>
    <x v="0"/>
    <n v="120403"/>
    <x v="0"/>
    <n v="47677.53"/>
    <s v="A4"/>
    <x v="1"/>
    <x v="0"/>
    <x v="8"/>
    <n v="0.4"/>
    <x v="0"/>
  </r>
  <r>
    <n v="2134"/>
    <x v="2"/>
    <n v="2009"/>
    <x v="21"/>
    <x v="0"/>
    <n v="95287"/>
    <x v="0"/>
    <n v="46049.78"/>
    <s v="A4"/>
    <x v="3"/>
    <x v="0"/>
    <x v="4"/>
    <n v="0.48"/>
    <x v="0"/>
  </r>
  <r>
    <n v="2135"/>
    <x v="3"/>
    <n v="2007"/>
    <x v="26"/>
    <x v="1"/>
    <n v="119574"/>
    <x v="2"/>
    <n v="57430.62"/>
    <s v="Fiesta"/>
    <x v="3"/>
    <x v="0"/>
    <x v="17"/>
    <n v="0.48"/>
    <x v="1"/>
  </r>
  <r>
    <n v="2136"/>
    <x v="1"/>
    <n v="2001"/>
    <x v="25"/>
    <x v="0"/>
    <n v="256463"/>
    <x v="2"/>
    <n v="84156.07"/>
    <s v="X5"/>
    <x v="2"/>
    <x v="1"/>
    <x v="10"/>
    <n v="0.33"/>
    <x v="0"/>
  </r>
  <r>
    <n v="2137"/>
    <x v="4"/>
    <n v="2022"/>
    <x v="21"/>
    <x v="1"/>
    <n v="121509"/>
    <x v="0"/>
    <n v="81224.25"/>
    <s v="CR-V"/>
    <x v="3"/>
    <x v="0"/>
    <x v="13"/>
    <n v="0.67"/>
    <x v="1"/>
  </r>
  <r>
    <n v="2138"/>
    <x v="0"/>
    <n v="2007"/>
    <x v="35"/>
    <x v="0"/>
    <n v="248505"/>
    <x v="2"/>
    <n v="14504.11"/>
    <s v="Model Y"/>
    <x v="0"/>
    <x v="1"/>
    <x v="17"/>
    <n v="0.06"/>
    <x v="0"/>
  </r>
  <r>
    <n v="2139"/>
    <x v="5"/>
    <n v="2015"/>
    <x v="31"/>
    <x v="0"/>
    <n v="192589"/>
    <x v="1"/>
    <n v="93729.56"/>
    <s v="E-Class"/>
    <x v="0"/>
    <x v="1"/>
    <x v="16"/>
    <n v="0.49"/>
    <x v="0"/>
  </r>
  <r>
    <n v="2140"/>
    <x v="1"/>
    <n v="2021"/>
    <x v="23"/>
    <x v="1"/>
    <n v="289531"/>
    <x v="0"/>
    <n v="15489.37"/>
    <s v="5 Series"/>
    <x v="2"/>
    <x v="1"/>
    <x v="20"/>
    <n v="0.05"/>
    <x v="0"/>
  </r>
  <r>
    <n v="2141"/>
    <x v="5"/>
    <n v="2004"/>
    <x v="7"/>
    <x v="0"/>
    <n v="4090"/>
    <x v="1"/>
    <n v="65284.2"/>
    <s v="GLA"/>
    <x v="2"/>
    <x v="2"/>
    <x v="19"/>
    <n v="15.96"/>
    <x v="0"/>
  </r>
  <r>
    <n v="2142"/>
    <x v="3"/>
    <n v="2002"/>
    <x v="20"/>
    <x v="0"/>
    <n v="3743"/>
    <x v="0"/>
    <n v="68878.600000000006"/>
    <s v="Mustang"/>
    <x v="1"/>
    <x v="2"/>
    <x v="23"/>
    <n v="18.399999999999999"/>
    <x v="1"/>
  </r>
  <r>
    <n v="2143"/>
    <x v="3"/>
    <n v="2011"/>
    <x v="8"/>
    <x v="1"/>
    <n v="30924"/>
    <x v="1"/>
    <n v="69588.36"/>
    <s v="Fiesta"/>
    <x v="3"/>
    <x v="2"/>
    <x v="3"/>
    <n v="2.25"/>
    <x v="1"/>
  </r>
  <r>
    <n v="2144"/>
    <x v="3"/>
    <n v="2012"/>
    <x v="28"/>
    <x v="1"/>
    <n v="141268"/>
    <x v="1"/>
    <n v="30208.36"/>
    <s v="Fiesta"/>
    <x v="1"/>
    <x v="0"/>
    <x v="15"/>
    <n v="0.21"/>
    <x v="1"/>
  </r>
  <r>
    <n v="2145"/>
    <x v="6"/>
    <n v="2012"/>
    <x v="4"/>
    <x v="1"/>
    <n v="105312"/>
    <x v="2"/>
    <n v="36382.78"/>
    <s v="RAV4"/>
    <x v="1"/>
    <x v="0"/>
    <x v="15"/>
    <n v="0.35"/>
    <x v="1"/>
  </r>
  <r>
    <n v="2146"/>
    <x v="5"/>
    <n v="2009"/>
    <x v="43"/>
    <x v="0"/>
    <n v="216249"/>
    <x v="0"/>
    <n v="57124.3"/>
    <s v="E-Class"/>
    <x v="0"/>
    <x v="1"/>
    <x v="4"/>
    <n v="0.26"/>
    <x v="0"/>
  </r>
  <r>
    <n v="2147"/>
    <x v="1"/>
    <n v="2003"/>
    <x v="15"/>
    <x v="0"/>
    <n v="224090"/>
    <x v="2"/>
    <n v="23960.81"/>
    <s v="5 Series"/>
    <x v="0"/>
    <x v="1"/>
    <x v="21"/>
    <n v="0.11"/>
    <x v="0"/>
  </r>
  <r>
    <n v="2148"/>
    <x v="1"/>
    <n v="2008"/>
    <x v="6"/>
    <x v="0"/>
    <n v="229602"/>
    <x v="2"/>
    <n v="6929.49"/>
    <s v="X3"/>
    <x v="0"/>
    <x v="1"/>
    <x v="22"/>
    <n v="0.03"/>
    <x v="0"/>
  </r>
  <r>
    <n v="2149"/>
    <x v="2"/>
    <n v="2021"/>
    <x v="23"/>
    <x v="0"/>
    <n v="103976"/>
    <x v="0"/>
    <n v="58403.72"/>
    <s v="A4"/>
    <x v="0"/>
    <x v="0"/>
    <x v="20"/>
    <n v="0.56000000000000005"/>
    <x v="0"/>
  </r>
  <r>
    <n v="2150"/>
    <x v="2"/>
    <n v="2023"/>
    <x v="11"/>
    <x v="0"/>
    <n v="155183"/>
    <x v="1"/>
    <n v="49201.46"/>
    <s v="A3"/>
    <x v="1"/>
    <x v="1"/>
    <x v="8"/>
    <n v="0.32"/>
    <x v="0"/>
  </r>
  <r>
    <n v="2151"/>
    <x v="0"/>
    <n v="2022"/>
    <x v="28"/>
    <x v="1"/>
    <n v="113566"/>
    <x v="0"/>
    <n v="67389.460000000006"/>
    <s v="Model X"/>
    <x v="0"/>
    <x v="0"/>
    <x v="13"/>
    <n v="0.59"/>
    <x v="0"/>
  </r>
  <r>
    <n v="2152"/>
    <x v="2"/>
    <n v="2001"/>
    <x v="29"/>
    <x v="0"/>
    <n v="257443"/>
    <x v="0"/>
    <n v="18936.55"/>
    <s v="A3"/>
    <x v="3"/>
    <x v="1"/>
    <x v="10"/>
    <n v="7.0000000000000007E-2"/>
    <x v="0"/>
  </r>
  <r>
    <n v="2153"/>
    <x v="3"/>
    <n v="2018"/>
    <x v="41"/>
    <x v="1"/>
    <n v="119968"/>
    <x v="0"/>
    <n v="84887.86"/>
    <s v="Focus"/>
    <x v="0"/>
    <x v="0"/>
    <x v="1"/>
    <n v="0.71"/>
    <x v="1"/>
  </r>
  <r>
    <n v="2154"/>
    <x v="1"/>
    <n v="2000"/>
    <x v="48"/>
    <x v="0"/>
    <n v="61600"/>
    <x v="2"/>
    <n v="18891.04"/>
    <s v="X5"/>
    <x v="0"/>
    <x v="0"/>
    <x v="18"/>
    <n v="0.31"/>
    <x v="0"/>
  </r>
  <r>
    <n v="2155"/>
    <x v="5"/>
    <n v="2006"/>
    <x v="10"/>
    <x v="1"/>
    <n v="50022"/>
    <x v="0"/>
    <n v="89677.64"/>
    <s v="GLA"/>
    <x v="0"/>
    <x v="0"/>
    <x v="11"/>
    <n v="1.79"/>
    <x v="0"/>
  </r>
  <r>
    <n v="2156"/>
    <x v="3"/>
    <n v="2016"/>
    <x v="36"/>
    <x v="0"/>
    <n v="134271"/>
    <x v="0"/>
    <n v="47704.51"/>
    <s v="Focus"/>
    <x v="2"/>
    <x v="0"/>
    <x v="0"/>
    <n v="0.36"/>
    <x v="1"/>
  </r>
  <r>
    <n v="2157"/>
    <x v="6"/>
    <n v="2002"/>
    <x v="15"/>
    <x v="0"/>
    <n v="123323"/>
    <x v="0"/>
    <n v="57231.5"/>
    <s v="Prius"/>
    <x v="3"/>
    <x v="0"/>
    <x v="23"/>
    <n v="0.46"/>
    <x v="1"/>
  </r>
  <r>
    <n v="2158"/>
    <x v="2"/>
    <n v="2019"/>
    <x v="29"/>
    <x v="1"/>
    <n v="186110"/>
    <x v="1"/>
    <n v="90175.23"/>
    <s v="A3"/>
    <x v="3"/>
    <x v="1"/>
    <x v="5"/>
    <n v="0.48"/>
    <x v="0"/>
  </r>
  <r>
    <n v="2159"/>
    <x v="3"/>
    <n v="2019"/>
    <x v="14"/>
    <x v="0"/>
    <n v="120278"/>
    <x v="1"/>
    <n v="33491.74"/>
    <s v="Explorer"/>
    <x v="1"/>
    <x v="0"/>
    <x v="5"/>
    <n v="0.28000000000000003"/>
    <x v="1"/>
  </r>
  <r>
    <n v="2160"/>
    <x v="3"/>
    <n v="2020"/>
    <x v="12"/>
    <x v="1"/>
    <n v="270041"/>
    <x v="1"/>
    <n v="22273.56"/>
    <s v="Explorer"/>
    <x v="1"/>
    <x v="1"/>
    <x v="6"/>
    <n v="0.08"/>
    <x v="1"/>
  </r>
  <r>
    <n v="2161"/>
    <x v="6"/>
    <n v="2002"/>
    <x v="10"/>
    <x v="0"/>
    <n v="64541"/>
    <x v="1"/>
    <n v="47346.400000000001"/>
    <s v="Corolla"/>
    <x v="0"/>
    <x v="0"/>
    <x v="23"/>
    <n v="0.73"/>
    <x v="1"/>
  </r>
  <r>
    <n v="2162"/>
    <x v="4"/>
    <n v="2002"/>
    <x v="6"/>
    <x v="0"/>
    <n v="106968"/>
    <x v="2"/>
    <n v="28214.89"/>
    <s v="CR-V"/>
    <x v="2"/>
    <x v="0"/>
    <x v="23"/>
    <n v="0.26"/>
    <x v="1"/>
  </r>
  <r>
    <n v="2163"/>
    <x v="1"/>
    <n v="2016"/>
    <x v="38"/>
    <x v="1"/>
    <n v="14892"/>
    <x v="2"/>
    <n v="55145.17"/>
    <s v="5 Series"/>
    <x v="1"/>
    <x v="2"/>
    <x v="0"/>
    <n v="3.7"/>
    <x v="0"/>
  </r>
  <r>
    <n v="2164"/>
    <x v="5"/>
    <n v="2006"/>
    <x v="40"/>
    <x v="0"/>
    <n v="24815"/>
    <x v="0"/>
    <n v="31149.5"/>
    <s v="GLC"/>
    <x v="1"/>
    <x v="2"/>
    <x v="11"/>
    <n v="1.26"/>
    <x v="0"/>
  </r>
  <r>
    <n v="2165"/>
    <x v="0"/>
    <n v="2013"/>
    <x v="2"/>
    <x v="1"/>
    <n v="278411"/>
    <x v="2"/>
    <n v="87126.51"/>
    <s v="Model X"/>
    <x v="0"/>
    <x v="1"/>
    <x v="2"/>
    <n v="0.31"/>
    <x v="0"/>
  </r>
  <r>
    <n v="2166"/>
    <x v="4"/>
    <n v="2016"/>
    <x v="40"/>
    <x v="0"/>
    <n v="280412"/>
    <x v="1"/>
    <n v="62695.839999999997"/>
    <s v="Civic"/>
    <x v="0"/>
    <x v="1"/>
    <x v="0"/>
    <n v="0.22"/>
    <x v="1"/>
  </r>
  <r>
    <n v="2167"/>
    <x v="2"/>
    <n v="2017"/>
    <x v="42"/>
    <x v="0"/>
    <n v="114463"/>
    <x v="0"/>
    <n v="5022.8599999999997"/>
    <s v="A3"/>
    <x v="1"/>
    <x v="0"/>
    <x v="7"/>
    <n v="0.04"/>
    <x v="0"/>
  </r>
  <r>
    <n v="2168"/>
    <x v="3"/>
    <n v="2012"/>
    <x v="22"/>
    <x v="0"/>
    <n v="190732"/>
    <x v="0"/>
    <n v="81520"/>
    <s v="Fiesta"/>
    <x v="1"/>
    <x v="1"/>
    <x v="15"/>
    <n v="0.43"/>
    <x v="1"/>
  </r>
  <r>
    <n v="2169"/>
    <x v="6"/>
    <n v="2019"/>
    <x v="2"/>
    <x v="0"/>
    <n v="196599"/>
    <x v="1"/>
    <n v="36370.17"/>
    <s v="Prius"/>
    <x v="3"/>
    <x v="1"/>
    <x v="5"/>
    <n v="0.18"/>
    <x v="1"/>
  </r>
  <r>
    <n v="2170"/>
    <x v="6"/>
    <n v="2019"/>
    <x v="38"/>
    <x v="0"/>
    <n v="194451"/>
    <x v="1"/>
    <n v="35419.760000000002"/>
    <s v="Camry"/>
    <x v="2"/>
    <x v="1"/>
    <x v="5"/>
    <n v="0.18"/>
    <x v="1"/>
  </r>
  <r>
    <n v="2171"/>
    <x v="1"/>
    <n v="2020"/>
    <x v="50"/>
    <x v="0"/>
    <n v="172343"/>
    <x v="1"/>
    <n v="41390.97"/>
    <s v="5 Series"/>
    <x v="3"/>
    <x v="1"/>
    <x v="6"/>
    <n v="0.24"/>
    <x v="0"/>
  </r>
  <r>
    <n v="2172"/>
    <x v="4"/>
    <n v="2017"/>
    <x v="36"/>
    <x v="0"/>
    <n v="138307"/>
    <x v="2"/>
    <n v="64874.94"/>
    <s v="Fit"/>
    <x v="1"/>
    <x v="0"/>
    <x v="7"/>
    <n v="0.47"/>
    <x v="1"/>
  </r>
  <r>
    <n v="2173"/>
    <x v="0"/>
    <n v="2003"/>
    <x v="21"/>
    <x v="1"/>
    <n v="88757"/>
    <x v="0"/>
    <n v="46995.77"/>
    <s v="Model S"/>
    <x v="0"/>
    <x v="0"/>
    <x v="21"/>
    <n v="0.53"/>
    <x v="0"/>
  </r>
  <r>
    <n v="2174"/>
    <x v="1"/>
    <n v="2000"/>
    <x v="40"/>
    <x v="0"/>
    <n v="296753"/>
    <x v="1"/>
    <n v="64720.38"/>
    <s v="3 Series"/>
    <x v="3"/>
    <x v="1"/>
    <x v="18"/>
    <n v="0.22"/>
    <x v="0"/>
  </r>
  <r>
    <n v="2175"/>
    <x v="3"/>
    <n v="2017"/>
    <x v="42"/>
    <x v="0"/>
    <n v="254200"/>
    <x v="0"/>
    <n v="18944.169999999998"/>
    <s v="Fiesta"/>
    <x v="1"/>
    <x v="1"/>
    <x v="7"/>
    <n v="7.0000000000000007E-2"/>
    <x v="1"/>
  </r>
  <r>
    <n v="2176"/>
    <x v="1"/>
    <n v="2000"/>
    <x v="37"/>
    <x v="0"/>
    <n v="23645"/>
    <x v="0"/>
    <n v="97165.62"/>
    <s v="5 Series"/>
    <x v="0"/>
    <x v="2"/>
    <x v="18"/>
    <n v="4.1100000000000003"/>
    <x v="0"/>
  </r>
  <r>
    <n v="2177"/>
    <x v="5"/>
    <n v="2012"/>
    <x v="25"/>
    <x v="1"/>
    <n v="195630"/>
    <x v="2"/>
    <n v="74312.600000000006"/>
    <s v="GLC"/>
    <x v="1"/>
    <x v="1"/>
    <x v="15"/>
    <n v="0.38"/>
    <x v="0"/>
  </r>
  <r>
    <n v="2178"/>
    <x v="6"/>
    <n v="2019"/>
    <x v="14"/>
    <x v="1"/>
    <n v="154473"/>
    <x v="0"/>
    <n v="28769.68"/>
    <s v="Prius"/>
    <x v="0"/>
    <x v="1"/>
    <x v="5"/>
    <n v="0.19"/>
    <x v="1"/>
  </r>
  <r>
    <n v="2179"/>
    <x v="6"/>
    <n v="2019"/>
    <x v="31"/>
    <x v="0"/>
    <n v="269915"/>
    <x v="1"/>
    <n v="73796.14"/>
    <s v="Camry"/>
    <x v="1"/>
    <x v="1"/>
    <x v="5"/>
    <n v="0.27"/>
    <x v="1"/>
  </r>
  <r>
    <n v="2180"/>
    <x v="2"/>
    <n v="2022"/>
    <x v="7"/>
    <x v="0"/>
    <n v="151460"/>
    <x v="1"/>
    <n v="59627.42"/>
    <s v="Q5"/>
    <x v="1"/>
    <x v="1"/>
    <x v="13"/>
    <n v="0.39"/>
    <x v="0"/>
  </r>
  <r>
    <n v="2181"/>
    <x v="2"/>
    <n v="2009"/>
    <x v="17"/>
    <x v="0"/>
    <n v="83251"/>
    <x v="0"/>
    <n v="15372.95"/>
    <s v="A3"/>
    <x v="1"/>
    <x v="0"/>
    <x v="4"/>
    <n v="0.18"/>
    <x v="0"/>
  </r>
  <r>
    <n v="2182"/>
    <x v="0"/>
    <n v="2010"/>
    <x v="48"/>
    <x v="1"/>
    <n v="57042"/>
    <x v="0"/>
    <n v="21928.66"/>
    <s v="Model 3"/>
    <x v="0"/>
    <x v="0"/>
    <x v="9"/>
    <n v="0.38"/>
    <x v="0"/>
  </r>
  <r>
    <n v="2183"/>
    <x v="3"/>
    <n v="2008"/>
    <x v="35"/>
    <x v="0"/>
    <n v="196945"/>
    <x v="2"/>
    <n v="8924.27"/>
    <s v="Fiesta"/>
    <x v="0"/>
    <x v="1"/>
    <x v="22"/>
    <n v="0.05"/>
    <x v="1"/>
  </r>
  <r>
    <n v="2184"/>
    <x v="5"/>
    <n v="2008"/>
    <x v="18"/>
    <x v="1"/>
    <n v="47024"/>
    <x v="1"/>
    <n v="81877.62"/>
    <s v="GLC"/>
    <x v="2"/>
    <x v="2"/>
    <x v="22"/>
    <n v="1.74"/>
    <x v="0"/>
  </r>
  <r>
    <n v="2185"/>
    <x v="4"/>
    <n v="2004"/>
    <x v="2"/>
    <x v="0"/>
    <n v="154522"/>
    <x v="1"/>
    <n v="57411.95"/>
    <s v="CR-V"/>
    <x v="1"/>
    <x v="1"/>
    <x v="19"/>
    <n v="0.37"/>
    <x v="1"/>
  </r>
  <r>
    <n v="2186"/>
    <x v="1"/>
    <n v="2000"/>
    <x v="30"/>
    <x v="1"/>
    <n v="56965"/>
    <x v="0"/>
    <n v="35091.120000000003"/>
    <s v="X3"/>
    <x v="3"/>
    <x v="0"/>
    <x v="18"/>
    <n v="0.62"/>
    <x v="0"/>
  </r>
  <r>
    <n v="2187"/>
    <x v="0"/>
    <n v="2016"/>
    <x v="7"/>
    <x v="1"/>
    <n v="272201"/>
    <x v="0"/>
    <n v="17002.77"/>
    <s v="Model X"/>
    <x v="0"/>
    <x v="1"/>
    <x v="0"/>
    <n v="0.06"/>
    <x v="0"/>
  </r>
  <r>
    <n v="2188"/>
    <x v="3"/>
    <n v="2021"/>
    <x v="48"/>
    <x v="0"/>
    <n v="224321"/>
    <x v="0"/>
    <n v="50984.36"/>
    <s v="Fiesta"/>
    <x v="0"/>
    <x v="1"/>
    <x v="20"/>
    <n v="0.23"/>
    <x v="1"/>
  </r>
  <r>
    <n v="2189"/>
    <x v="2"/>
    <n v="2001"/>
    <x v="29"/>
    <x v="0"/>
    <n v="271127"/>
    <x v="1"/>
    <n v="54899.83"/>
    <s v="A4"/>
    <x v="1"/>
    <x v="1"/>
    <x v="10"/>
    <n v="0.2"/>
    <x v="0"/>
  </r>
  <r>
    <n v="2190"/>
    <x v="1"/>
    <n v="2023"/>
    <x v="33"/>
    <x v="0"/>
    <n v="19995"/>
    <x v="0"/>
    <n v="71685.11"/>
    <s v="3 Series"/>
    <x v="2"/>
    <x v="2"/>
    <x v="8"/>
    <n v="3.59"/>
    <x v="0"/>
  </r>
  <r>
    <n v="2191"/>
    <x v="2"/>
    <n v="2012"/>
    <x v="40"/>
    <x v="0"/>
    <n v="114587"/>
    <x v="2"/>
    <n v="97144.03"/>
    <s v="Q5"/>
    <x v="3"/>
    <x v="0"/>
    <x v="15"/>
    <n v="0.85"/>
    <x v="0"/>
  </r>
  <r>
    <n v="2192"/>
    <x v="1"/>
    <n v="2008"/>
    <x v="12"/>
    <x v="0"/>
    <n v="233076"/>
    <x v="2"/>
    <n v="46319.83"/>
    <s v="X5"/>
    <x v="2"/>
    <x v="1"/>
    <x v="22"/>
    <n v="0.2"/>
    <x v="0"/>
  </r>
  <r>
    <n v="2193"/>
    <x v="4"/>
    <n v="2003"/>
    <x v="13"/>
    <x v="0"/>
    <n v="222700"/>
    <x v="0"/>
    <n v="43573.25"/>
    <s v="Accord"/>
    <x v="0"/>
    <x v="1"/>
    <x v="21"/>
    <n v="0.2"/>
    <x v="1"/>
  </r>
  <r>
    <n v="2194"/>
    <x v="3"/>
    <n v="2004"/>
    <x v="32"/>
    <x v="0"/>
    <n v="38886"/>
    <x v="2"/>
    <n v="40143.35"/>
    <s v="Focus"/>
    <x v="2"/>
    <x v="2"/>
    <x v="19"/>
    <n v="1.03"/>
    <x v="1"/>
  </r>
  <r>
    <n v="2195"/>
    <x v="1"/>
    <n v="2010"/>
    <x v="45"/>
    <x v="1"/>
    <n v="95149"/>
    <x v="2"/>
    <n v="83557.77"/>
    <s v="X3"/>
    <x v="3"/>
    <x v="0"/>
    <x v="9"/>
    <n v="0.88"/>
    <x v="0"/>
  </r>
  <r>
    <n v="2196"/>
    <x v="5"/>
    <n v="2023"/>
    <x v="29"/>
    <x v="0"/>
    <n v="94020"/>
    <x v="2"/>
    <n v="19850.14"/>
    <s v="C-Class"/>
    <x v="3"/>
    <x v="0"/>
    <x v="8"/>
    <n v="0.21"/>
    <x v="0"/>
  </r>
  <r>
    <n v="2197"/>
    <x v="0"/>
    <n v="2018"/>
    <x v="21"/>
    <x v="0"/>
    <n v="2673"/>
    <x v="2"/>
    <n v="37662.230000000003"/>
    <s v="Model Y"/>
    <x v="0"/>
    <x v="2"/>
    <x v="1"/>
    <n v="14.09"/>
    <x v="0"/>
  </r>
  <r>
    <n v="2198"/>
    <x v="6"/>
    <n v="2020"/>
    <x v="34"/>
    <x v="1"/>
    <n v="23466"/>
    <x v="2"/>
    <n v="73872.23"/>
    <s v="Corolla"/>
    <x v="3"/>
    <x v="2"/>
    <x v="6"/>
    <n v="3.15"/>
    <x v="1"/>
  </r>
  <r>
    <n v="2199"/>
    <x v="5"/>
    <n v="2002"/>
    <x v="41"/>
    <x v="0"/>
    <n v="237626"/>
    <x v="1"/>
    <n v="6491.02"/>
    <s v="GLA"/>
    <x v="1"/>
    <x v="1"/>
    <x v="23"/>
    <n v="0.03"/>
    <x v="0"/>
  </r>
  <r>
    <n v="2200"/>
    <x v="5"/>
    <n v="2011"/>
    <x v="17"/>
    <x v="0"/>
    <n v="50406"/>
    <x v="0"/>
    <n v="32491.17"/>
    <s v="C-Class"/>
    <x v="3"/>
    <x v="0"/>
    <x v="3"/>
    <n v="0.64"/>
    <x v="0"/>
  </r>
  <r>
    <n v="2201"/>
    <x v="0"/>
    <n v="2018"/>
    <x v="7"/>
    <x v="0"/>
    <n v="69284"/>
    <x v="2"/>
    <n v="65937.48"/>
    <s v="Model X"/>
    <x v="0"/>
    <x v="0"/>
    <x v="1"/>
    <n v="0.95"/>
    <x v="0"/>
  </r>
  <r>
    <n v="2202"/>
    <x v="6"/>
    <n v="2018"/>
    <x v="41"/>
    <x v="0"/>
    <n v="235718"/>
    <x v="0"/>
    <n v="22665.45"/>
    <s v="Corolla"/>
    <x v="2"/>
    <x v="1"/>
    <x v="1"/>
    <n v="0.1"/>
    <x v="1"/>
  </r>
  <r>
    <n v="2203"/>
    <x v="5"/>
    <n v="2012"/>
    <x v="13"/>
    <x v="1"/>
    <n v="13665"/>
    <x v="2"/>
    <n v="33757.5"/>
    <s v="GLC"/>
    <x v="1"/>
    <x v="2"/>
    <x v="15"/>
    <n v="2.4700000000000002"/>
    <x v="0"/>
  </r>
  <r>
    <n v="2204"/>
    <x v="1"/>
    <n v="2006"/>
    <x v="44"/>
    <x v="1"/>
    <n v="20641"/>
    <x v="1"/>
    <n v="51174.28"/>
    <s v="X3"/>
    <x v="1"/>
    <x v="2"/>
    <x v="11"/>
    <n v="2.48"/>
    <x v="0"/>
  </r>
  <r>
    <n v="2205"/>
    <x v="1"/>
    <n v="2014"/>
    <x v="41"/>
    <x v="0"/>
    <n v="35797"/>
    <x v="1"/>
    <n v="45092.24"/>
    <s v="X5"/>
    <x v="2"/>
    <x v="2"/>
    <x v="12"/>
    <n v="1.26"/>
    <x v="0"/>
  </r>
  <r>
    <n v="2206"/>
    <x v="1"/>
    <n v="2022"/>
    <x v="39"/>
    <x v="0"/>
    <n v="215838"/>
    <x v="2"/>
    <n v="15072.58"/>
    <s v="5 Series"/>
    <x v="3"/>
    <x v="1"/>
    <x v="13"/>
    <n v="7.0000000000000007E-2"/>
    <x v="0"/>
  </r>
  <r>
    <n v="2207"/>
    <x v="6"/>
    <n v="2006"/>
    <x v="48"/>
    <x v="1"/>
    <n v="102339"/>
    <x v="2"/>
    <n v="94132.36"/>
    <s v="RAV4"/>
    <x v="1"/>
    <x v="0"/>
    <x v="11"/>
    <n v="0.92"/>
    <x v="1"/>
  </r>
  <r>
    <n v="2208"/>
    <x v="5"/>
    <n v="2007"/>
    <x v="28"/>
    <x v="0"/>
    <n v="113431"/>
    <x v="2"/>
    <n v="9207.81"/>
    <s v="C-Class"/>
    <x v="3"/>
    <x v="0"/>
    <x v="17"/>
    <n v="0.08"/>
    <x v="0"/>
  </r>
  <r>
    <n v="2209"/>
    <x v="6"/>
    <n v="2004"/>
    <x v="10"/>
    <x v="1"/>
    <n v="232275"/>
    <x v="1"/>
    <n v="76225.56"/>
    <s v="Prius"/>
    <x v="2"/>
    <x v="1"/>
    <x v="19"/>
    <n v="0.33"/>
    <x v="1"/>
  </r>
  <r>
    <n v="2210"/>
    <x v="1"/>
    <n v="2020"/>
    <x v="46"/>
    <x v="1"/>
    <n v="283317"/>
    <x v="1"/>
    <n v="11785.16"/>
    <s v="X3"/>
    <x v="0"/>
    <x v="1"/>
    <x v="6"/>
    <n v="0.04"/>
    <x v="0"/>
  </r>
  <r>
    <n v="2211"/>
    <x v="0"/>
    <n v="2013"/>
    <x v="8"/>
    <x v="1"/>
    <n v="144294"/>
    <x v="0"/>
    <n v="49393.1"/>
    <s v="Model X"/>
    <x v="0"/>
    <x v="0"/>
    <x v="2"/>
    <n v="0.34"/>
    <x v="0"/>
  </r>
  <r>
    <n v="2212"/>
    <x v="5"/>
    <n v="2003"/>
    <x v="46"/>
    <x v="0"/>
    <n v="181136"/>
    <x v="1"/>
    <n v="21664.07"/>
    <s v="C-Class"/>
    <x v="3"/>
    <x v="1"/>
    <x v="21"/>
    <n v="0.12"/>
    <x v="0"/>
  </r>
  <r>
    <n v="2213"/>
    <x v="5"/>
    <n v="2022"/>
    <x v="21"/>
    <x v="0"/>
    <n v="168082"/>
    <x v="2"/>
    <n v="18404.29"/>
    <s v="GLA"/>
    <x v="0"/>
    <x v="1"/>
    <x v="13"/>
    <n v="0.11"/>
    <x v="0"/>
  </r>
  <r>
    <n v="2214"/>
    <x v="2"/>
    <n v="2009"/>
    <x v="48"/>
    <x v="0"/>
    <n v="253301"/>
    <x v="0"/>
    <n v="16960.310000000001"/>
    <s v="Q5"/>
    <x v="0"/>
    <x v="1"/>
    <x v="4"/>
    <n v="7.0000000000000007E-2"/>
    <x v="0"/>
  </r>
  <r>
    <n v="2215"/>
    <x v="2"/>
    <n v="2019"/>
    <x v="20"/>
    <x v="1"/>
    <n v="18095"/>
    <x v="1"/>
    <n v="48014.73"/>
    <s v="A3"/>
    <x v="2"/>
    <x v="2"/>
    <x v="5"/>
    <n v="2.65"/>
    <x v="0"/>
  </r>
  <r>
    <n v="2216"/>
    <x v="4"/>
    <n v="2014"/>
    <x v="37"/>
    <x v="0"/>
    <n v="123554"/>
    <x v="1"/>
    <n v="53971.07"/>
    <s v="Accord"/>
    <x v="3"/>
    <x v="0"/>
    <x v="12"/>
    <n v="0.44"/>
    <x v="1"/>
  </r>
  <r>
    <n v="2217"/>
    <x v="3"/>
    <n v="2017"/>
    <x v="17"/>
    <x v="0"/>
    <n v="234989"/>
    <x v="2"/>
    <n v="17671.53"/>
    <s v="Explorer"/>
    <x v="3"/>
    <x v="1"/>
    <x v="7"/>
    <n v="0.08"/>
    <x v="1"/>
  </r>
  <r>
    <n v="2218"/>
    <x v="2"/>
    <n v="2019"/>
    <x v="2"/>
    <x v="1"/>
    <n v="89023"/>
    <x v="0"/>
    <n v="98042.59"/>
    <s v="Q7"/>
    <x v="2"/>
    <x v="0"/>
    <x v="5"/>
    <n v="1.1000000000000001"/>
    <x v="0"/>
  </r>
  <r>
    <n v="2219"/>
    <x v="6"/>
    <n v="2012"/>
    <x v="21"/>
    <x v="0"/>
    <n v="107181"/>
    <x v="1"/>
    <n v="29487.759999999998"/>
    <s v="Corolla"/>
    <x v="3"/>
    <x v="0"/>
    <x v="15"/>
    <n v="0.28000000000000003"/>
    <x v="1"/>
  </r>
  <r>
    <n v="2220"/>
    <x v="2"/>
    <n v="2007"/>
    <x v="29"/>
    <x v="0"/>
    <n v="222310"/>
    <x v="1"/>
    <n v="48589.93"/>
    <s v="A3"/>
    <x v="1"/>
    <x v="1"/>
    <x v="17"/>
    <n v="0.22"/>
    <x v="0"/>
  </r>
  <r>
    <n v="2221"/>
    <x v="4"/>
    <n v="2008"/>
    <x v="9"/>
    <x v="0"/>
    <n v="282744"/>
    <x v="2"/>
    <n v="25545.61"/>
    <s v="CR-V"/>
    <x v="1"/>
    <x v="1"/>
    <x v="22"/>
    <n v="0.09"/>
    <x v="1"/>
  </r>
  <r>
    <n v="2222"/>
    <x v="5"/>
    <n v="2015"/>
    <x v="25"/>
    <x v="1"/>
    <n v="264610"/>
    <x v="0"/>
    <n v="51922.65"/>
    <s v="GLA"/>
    <x v="1"/>
    <x v="1"/>
    <x v="16"/>
    <n v="0.2"/>
    <x v="0"/>
  </r>
  <r>
    <n v="2223"/>
    <x v="4"/>
    <n v="2018"/>
    <x v="5"/>
    <x v="0"/>
    <n v="256349"/>
    <x v="0"/>
    <n v="76821.58"/>
    <s v="Civic"/>
    <x v="3"/>
    <x v="1"/>
    <x v="1"/>
    <n v="0.3"/>
    <x v="1"/>
  </r>
  <r>
    <n v="2224"/>
    <x v="5"/>
    <n v="2015"/>
    <x v="20"/>
    <x v="1"/>
    <n v="176169"/>
    <x v="0"/>
    <n v="54504.69"/>
    <s v="E-Class"/>
    <x v="1"/>
    <x v="1"/>
    <x v="16"/>
    <n v="0.31"/>
    <x v="0"/>
  </r>
  <r>
    <n v="2225"/>
    <x v="0"/>
    <n v="2006"/>
    <x v="50"/>
    <x v="1"/>
    <n v="53276"/>
    <x v="0"/>
    <n v="32136.639999999999"/>
    <s v="Model X"/>
    <x v="0"/>
    <x v="0"/>
    <x v="11"/>
    <n v="0.6"/>
    <x v="0"/>
  </r>
  <r>
    <n v="2226"/>
    <x v="0"/>
    <n v="2013"/>
    <x v="16"/>
    <x v="1"/>
    <n v="269072"/>
    <x v="2"/>
    <n v="28597.68"/>
    <s v="Model 3"/>
    <x v="0"/>
    <x v="1"/>
    <x v="2"/>
    <n v="0.11"/>
    <x v="0"/>
  </r>
  <r>
    <n v="2227"/>
    <x v="5"/>
    <n v="2013"/>
    <x v="39"/>
    <x v="0"/>
    <n v="205719"/>
    <x v="1"/>
    <n v="77098.77"/>
    <s v="C-Class"/>
    <x v="2"/>
    <x v="1"/>
    <x v="2"/>
    <n v="0.37"/>
    <x v="0"/>
  </r>
  <r>
    <n v="2228"/>
    <x v="3"/>
    <n v="2003"/>
    <x v="47"/>
    <x v="0"/>
    <n v="171960"/>
    <x v="1"/>
    <n v="16232.63"/>
    <s v="Explorer"/>
    <x v="0"/>
    <x v="1"/>
    <x v="21"/>
    <n v="0.09"/>
    <x v="1"/>
  </r>
  <r>
    <n v="2229"/>
    <x v="2"/>
    <n v="2014"/>
    <x v="17"/>
    <x v="0"/>
    <n v="226097"/>
    <x v="0"/>
    <n v="40146.82"/>
    <s v="Q7"/>
    <x v="0"/>
    <x v="1"/>
    <x v="12"/>
    <n v="0.18"/>
    <x v="0"/>
  </r>
  <r>
    <n v="2230"/>
    <x v="6"/>
    <n v="2002"/>
    <x v="6"/>
    <x v="1"/>
    <n v="174904"/>
    <x v="0"/>
    <n v="19390.86"/>
    <s v="Prius"/>
    <x v="0"/>
    <x v="1"/>
    <x v="23"/>
    <n v="0.11"/>
    <x v="1"/>
  </r>
  <r>
    <n v="2231"/>
    <x v="6"/>
    <n v="2004"/>
    <x v="40"/>
    <x v="1"/>
    <n v="116196"/>
    <x v="0"/>
    <n v="29507.7"/>
    <s v="Camry"/>
    <x v="0"/>
    <x v="0"/>
    <x v="19"/>
    <n v="0.25"/>
    <x v="1"/>
  </r>
  <r>
    <n v="2232"/>
    <x v="1"/>
    <n v="2000"/>
    <x v="16"/>
    <x v="0"/>
    <n v="9404"/>
    <x v="1"/>
    <n v="19504.91"/>
    <s v="X5"/>
    <x v="2"/>
    <x v="2"/>
    <x v="18"/>
    <n v="2.0699999999999998"/>
    <x v="0"/>
  </r>
  <r>
    <n v="2233"/>
    <x v="5"/>
    <n v="2002"/>
    <x v="39"/>
    <x v="1"/>
    <n v="209190"/>
    <x v="1"/>
    <n v="89243.39"/>
    <s v="E-Class"/>
    <x v="2"/>
    <x v="1"/>
    <x v="23"/>
    <n v="0.43"/>
    <x v="0"/>
  </r>
  <r>
    <n v="2234"/>
    <x v="6"/>
    <n v="2014"/>
    <x v="16"/>
    <x v="0"/>
    <n v="113187"/>
    <x v="0"/>
    <n v="74530.899999999994"/>
    <s v="Prius"/>
    <x v="2"/>
    <x v="0"/>
    <x v="12"/>
    <n v="0.66"/>
    <x v="1"/>
  </r>
  <r>
    <n v="2235"/>
    <x v="3"/>
    <n v="2023"/>
    <x v="43"/>
    <x v="0"/>
    <n v="27684"/>
    <x v="2"/>
    <n v="58288.09"/>
    <s v="Fiesta"/>
    <x v="1"/>
    <x v="2"/>
    <x v="8"/>
    <n v="2.11"/>
    <x v="1"/>
  </r>
  <r>
    <n v="2236"/>
    <x v="5"/>
    <n v="2007"/>
    <x v="37"/>
    <x v="0"/>
    <n v="68591"/>
    <x v="1"/>
    <n v="26320.400000000001"/>
    <s v="GLA"/>
    <x v="1"/>
    <x v="0"/>
    <x v="17"/>
    <n v="0.38"/>
    <x v="0"/>
  </r>
  <r>
    <n v="2237"/>
    <x v="3"/>
    <n v="2003"/>
    <x v="23"/>
    <x v="0"/>
    <n v="208794"/>
    <x v="1"/>
    <n v="53471.55"/>
    <s v="Fiesta"/>
    <x v="0"/>
    <x v="1"/>
    <x v="21"/>
    <n v="0.26"/>
    <x v="1"/>
  </r>
  <r>
    <n v="2238"/>
    <x v="6"/>
    <n v="2001"/>
    <x v="33"/>
    <x v="0"/>
    <n v="264826"/>
    <x v="0"/>
    <n v="54479.15"/>
    <s v="RAV4"/>
    <x v="1"/>
    <x v="1"/>
    <x v="10"/>
    <n v="0.21"/>
    <x v="1"/>
  </r>
  <r>
    <n v="2239"/>
    <x v="6"/>
    <n v="2023"/>
    <x v="48"/>
    <x v="0"/>
    <n v="111186"/>
    <x v="2"/>
    <n v="61088.35"/>
    <s v="Corolla"/>
    <x v="3"/>
    <x v="0"/>
    <x v="8"/>
    <n v="0.55000000000000004"/>
    <x v="1"/>
  </r>
  <r>
    <n v="2240"/>
    <x v="1"/>
    <n v="2023"/>
    <x v="35"/>
    <x v="0"/>
    <n v="243181"/>
    <x v="0"/>
    <n v="10708.09"/>
    <s v="3 Series"/>
    <x v="2"/>
    <x v="1"/>
    <x v="8"/>
    <n v="0.04"/>
    <x v="0"/>
  </r>
  <r>
    <n v="2241"/>
    <x v="6"/>
    <n v="2009"/>
    <x v="12"/>
    <x v="1"/>
    <n v="21832"/>
    <x v="0"/>
    <n v="97425.69"/>
    <s v="Prius"/>
    <x v="0"/>
    <x v="2"/>
    <x v="4"/>
    <n v="4.46"/>
    <x v="1"/>
  </r>
  <r>
    <n v="2242"/>
    <x v="5"/>
    <n v="2003"/>
    <x v="37"/>
    <x v="0"/>
    <n v="16997"/>
    <x v="2"/>
    <n v="49216.7"/>
    <s v="GLC"/>
    <x v="0"/>
    <x v="2"/>
    <x v="21"/>
    <n v="2.9"/>
    <x v="0"/>
  </r>
  <r>
    <n v="2243"/>
    <x v="0"/>
    <n v="2002"/>
    <x v="46"/>
    <x v="1"/>
    <n v="296784"/>
    <x v="2"/>
    <n v="93020.52"/>
    <s v="Model Y"/>
    <x v="0"/>
    <x v="1"/>
    <x v="23"/>
    <n v="0.31"/>
    <x v="0"/>
  </r>
  <r>
    <n v="2244"/>
    <x v="5"/>
    <n v="2001"/>
    <x v="3"/>
    <x v="1"/>
    <n v="40491"/>
    <x v="2"/>
    <n v="5931.77"/>
    <s v="E-Class"/>
    <x v="1"/>
    <x v="2"/>
    <x v="10"/>
    <n v="0.15"/>
    <x v="0"/>
  </r>
  <r>
    <n v="2245"/>
    <x v="5"/>
    <n v="2016"/>
    <x v="24"/>
    <x v="0"/>
    <n v="63043"/>
    <x v="1"/>
    <n v="28518.05"/>
    <s v="E-Class"/>
    <x v="0"/>
    <x v="0"/>
    <x v="0"/>
    <n v="0.45"/>
    <x v="0"/>
  </r>
  <r>
    <n v="2246"/>
    <x v="1"/>
    <n v="2022"/>
    <x v="18"/>
    <x v="1"/>
    <n v="128568"/>
    <x v="0"/>
    <n v="14879.58"/>
    <s v="3 Series"/>
    <x v="1"/>
    <x v="0"/>
    <x v="13"/>
    <n v="0.12"/>
    <x v="0"/>
  </r>
  <r>
    <n v="2247"/>
    <x v="1"/>
    <n v="2020"/>
    <x v="42"/>
    <x v="1"/>
    <n v="72725"/>
    <x v="1"/>
    <n v="78113.539999999994"/>
    <s v="3 Series"/>
    <x v="1"/>
    <x v="0"/>
    <x v="6"/>
    <n v="1.07"/>
    <x v="0"/>
  </r>
  <r>
    <n v="2248"/>
    <x v="6"/>
    <n v="2023"/>
    <x v="17"/>
    <x v="1"/>
    <n v="128131"/>
    <x v="2"/>
    <n v="35411.879999999997"/>
    <s v="RAV4"/>
    <x v="3"/>
    <x v="0"/>
    <x v="8"/>
    <n v="0.28000000000000003"/>
    <x v="1"/>
  </r>
  <r>
    <n v="2249"/>
    <x v="4"/>
    <n v="2019"/>
    <x v="5"/>
    <x v="0"/>
    <n v="45520"/>
    <x v="1"/>
    <n v="84846.79"/>
    <s v="Fit"/>
    <x v="0"/>
    <x v="2"/>
    <x v="5"/>
    <n v="1.86"/>
    <x v="1"/>
  </r>
  <r>
    <n v="2250"/>
    <x v="4"/>
    <n v="2022"/>
    <x v="18"/>
    <x v="0"/>
    <n v="109869"/>
    <x v="2"/>
    <n v="84076.61"/>
    <s v="Civic"/>
    <x v="1"/>
    <x v="0"/>
    <x v="13"/>
    <n v="0.77"/>
    <x v="1"/>
  </r>
  <r>
    <n v="2251"/>
    <x v="1"/>
    <n v="2012"/>
    <x v="47"/>
    <x v="0"/>
    <n v="64442"/>
    <x v="2"/>
    <n v="68440.509999999995"/>
    <s v="5 Series"/>
    <x v="1"/>
    <x v="0"/>
    <x v="15"/>
    <n v="1.06"/>
    <x v="0"/>
  </r>
  <r>
    <n v="2252"/>
    <x v="6"/>
    <n v="2004"/>
    <x v="14"/>
    <x v="0"/>
    <n v="261025"/>
    <x v="0"/>
    <n v="68249.27"/>
    <s v="Camry"/>
    <x v="3"/>
    <x v="1"/>
    <x v="19"/>
    <n v="0.26"/>
    <x v="1"/>
  </r>
  <r>
    <n v="2253"/>
    <x v="4"/>
    <n v="2020"/>
    <x v="5"/>
    <x v="0"/>
    <n v="152842"/>
    <x v="0"/>
    <n v="71515.17"/>
    <s v="CR-V"/>
    <x v="3"/>
    <x v="1"/>
    <x v="6"/>
    <n v="0.47"/>
    <x v="1"/>
  </r>
  <r>
    <n v="2254"/>
    <x v="6"/>
    <n v="2008"/>
    <x v="5"/>
    <x v="1"/>
    <n v="178570"/>
    <x v="0"/>
    <n v="69007.56"/>
    <s v="Corolla"/>
    <x v="1"/>
    <x v="1"/>
    <x v="22"/>
    <n v="0.39"/>
    <x v="1"/>
  </r>
  <r>
    <n v="2255"/>
    <x v="6"/>
    <n v="2021"/>
    <x v="15"/>
    <x v="1"/>
    <n v="123447"/>
    <x v="1"/>
    <n v="41756.29"/>
    <s v="RAV4"/>
    <x v="3"/>
    <x v="0"/>
    <x v="20"/>
    <n v="0.34"/>
    <x v="1"/>
  </r>
  <r>
    <n v="2256"/>
    <x v="6"/>
    <n v="2005"/>
    <x v="49"/>
    <x v="0"/>
    <n v="61477"/>
    <x v="0"/>
    <n v="69868.63"/>
    <s v="Corolla"/>
    <x v="1"/>
    <x v="0"/>
    <x v="14"/>
    <n v="1.1399999999999999"/>
    <x v="1"/>
  </r>
  <r>
    <n v="2257"/>
    <x v="2"/>
    <n v="2004"/>
    <x v="29"/>
    <x v="1"/>
    <n v="244"/>
    <x v="2"/>
    <n v="90253.66"/>
    <s v="Q7"/>
    <x v="0"/>
    <x v="2"/>
    <x v="19"/>
    <n v="369.89"/>
    <x v="0"/>
  </r>
  <r>
    <n v="2258"/>
    <x v="5"/>
    <n v="2009"/>
    <x v="14"/>
    <x v="1"/>
    <n v="177561"/>
    <x v="0"/>
    <n v="36594.480000000003"/>
    <s v="GLA"/>
    <x v="2"/>
    <x v="1"/>
    <x v="4"/>
    <n v="0.21"/>
    <x v="0"/>
  </r>
  <r>
    <n v="2259"/>
    <x v="6"/>
    <n v="2007"/>
    <x v="30"/>
    <x v="1"/>
    <n v="290534"/>
    <x v="1"/>
    <n v="94764.46"/>
    <s v="Camry"/>
    <x v="3"/>
    <x v="1"/>
    <x v="17"/>
    <n v="0.33"/>
    <x v="1"/>
  </r>
  <r>
    <n v="2260"/>
    <x v="2"/>
    <n v="2006"/>
    <x v="10"/>
    <x v="1"/>
    <n v="10247"/>
    <x v="0"/>
    <n v="6290.25"/>
    <s v="Q7"/>
    <x v="2"/>
    <x v="2"/>
    <x v="11"/>
    <n v="0.61"/>
    <x v="0"/>
  </r>
  <r>
    <n v="2261"/>
    <x v="1"/>
    <n v="2006"/>
    <x v="23"/>
    <x v="0"/>
    <n v="200123"/>
    <x v="0"/>
    <n v="38162.839999999997"/>
    <s v="3 Series"/>
    <x v="1"/>
    <x v="1"/>
    <x v="11"/>
    <n v="0.19"/>
    <x v="0"/>
  </r>
  <r>
    <n v="2262"/>
    <x v="4"/>
    <n v="2005"/>
    <x v="34"/>
    <x v="0"/>
    <n v="190791"/>
    <x v="0"/>
    <n v="17549.349999999999"/>
    <s v="Accord"/>
    <x v="1"/>
    <x v="1"/>
    <x v="14"/>
    <n v="0.09"/>
    <x v="1"/>
  </r>
  <r>
    <n v="2263"/>
    <x v="5"/>
    <n v="2020"/>
    <x v="0"/>
    <x v="0"/>
    <n v="207358"/>
    <x v="1"/>
    <n v="17028.88"/>
    <s v="GLA"/>
    <x v="1"/>
    <x v="1"/>
    <x v="6"/>
    <n v="0.08"/>
    <x v="0"/>
  </r>
  <r>
    <n v="2264"/>
    <x v="0"/>
    <n v="2019"/>
    <x v="4"/>
    <x v="1"/>
    <n v="291727"/>
    <x v="2"/>
    <n v="82465.8"/>
    <s v="Model S"/>
    <x v="0"/>
    <x v="1"/>
    <x v="5"/>
    <n v="0.28000000000000003"/>
    <x v="0"/>
  </r>
  <r>
    <n v="2265"/>
    <x v="4"/>
    <n v="2002"/>
    <x v="30"/>
    <x v="1"/>
    <n v="139148"/>
    <x v="2"/>
    <n v="92244.99"/>
    <s v="Accord"/>
    <x v="1"/>
    <x v="0"/>
    <x v="23"/>
    <n v="0.66"/>
    <x v="1"/>
  </r>
  <r>
    <n v="2266"/>
    <x v="5"/>
    <n v="2018"/>
    <x v="41"/>
    <x v="0"/>
    <n v="146123"/>
    <x v="2"/>
    <n v="78887.03"/>
    <s v="E-Class"/>
    <x v="3"/>
    <x v="0"/>
    <x v="1"/>
    <n v="0.54"/>
    <x v="0"/>
  </r>
  <r>
    <n v="2267"/>
    <x v="0"/>
    <n v="2021"/>
    <x v="18"/>
    <x v="0"/>
    <n v="28670"/>
    <x v="0"/>
    <n v="97778.49"/>
    <s v="Model Y"/>
    <x v="0"/>
    <x v="2"/>
    <x v="20"/>
    <n v="3.41"/>
    <x v="0"/>
  </r>
  <r>
    <n v="2268"/>
    <x v="4"/>
    <n v="2014"/>
    <x v="8"/>
    <x v="1"/>
    <n v="10236"/>
    <x v="0"/>
    <n v="25551.25"/>
    <s v="Civic"/>
    <x v="0"/>
    <x v="2"/>
    <x v="12"/>
    <n v="2.5"/>
    <x v="1"/>
  </r>
  <r>
    <n v="2269"/>
    <x v="5"/>
    <n v="2003"/>
    <x v="46"/>
    <x v="0"/>
    <n v="35568"/>
    <x v="1"/>
    <n v="18375.990000000002"/>
    <s v="E-Class"/>
    <x v="3"/>
    <x v="2"/>
    <x v="21"/>
    <n v="0.52"/>
    <x v="0"/>
  </r>
  <r>
    <n v="2270"/>
    <x v="4"/>
    <n v="2011"/>
    <x v="14"/>
    <x v="0"/>
    <n v="107327"/>
    <x v="2"/>
    <n v="54466.86"/>
    <s v="Accord"/>
    <x v="0"/>
    <x v="0"/>
    <x v="3"/>
    <n v="0.51"/>
    <x v="1"/>
  </r>
  <r>
    <n v="2271"/>
    <x v="4"/>
    <n v="2005"/>
    <x v="37"/>
    <x v="1"/>
    <n v="255745"/>
    <x v="0"/>
    <n v="83758.570000000007"/>
    <s v="Fit"/>
    <x v="2"/>
    <x v="1"/>
    <x v="14"/>
    <n v="0.33"/>
    <x v="1"/>
  </r>
  <r>
    <n v="2272"/>
    <x v="0"/>
    <n v="2018"/>
    <x v="22"/>
    <x v="1"/>
    <n v="278496"/>
    <x v="0"/>
    <n v="8784.7099999999991"/>
    <s v="Model Y"/>
    <x v="0"/>
    <x v="1"/>
    <x v="1"/>
    <n v="0.03"/>
    <x v="0"/>
  </r>
  <r>
    <n v="2273"/>
    <x v="4"/>
    <n v="2003"/>
    <x v="32"/>
    <x v="0"/>
    <n v="125721"/>
    <x v="0"/>
    <n v="99578.74"/>
    <s v="CR-V"/>
    <x v="1"/>
    <x v="0"/>
    <x v="21"/>
    <n v="0.79"/>
    <x v="1"/>
  </r>
  <r>
    <n v="2274"/>
    <x v="4"/>
    <n v="2014"/>
    <x v="8"/>
    <x v="1"/>
    <n v="259291"/>
    <x v="1"/>
    <n v="62213.36"/>
    <s v="CR-V"/>
    <x v="1"/>
    <x v="1"/>
    <x v="12"/>
    <n v="0.24"/>
    <x v="1"/>
  </r>
  <r>
    <n v="2275"/>
    <x v="0"/>
    <n v="2008"/>
    <x v="9"/>
    <x v="0"/>
    <n v="156228"/>
    <x v="2"/>
    <n v="97999.47"/>
    <s v="Model 3"/>
    <x v="0"/>
    <x v="1"/>
    <x v="22"/>
    <n v="0.63"/>
    <x v="0"/>
  </r>
  <r>
    <n v="2276"/>
    <x v="1"/>
    <n v="2004"/>
    <x v="10"/>
    <x v="1"/>
    <n v="55904"/>
    <x v="1"/>
    <n v="39682.76"/>
    <s v="X3"/>
    <x v="2"/>
    <x v="0"/>
    <x v="19"/>
    <n v="0.71"/>
    <x v="0"/>
  </r>
  <r>
    <n v="2277"/>
    <x v="6"/>
    <n v="2012"/>
    <x v="18"/>
    <x v="1"/>
    <n v="278252"/>
    <x v="2"/>
    <n v="48512.26"/>
    <s v="Camry"/>
    <x v="2"/>
    <x v="1"/>
    <x v="15"/>
    <n v="0.17"/>
    <x v="1"/>
  </r>
  <r>
    <n v="2278"/>
    <x v="3"/>
    <n v="2022"/>
    <x v="33"/>
    <x v="0"/>
    <n v="264997"/>
    <x v="2"/>
    <n v="76474.34"/>
    <s v="Fiesta"/>
    <x v="3"/>
    <x v="1"/>
    <x v="13"/>
    <n v="0.28999999999999998"/>
    <x v="1"/>
  </r>
  <r>
    <n v="2279"/>
    <x v="2"/>
    <n v="2017"/>
    <x v="16"/>
    <x v="1"/>
    <n v="266320"/>
    <x v="0"/>
    <n v="80306.539999999994"/>
    <s v="A4"/>
    <x v="2"/>
    <x v="1"/>
    <x v="7"/>
    <n v="0.3"/>
    <x v="0"/>
  </r>
  <r>
    <n v="2280"/>
    <x v="3"/>
    <n v="2004"/>
    <x v="0"/>
    <x v="0"/>
    <n v="100459"/>
    <x v="0"/>
    <n v="27138.14"/>
    <s v="Explorer"/>
    <x v="0"/>
    <x v="0"/>
    <x v="19"/>
    <n v="0.27"/>
    <x v="1"/>
  </r>
  <r>
    <n v="2281"/>
    <x v="3"/>
    <n v="2015"/>
    <x v="23"/>
    <x v="1"/>
    <n v="185922"/>
    <x v="0"/>
    <n v="93331.1"/>
    <s v="Mustang"/>
    <x v="3"/>
    <x v="1"/>
    <x v="16"/>
    <n v="0.5"/>
    <x v="1"/>
  </r>
  <r>
    <n v="2282"/>
    <x v="5"/>
    <n v="2018"/>
    <x v="2"/>
    <x v="0"/>
    <n v="137901"/>
    <x v="0"/>
    <n v="87405.2"/>
    <s v="E-Class"/>
    <x v="3"/>
    <x v="0"/>
    <x v="1"/>
    <n v="0.63"/>
    <x v="0"/>
  </r>
  <r>
    <n v="2283"/>
    <x v="6"/>
    <n v="2013"/>
    <x v="11"/>
    <x v="1"/>
    <n v="123225"/>
    <x v="0"/>
    <n v="6729.5"/>
    <s v="RAV4"/>
    <x v="3"/>
    <x v="0"/>
    <x v="2"/>
    <n v="0.05"/>
    <x v="1"/>
  </r>
  <r>
    <n v="2284"/>
    <x v="5"/>
    <n v="2015"/>
    <x v="49"/>
    <x v="1"/>
    <n v="235847"/>
    <x v="2"/>
    <n v="17213.97"/>
    <s v="GLA"/>
    <x v="2"/>
    <x v="1"/>
    <x v="16"/>
    <n v="7.0000000000000007E-2"/>
    <x v="0"/>
  </r>
  <r>
    <n v="2285"/>
    <x v="6"/>
    <n v="2014"/>
    <x v="5"/>
    <x v="0"/>
    <n v="221738"/>
    <x v="0"/>
    <n v="52129.23"/>
    <s v="Corolla"/>
    <x v="3"/>
    <x v="1"/>
    <x v="12"/>
    <n v="0.24"/>
    <x v="1"/>
  </r>
  <r>
    <n v="2286"/>
    <x v="0"/>
    <n v="2021"/>
    <x v="33"/>
    <x v="1"/>
    <n v="110893"/>
    <x v="0"/>
    <n v="48790.77"/>
    <s v="Model S"/>
    <x v="0"/>
    <x v="0"/>
    <x v="20"/>
    <n v="0.44"/>
    <x v="0"/>
  </r>
  <r>
    <n v="2287"/>
    <x v="0"/>
    <n v="2003"/>
    <x v="33"/>
    <x v="0"/>
    <n v="242726"/>
    <x v="1"/>
    <n v="72297.13"/>
    <s v="Model X"/>
    <x v="0"/>
    <x v="1"/>
    <x v="21"/>
    <n v="0.3"/>
    <x v="0"/>
  </r>
  <r>
    <n v="2288"/>
    <x v="6"/>
    <n v="2006"/>
    <x v="15"/>
    <x v="1"/>
    <n v="196914"/>
    <x v="1"/>
    <n v="13522.58"/>
    <s v="Camry"/>
    <x v="3"/>
    <x v="1"/>
    <x v="11"/>
    <n v="7.0000000000000007E-2"/>
    <x v="1"/>
  </r>
  <r>
    <n v="2289"/>
    <x v="4"/>
    <n v="2015"/>
    <x v="10"/>
    <x v="1"/>
    <n v="181880"/>
    <x v="2"/>
    <n v="66261.25"/>
    <s v="Civic"/>
    <x v="1"/>
    <x v="1"/>
    <x v="16"/>
    <n v="0.36"/>
    <x v="1"/>
  </r>
  <r>
    <n v="2290"/>
    <x v="1"/>
    <n v="2023"/>
    <x v="21"/>
    <x v="0"/>
    <n v="6611"/>
    <x v="2"/>
    <n v="63555.14"/>
    <s v="3 Series"/>
    <x v="1"/>
    <x v="2"/>
    <x v="8"/>
    <n v="9.61"/>
    <x v="0"/>
  </r>
  <r>
    <n v="2291"/>
    <x v="4"/>
    <n v="2021"/>
    <x v="7"/>
    <x v="1"/>
    <n v="247524"/>
    <x v="1"/>
    <n v="27193.86"/>
    <s v="CR-V"/>
    <x v="3"/>
    <x v="1"/>
    <x v="20"/>
    <n v="0.11"/>
    <x v="1"/>
  </r>
  <r>
    <n v="2292"/>
    <x v="1"/>
    <n v="2020"/>
    <x v="42"/>
    <x v="1"/>
    <n v="295187"/>
    <x v="1"/>
    <n v="56527.43"/>
    <s v="X3"/>
    <x v="1"/>
    <x v="1"/>
    <x v="6"/>
    <n v="0.19"/>
    <x v="0"/>
  </r>
  <r>
    <n v="2293"/>
    <x v="5"/>
    <n v="2021"/>
    <x v="6"/>
    <x v="0"/>
    <n v="136343"/>
    <x v="0"/>
    <n v="26109.68"/>
    <s v="E-Class"/>
    <x v="0"/>
    <x v="0"/>
    <x v="20"/>
    <n v="0.19"/>
    <x v="0"/>
  </r>
  <r>
    <n v="2294"/>
    <x v="1"/>
    <n v="2020"/>
    <x v="28"/>
    <x v="1"/>
    <n v="190191"/>
    <x v="0"/>
    <n v="18957.689999999999"/>
    <s v="X3"/>
    <x v="0"/>
    <x v="1"/>
    <x v="6"/>
    <n v="0.1"/>
    <x v="0"/>
  </r>
  <r>
    <n v="2295"/>
    <x v="5"/>
    <n v="2007"/>
    <x v="33"/>
    <x v="0"/>
    <n v="142645"/>
    <x v="2"/>
    <n v="59447.82"/>
    <s v="GLA"/>
    <x v="2"/>
    <x v="0"/>
    <x v="17"/>
    <n v="0.42"/>
    <x v="0"/>
  </r>
  <r>
    <n v="2296"/>
    <x v="0"/>
    <n v="2016"/>
    <x v="2"/>
    <x v="0"/>
    <n v="152481"/>
    <x v="1"/>
    <n v="97860.06"/>
    <s v="Model Y"/>
    <x v="0"/>
    <x v="1"/>
    <x v="0"/>
    <n v="0.64"/>
    <x v="0"/>
  </r>
  <r>
    <n v="2297"/>
    <x v="3"/>
    <n v="2015"/>
    <x v="34"/>
    <x v="0"/>
    <n v="286608"/>
    <x v="2"/>
    <n v="27508.67"/>
    <s v="Mustang"/>
    <x v="0"/>
    <x v="1"/>
    <x v="16"/>
    <n v="0.1"/>
    <x v="1"/>
  </r>
  <r>
    <n v="2298"/>
    <x v="0"/>
    <n v="2022"/>
    <x v="49"/>
    <x v="1"/>
    <n v="249220"/>
    <x v="0"/>
    <n v="38756.93"/>
    <s v="Model 3"/>
    <x v="0"/>
    <x v="1"/>
    <x v="13"/>
    <n v="0.16"/>
    <x v="0"/>
  </r>
  <r>
    <n v="2299"/>
    <x v="0"/>
    <n v="2009"/>
    <x v="3"/>
    <x v="1"/>
    <n v="118523"/>
    <x v="2"/>
    <n v="29374.46"/>
    <s v="Model 3"/>
    <x v="0"/>
    <x v="0"/>
    <x v="4"/>
    <n v="0.25"/>
    <x v="0"/>
  </r>
  <r>
    <n v="2300"/>
    <x v="3"/>
    <n v="2009"/>
    <x v="35"/>
    <x v="0"/>
    <n v="20662"/>
    <x v="2"/>
    <n v="30313.68"/>
    <s v="Explorer"/>
    <x v="0"/>
    <x v="2"/>
    <x v="4"/>
    <n v="1.47"/>
    <x v="1"/>
  </r>
  <r>
    <n v="2301"/>
    <x v="1"/>
    <n v="2001"/>
    <x v="39"/>
    <x v="1"/>
    <n v="280372"/>
    <x v="2"/>
    <n v="43398.25"/>
    <s v="X3"/>
    <x v="0"/>
    <x v="1"/>
    <x v="10"/>
    <n v="0.15"/>
    <x v="0"/>
  </r>
  <r>
    <n v="2302"/>
    <x v="1"/>
    <n v="2008"/>
    <x v="20"/>
    <x v="0"/>
    <n v="60721"/>
    <x v="0"/>
    <n v="71676.27"/>
    <s v="3 Series"/>
    <x v="3"/>
    <x v="0"/>
    <x v="22"/>
    <n v="1.18"/>
    <x v="0"/>
  </r>
  <r>
    <n v="2303"/>
    <x v="5"/>
    <n v="2016"/>
    <x v="35"/>
    <x v="1"/>
    <n v="138458"/>
    <x v="2"/>
    <n v="8686.43"/>
    <s v="GLC"/>
    <x v="2"/>
    <x v="0"/>
    <x v="0"/>
    <n v="0.06"/>
    <x v="0"/>
  </r>
  <r>
    <n v="2304"/>
    <x v="4"/>
    <n v="2010"/>
    <x v="46"/>
    <x v="0"/>
    <n v="269006"/>
    <x v="0"/>
    <n v="95926.8"/>
    <s v="Fit"/>
    <x v="3"/>
    <x v="1"/>
    <x v="9"/>
    <n v="0.36"/>
    <x v="1"/>
  </r>
  <r>
    <n v="2305"/>
    <x v="5"/>
    <n v="2009"/>
    <x v="23"/>
    <x v="0"/>
    <n v="40108"/>
    <x v="1"/>
    <n v="9396.59"/>
    <s v="C-Class"/>
    <x v="2"/>
    <x v="2"/>
    <x v="4"/>
    <n v="0.23"/>
    <x v="0"/>
  </r>
  <r>
    <n v="2306"/>
    <x v="4"/>
    <n v="2021"/>
    <x v="39"/>
    <x v="1"/>
    <n v="91788"/>
    <x v="2"/>
    <n v="88719.05"/>
    <s v="Civic"/>
    <x v="0"/>
    <x v="0"/>
    <x v="20"/>
    <n v="0.97"/>
    <x v="1"/>
  </r>
  <r>
    <n v="2307"/>
    <x v="0"/>
    <n v="2016"/>
    <x v="48"/>
    <x v="0"/>
    <n v="244437"/>
    <x v="2"/>
    <n v="89965.92"/>
    <s v="Model Y"/>
    <x v="0"/>
    <x v="1"/>
    <x v="0"/>
    <n v="0.37"/>
    <x v="0"/>
  </r>
  <r>
    <n v="2308"/>
    <x v="3"/>
    <n v="2003"/>
    <x v="31"/>
    <x v="0"/>
    <n v="237011"/>
    <x v="0"/>
    <n v="54826.47"/>
    <s v="Focus"/>
    <x v="0"/>
    <x v="1"/>
    <x v="21"/>
    <n v="0.23"/>
    <x v="1"/>
  </r>
  <r>
    <n v="2309"/>
    <x v="0"/>
    <n v="2015"/>
    <x v="14"/>
    <x v="1"/>
    <n v="158273"/>
    <x v="2"/>
    <n v="18014.7"/>
    <s v="Model S"/>
    <x v="0"/>
    <x v="1"/>
    <x v="16"/>
    <n v="0.11"/>
    <x v="0"/>
  </r>
  <r>
    <n v="2310"/>
    <x v="6"/>
    <n v="2019"/>
    <x v="46"/>
    <x v="0"/>
    <n v="49966"/>
    <x v="0"/>
    <n v="58688.87"/>
    <s v="Camry"/>
    <x v="1"/>
    <x v="2"/>
    <x v="5"/>
    <n v="1.17"/>
    <x v="1"/>
  </r>
  <r>
    <n v="2311"/>
    <x v="1"/>
    <n v="2014"/>
    <x v="31"/>
    <x v="0"/>
    <n v="185846"/>
    <x v="2"/>
    <n v="64720.06"/>
    <s v="3 Series"/>
    <x v="2"/>
    <x v="1"/>
    <x v="12"/>
    <n v="0.35"/>
    <x v="0"/>
  </r>
  <r>
    <n v="2312"/>
    <x v="4"/>
    <n v="2020"/>
    <x v="27"/>
    <x v="1"/>
    <n v="272530"/>
    <x v="1"/>
    <n v="86487.1"/>
    <s v="Accord"/>
    <x v="2"/>
    <x v="1"/>
    <x v="6"/>
    <n v="0.32"/>
    <x v="1"/>
  </r>
  <r>
    <n v="2313"/>
    <x v="5"/>
    <n v="2004"/>
    <x v="28"/>
    <x v="0"/>
    <n v="77228"/>
    <x v="1"/>
    <n v="57335.06"/>
    <s v="C-Class"/>
    <x v="2"/>
    <x v="0"/>
    <x v="19"/>
    <n v="0.74"/>
    <x v="0"/>
  </r>
  <r>
    <n v="2314"/>
    <x v="3"/>
    <n v="2005"/>
    <x v="42"/>
    <x v="0"/>
    <n v="146297"/>
    <x v="1"/>
    <n v="44017.39"/>
    <s v="Focus"/>
    <x v="3"/>
    <x v="0"/>
    <x v="14"/>
    <n v="0.3"/>
    <x v="1"/>
  </r>
  <r>
    <n v="2315"/>
    <x v="4"/>
    <n v="2016"/>
    <x v="0"/>
    <x v="0"/>
    <n v="43021"/>
    <x v="2"/>
    <n v="84637.66"/>
    <s v="Fit"/>
    <x v="1"/>
    <x v="2"/>
    <x v="0"/>
    <n v="1.97"/>
    <x v="1"/>
  </r>
  <r>
    <n v="2316"/>
    <x v="5"/>
    <n v="2000"/>
    <x v="22"/>
    <x v="0"/>
    <n v="149333"/>
    <x v="2"/>
    <n v="98190.42"/>
    <s v="E-Class"/>
    <x v="1"/>
    <x v="0"/>
    <x v="18"/>
    <n v="0.66"/>
    <x v="0"/>
  </r>
  <r>
    <n v="2317"/>
    <x v="1"/>
    <n v="2018"/>
    <x v="26"/>
    <x v="0"/>
    <n v="252646"/>
    <x v="1"/>
    <n v="66284.800000000003"/>
    <s v="X5"/>
    <x v="1"/>
    <x v="1"/>
    <x v="1"/>
    <n v="0.26"/>
    <x v="0"/>
  </r>
  <r>
    <n v="2318"/>
    <x v="0"/>
    <n v="2003"/>
    <x v="34"/>
    <x v="0"/>
    <n v="86755"/>
    <x v="1"/>
    <n v="88066.77"/>
    <s v="Model Y"/>
    <x v="0"/>
    <x v="0"/>
    <x v="21"/>
    <n v="1.02"/>
    <x v="0"/>
  </r>
  <r>
    <n v="2319"/>
    <x v="1"/>
    <n v="2016"/>
    <x v="23"/>
    <x v="0"/>
    <n v="66330"/>
    <x v="0"/>
    <n v="61879.839999999997"/>
    <s v="3 Series"/>
    <x v="2"/>
    <x v="0"/>
    <x v="0"/>
    <n v="0.93"/>
    <x v="0"/>
  </r>
  <r>
    <n v="2320"/>
    <x v="2"/>
    <n v="2008"/>
    <x v="18"/>
    <x v="0"/>
    <n v="178438"/>
    <x v="0"/>
    <n v="70529.86"/>
    <s v="A3"/>
    <x v="2"/>
    <x v="1"/>
    <x v="22"/>
    <n v="0.4"/>
    <x v="0"/>
  </r>
  <r>
    <n v="2321"/>
    <x v="6"/>
    <n v="2023"/>
    <x v="14"/>
    <x v="1"/>
    <n v="45313"/>
    <x v="1"/>
    <n v="70375.88"/>
    <s v="Prius"/>
    <x v="2"/>
    <x v="2"/>
    <x v="8"/>
    <n v="1.55"/>
    <x v="1"/>
  </r>
  <r>
    <n v="2322"/>
    <x v="2"/>
    <n v="2001"/>
    <x v="7"/>
    <x v="0"/>
    <n v="234729"/>
    <x v="1"/>
    <n v="71954.759999999995"/>
    <s v="Q5"/>
    <x v="1"/>
    <x v="1"/>
    <x v="10"/>
    <n v="0.31"/>
    <x v="0"/>
  </r>
  <r>
    <n v="2323"/>
    <x v="3"/>
    <n v="2007"/>
    <x v="47"/>
    <x v="0"/>
    <n v="232783"/>
    <x v="2"/>
    <n v="35496.28"/>
    <s v="Focus"/>
    <x v="1"/>
    <x v="1"/>
    <x v="17"/>
    <n v="0.15"/>
    <x v="1"/>
  </r>
  <r>
    <n v="2324"/>
    <x v="4"/>
    <n v="2014"/>
    <x v="45"/>
    <x v="1"/>
    <n v="289176"/>
    <x v="1"/>
    <n v="59687.83"/>
    <s v="Civic"/>
    <x v="0"/>
    <x v="1"/>
    <x v="12"/>
    <n v="0.21"/>
    <x v="1"/>
  </r>
  <r>
    <n v="2325"/>
    <x v="3"/>
    <n v="2006"/>
    <x v="7"/>
    <x v="0"/>
    <n v="148430"/>
    <x v="0"/>
    <n v="61442.879999999997"/>
    <s v="Focus"/>
    <x v="3"/>
    <x v="0"/>
    <x v="11"/>
    <n v="0.41"/>
    <x v="1"/>
  </r>
  <r>
    <n v="2326"/>
    <x v="0"/>
    <n v="2005"/>
    <x v="14"/>
    <x v="0"/>
    <n v="28365"/>
    <x v="0"/>
    <n v="34931.800000000003"/>
    <s v="Model Y"/>
    <x v="0"/>
    <x v="2"/>
    <x v="14"/>
    <n v="1.23"/>
    <x v="0"/>
  </r>
  <r>
    <n v="2327"/>
    <x v="5"/>
    <n v="2000"/>
    <x v="25"/>
    <x v="0"/>
    <n v="275333"/>
    <x v="0"/>
    <n v="38235.97"/>
    <s v="GLC"/>
    <x v="1"/>
    <x v="1"/>
    <x v="18"/>
    <n v="0.14000000000000001"/>
    <x v="0"/>
  </r>
  <r>
    <n v="2328"/>
    <x v="1"/>
    <n v="2014"/>
    <x v="35"/>
    <x v="0"/>
    <n v="7248"/>
    <x v="0"/>
    <n v="77413.440000000002"/>
    <s v="3 Series"/>
    <x v="0"/>
    <x v="2"/>
    <x v="12"/>
    <n v="10.68"/>
    <x v="0"/>
  </r>
  <r>
    <n v="2329"/>
    <x v="2"/>
    <n v="2022"/>
    <x v="9"/>
    <x v="0"/>
    <n v="4369"/>
    <x v="0"/>
    <n v="60358.76"/>
    <s v="Q7"/>
    <x v="2"/>
    <x v="2"/>
    <x v="13"/>
    <n v="13.82"/>
    <x v="0"/>
  </r>
  <r>
    <n v="2330"/>
    <x v="2"/>
    <n v="2006"/>
    <x v="17"/>
    <x v="0"/>
    <n v="290749"/>
    <x v="0"/>
    <n v="19175.060000000001"/>
    <s v="A3"/>
    <x v="1"/>
    <x v="1"/>
    <x v="11"/>
    <n v="7.0000000000000007E-2"/>
    <x v="0"/>
  </r>
  <r>
    <n v="2331"/>
    <x v="0"/>
    <n v="2016"/>
    <x v="15"/>
    <x v="1"/>
    <n v="171955"/>
    <x v="1"/>
    <n v="84575.51"/>
    <s v="Model X"/>
    <x v="0"/>
    <x v="1"/>
    <x v="0"/>
    <n v="0.49"/>
    <x v="0"/>
  </r>
  <r>
    <n v="2332"/>
    <x v="2"/>
    <n v="2001"/>
    <x v="7"/>
    <x v="1"/>
    <n v="33055"/>
    <x v="0"/>
    <n v="88895.86"/>
    <s v="Q5"/>
    <x v="3"/>
    <x v="2"/>
    <x v="10"/>
    <n v="2.69"/>
    <x v="0"/>
  </r>
  <r>
    <n v="2333"/>
    <x v="0"/>
    <n v="2008"/>
    <x v="27"/>
    <x v="1"/>
    <n v="199803"/>
    <x v="0"/>
    <n v="49283.41"/>
    <s v="Model 3"/>
    <x v="0"/>
    <x v="1"/>
    <x v="22"/>
    <n v="0.25"/>
    <x v="0"/>
  </r>
  <r>
    <n v="2334"/>
    <x v="3"/>
    <n v="2008"/>
    <x v="18"/>
    <x v="1"/>
    <n v="269594"/>
    <x v="0"/>
    <n v="24846.21"/>
    <s v="Focus"/>
    <x v="2"/>
    <x v="1"/>
    <x v="22"/>
    <n v="0.09"/>
    <x v="1"/>
  </r>
  <r>
    <n v="2335"/>
    <x v="1"/>
    <n v="2012"/>
    <x v="18"/>
    <x v="1"/>
    <n v="133997"/>
    <x v="0"/>
    <n v="95022.62"/>
    <s v="5 Series"/>
    <x v="3"/>
    <x v="0"/>
    <x v="15"/>
    <n v="0.71"/>
    <x v="0"/>
  </r>
  <r>
    <n v="2336"/>
    <x v="4"/>
    <n v="2005"/>
    <x v="27"/>
    <x v="0"/>
    <n v="50272"/>
    <x v="1"/>
    <n v="88815.61"/>
    <s v="Civic"/>
    <x v="2"/>
    <x v="0"/>
    <x v="14"/>
    <n v="1.77"/>
    <x v="1"/>
  </r>
  <r>
    <n v="2337"/>
    <x v="5"/>
    <n v="2005"/>
    <x v="46"/>
    <x v="0"/>
    <n v="5310"/>
    <x v="2"/>
    <n v="28216.27"/>
    <s v="GLA"/>
    <x v="2"/>
    <x v="2"/>
    <x v="14"/>
    <n v="5.31"/>
    <x v="0"/>
  </r>
  <r>
    <n v="2338"/>
    <x v="4"/>
    <n v="2019"/>
    <x v="37"/>
    <x v="0"/>
    <n v="31817"/>
    <x v="2"/>
    <n v="14081.4"/>
    <s v="Fit"/>
    <x v="2"/>
    <x v="2"/>
    <x v="5"/>
    <n v="0.44"/>
    <x v="1"/>
  </r>
  <r>
    <n v="2339"/>
    <x v="3"/>
    <n v="2019"/>
    <x v="18"/>
    <x v="0"/>
    <n v="215888"/>
    <x v="2"/>
    <n v="46862.09"/>
    <s v="Mustang"/>
    <x v="1"/>
    <x v="1"/>
    <x v="5"/>
    <n v="0.22"/>
    <x v="1"/>
  </r>
  <r>
    <n v="2340"/>
    <x v="5"/>
    <n v="2020"/>
    <x v="23"/>
    <x v="0"/>
    <n v="82641"/>
    <x v="2"/>
    <n v="69257.710000000006"/>
    <s v="C-Class"/>
    <x v="2"/>
    <x v="0"/>
    <x v="6"/>
    <n v="0.84"/>
    <x v="0"/>
  </r>
  <r>
    <n v="2341"/>
    <x v="2"/>
    <n v="2002"/>
    <x v="4"/>
    <x v="1"/>
    <n v="215155"/>
    <x v="0"/>
    <n v="21661.919999999998"/>
    <s v="Q7"/>
    <x v="0"/>
    <x v="1"/>
    <x v="23"/>
    <n v="0.1"/>
    <x v="0"/>
  </r>
  <r>
    <n v="2342"/>
    <x v="6"/>
    <n v="2016"/>
    <x v="34"/>
    <x v="1"/>
    <n v="207382"/>
    <x v="2"/>
    <n v="53755.199999999997"/>
    <s v="Corolla"/>
    <x v="3"/>
    <x v="1"/>
    <x v="0"/>
    <n v="0.26"/>
    <x v="1"/>
  </r>
  <r>
    <n v="2343"/>
    <x v="3"/>
    <n v="2016"/>
    <x v="1"/>
    <x v="0"/>
    <n v="15457"/>
    <x v="2"/>
    <n v="45414.47"/>
    <s v="Explorer"/>
    <x v="1"/>
    <x v="2"/>
    <x v="0"/>
    <n v="2.94"/>
    <x v="1"/>
  </r>
  <r>
    <n v="2344"/>
    <x v="3"/>
    <n v="2011"/>
    <x v="5"/>
    <x v="0"/>
    <n v="42311"/>
    <x v="1"/>
    <n v="89602.36"/>
    <s v="Mustang"/>
    <x v="3"/>
    <x v="2"/>
    <x v="3"/>
    <n v="2.12"/>
    <x v="1"/>
  </r>
  <r>
    <n v="2345"/>
    <x v="1"/>
    <n v="2015"/>
    <x v="11"/>
    <x v="0"/>
    <n v="151958"/>
    <x v="1"/>
    <n v="45808.83"/>
    <s v="X5"/>
    <x v="2"/>
    <x v="1"/>
    <x v="16"/>
    <n v="0.3"/>
    <x v="0"/>
  </r>
  <r>
    <n v="2346"/>
    <x v="4"/>
    <n v="2014"/>
    <x v="29"/>
    <x v="1"/>
    <n v="123573"/>
    <x v="1"/>
    <n v="55708.76"/>
    <s v="Accord"/>
    <x v="1"/>
    <x v="0"/>
    <x v="12"/>
    <n v="0.45"/>
    <x v="1"/>
  </r>
  <r>
    <n v="2347"/>
    <x v="3"/>
    <n v="2012"/>
    <x v="50"/>
    <x v="1"/>
    <n v="298325"/>
    <x v="0"/>
    <n v="95752.19"/>
    <s v="Fiesta"/>
    <x v="0"/>
    <x v="1"/>
    <x v="15"/>
    <n v="0.32"/>
    <x v="1"/>
  </r>
  <r>
    <n v="2348"/>
    <x v="3"/>
    <n v="2022"/>
    <x v="35"/>
    <x v="0"/>
    <n v="164334"/>
    <x v="0"/>
    <n v="33470.720000000001"/>
    <s v="Focus"/>
    <x v="2"/>
    <x v="1"/>
    <x v="13"/>
    <n v="0.2"/>
    <x v="1"/>
  </r>
  <r>
    <n v="2349"/>
    <x v="2"/>
    <n v="2000"/>
    <x v="36"/>
    <x v="1"/>
    <n v="263272"/>
    <x v="0"/>
    <n v="32454.14"/>
    <s v="A3"/>
    <x v="3"/>
    <x v="1"/>
    <x v="18"/>
    <n v="0.12"/>
    <x v="0"/>
  </r>
  <r>
    <n v="2350"/>
    <x v="2"/>
    <n v="2016"/>
    <x v="4"/>
    <x v="0"/>
    <n v="79522"/>
    <x v="1"/>
    <n v="80961.53"/>
    <s v="A3"/>
    <x v="0"/>
    <x v="0"/>
    <x v="0"/>
    <n v="1.02"/>
    <x v="0"/>
  </r>
  <r>
    <n v="2351"/>
    <x v="5"/>
    <n v="2002"/>
    <x v="42"/>
    <x v="1"/>
    <n v="163394"/>
    <x v="2"/>
    <n v="31366.2"/>
    <s v="E-Class"/>
    <x v="2"/>
    <x v="1"/>
    <x v="23"/>
    <n v="0.19"/>
    <x v="0"/>
  </r>
  <r>
    <n v="2352"/>
    <x v="0"/>
    <n v="2014"/>
    <x v="4"/>
    <x v="1"/>
    <n v="48929"/>
    <x v="1"/>
    <n v="84027.26"/>
    <s v="Model 3"/>
    <x v="0"/>
    <x v="2"/>
    <x v="12"/>
    <n v="1.72"/>
    <x v="0"/>
  </r>
  <r>
    <n v="2353"/>
    <x v="0"/>
    <n v="2003"/>
    <x v="13"/>
    <x v="0"/>
    <n v="81696"/>
    <x v="0"/>
    <n v="14075.88"/>
    <s v="Model 3"/>
    <x v="0"/>
    <x v="0"/>
    <x v="21"/>
    <n v="0.17"/>
    <x v="0"/>
  </r>
  <r>
    <n v="2354"/>
    <x v="6"/>
    <n v="2003"/>
    <x v="41"/>
    <x v="1"/>
    <n v="271952"/>
    <x v="1"/>
    <n v="15569.82"/>
    <s v="Corolla"/>
    <x v="1"/>
    <x v="1"/>
    <x v="21"/>
    <n v="0.06"/>
    <x v="1"/>
  </r>
  <r>
    <n v="2355"/>
    <x v="0"/>
    <n v="2017"/>
    <x v="21"/>
    <x v="1"/>
    <n v="95148"/>
    <x v="2"/>
    <n v="90625.72"/>
    <s v="Model X"/>
    <x v="0"/>
    <x v="0"/>
    <x v="7"/>
    <n v="0.95"/>
    <x v="0"/>
  </r>
  <r>
    <n v="2356"/>
    <x v="1"/>
    <n v="2016"/>
    <x v="40"/>
    <x v="0"/>
    <n v="283869"/>
    <x v="0"/>
    <n v="56377.17"/>
    <s v="5 Series"/>
    <x v="1"/>
    <x v="1"/>
    <x v="0"/>
    <n v="0.2"/>
    <x v="0"/>
  </r>
  <r>
    <n v="2357"/>
    <x v="6"/>
    <n v="2018"/>
    <x v="23"/>
    <x v="1"/>
    <n v="220026"/>
    <x v="2"/>
    <n v="73287.360000000001"/>
    <s v="Camry"/>
    <x v="2"/>
    <x v="1"/>
    <x v="1"/>
    <n v="0.33"/>
    <x v="1"/>
  </r>
  <r>
    <n v="2358"/>
    <x v="5"/>
    <n v="2010"/>
    <x v="14"/>
    <x v="0"/>
    <n v="83576"/>
    <x v="2"/>
    <n v="26402.44"/>
    <s v="C-Class"/>
    <x v="2"/>
    <x v="0"/>
    <x v="9"/>
    <n v="0.32"/>
    <x v="0"/>
  </r>
  <r>
    <n v="2359"/>
    <x v="2"/>
    <n v="2019"/>
    <x v="21"/>
    <x v="1"/>
    <n v="20557"/>
    <x v="0"/>
    <n v="20796.060000000001"/>
    <s v="A4"/>
    <x v="3"/>
    <x v="2"/>
    <x v="5"/>
    <n v="1.01"/>
    <x v="0"/>
  </r>
  <r>
    <n v="2360"/>
    <x v="0"/>
    <n v="2002"/>
    <x v="27"/>
    <x v="0"/>
    <n v="21825"/>
    <x v="2"/>
    <n v="84320.65"/>
    <s v="Model Y"/>
    <x v="0"/>
    <x v="2"/>
    <x v="23"/>
    <n v="3.86"/>
    <x v="0"/>
  </r>
  <r>
    <n v="2361"/>
    <x v="4"/>
    <n v="2007"/>
    <x v="1"/>
    <x v="0"/>
    <n v="271142"/>
    <x v="1"/>
    <n v="39069.22"/>
    <s v="Fit"/>
    <x v="0"/>
    <x v="1"/>
    <x v="17"/>
    <n v="0.14000000000000001"/>
    <x v="1"/>
  </r>
  <r>
    <n v="2362"/>
    <x v="2"/>
    <n v="2013"/>
    <x v="25"/>
    <x v="1"/>
    <n v="36080"/>
    <x v="2"/>
    <n v="48228.1"/>
    <s v="A3"/>
    <x v="0"/>
    <x v="2"/>
    <x v="2"/>
    <n v="1.34"/>
    <x v="0"/>
  </r>
  <r>
    <n v="2363"/>
    <x v="1"/>
    <n v="2000"/>
    <x v="6"/>
    <x v="1"/>
    <n v="258815"/>
    <x v="2"/>
    <n v="7657.33"/>
    <s v="X5"/>
    <x v="2"/>
    <x v="1"/>
    <x v="18"/>
    <n v="0.03"/>
    <x v="0"/>
  </r>
  <r>
    <n v="2364"/>
    <x v="2"/>
    <n v="2013"/>
    <x v="30"/>
    <x v="0"/>
    <n v="188869"/>
    <x v="2"/>
    <n v="41658.67"/>
    <s v="Q5"/>
    <x v="2"/>
    <x v="1"/>
    <x v="2"/>
    <n v="0.22"/>
    <x v="0"/>
  </r>
  <r>
    <n v="2365"/>
    <x v="1"/>
    <n v="2001"/>
    <x v="1"/>
    <x v="1"/>
    <n v="146874"/>
    <x v="1"/>
    <n v="78191.59"/>
    <s v="5 Series"/>
    <x v="2"/>
    <x v="0"/>
    <x v="10"/>
    <n v="0.53"/>
    <x v="0"/>
  </r>
  <r>
    <n v="2366"/>
    <x v="1"/>
    <n v="2022"/>
    <x v="29"/>
    <x v="1"/>
    <n v="42407"/>
    <x v="2"/>
    <n v="83021.14"/>
    <s v="3 Series"/>
    <x v="1"/>
    <x v="2"/>
    <x v="13"/>
    <n v="1.96"/>
    <x v="0"/>
  </r>
  <r>
    <n v="2367"/>
    <x v="1"/>
    <n v="2003"/>
    <x v="6"/>
    <x v="1"/>
    <n v="120283"/>
    <x v="2"/>
    <n v="71381.7"/>
    <s v="X5"/>
    <x v="1"/>
    <x v="0"/>
    <x v="21"/>
    <n v="0.59"/>
    <x v="0"/>
  </r>
  <r>
    <n v="2368"/>
    <x v="5"/>
    <n v="2023"/>
    <x v="11"/>
    <x v="0"/>
    <n v="13338"/>
    <x v="1"/>
    <n v="70757.070000000007"/>
    <s v="GLC"/>
    <x v="3"/>
    <x v="2"/>
    <x v="8"/>
    <n v="5.3"/>
    <x v="0"/>
  </r>
  <r>
    <n v="2369"/>
    <x v="1"/>
    <n v="2018"/>
    <x v="28"/>
    <x v="0"/>
    <n v="76289"/>
    <x v="0"/>
    <n v="53092.73"/>
    <s v="X5"/>
    <x v="2"/>
    <x v="0"/>
    <x v="1"/>
    <n v="0.7"/>
    <x v="0"/>
  </r>
  <r>
    <n v="2370"/>
    <x v="1"/>
    <n v="2005"/>
    <x v="19"/>
    <x v="0"/>
    <n v="149967"/>
    <x v="0"/>
    <n v="56141.29"/>
    <s v="X3"/>
    <x v="0"/>
    <x v="0"/>
    <x v="14"/>
    <n v="0.37"/>
    <x v="0"/>
  </r>
  <r>
    <n v="2371"/>
    <x v="4"/>
    <n v="2000"/>
    <x v="50"/>
    <x v="1"/>
    <n v="178982"/>
    <x v="0"/>
    <n v="75550.02"/>
    <s v="CR-V"/>
    <x v="0"/>
    <x v="1"/>
    <x v="18"/>
    <n v="0.42"/>
    <x v="1"/>
  </r>
  <r>
    <n v="2372"/>
    <x v="6"/>
    <n v="2016"/>
    <x v="19"/>
    <x v="1"/>
    <n v="109367"/>
    <x v="2"/>
    <n v="28493.67"/>
    <s v="Camry"/>
    <x v="3"/>
    <x v="0"/>
    <x v="0"/>
    <n v="0.26"/>
    <x v="1"/>
  </r>
  <r>
    <n v="2373"/>
    <x v="3"/>
    <n v="2007"/>
    <x v="17"/>
    <x v="0"/>
    <n v="117486"/>
    <x v="0"/>
    <n v="26994.12"/>
    <s v="Fiesta"/>
    <x v="0"/>
    <x v="0"/>
    <x v="17"/>
    <n v="0.23"/>
    <x v="1"/>
  </r>
  <r>
    <n v="2374"/>
    <x v="6"/>
    <n v="2018"/>
    <x v="28"/>
    <x v="0"/>
    <n v="214209"/>
    <x v="1"/>
    <n v="95242.86"/>
    <s v="Corolla"/>
    <x v="3"/>
    <x v="1"/>
    <x v="1"/>
    <n v="0.44"/>
    <x v="1"/>
  </r>
  <r>
    <n v="2375"/>
    <x v="1"/>
    <n v="2020"/>
    <x v="47"/>
    <x v="1"/>
    <n v="256055"/>
    <x v="2"/>
    <n v="7630.54"/>
    <s v="3 Series"/>
    <x v="2"/>
    <x v="1"/>
    <x v="6"/>
    <n v="0.03"/>
    <x v="0"/>
  </r>
  <r>
    <n v="2376"/>
    <x v="4"/>
    <n v="2000"/>
    <x v="18"/>
    <x v="1"/>
    <n v="136421"/>
    <x v="2"/>
    <n v="18249.22"/>
    <s v="Fit"/>
    <x v="0"/>
    <x v="0"/>
    <x v="18"/>
    <n v="0.13"/>
    <x v="1"/>
  </r>
  <r>
    <n v="2377"/>
    <x v="2"/>
    <n v="2004"/>
    <x v="30"/>
    <x v="1"/>
    <n v="153535"/>
    <x v="2"/>
    <n v="59181.58"/>
    <s v="Q5"/>
    <x v="2"/>
    <x v="1"/>
    <x v="19"/>
    <n v="0.39"/>
    <x v="0"/>
  </r>
  <r>
    <n v="2378"/>
    <x v="4"/>
    <n v="2015"/>
    <x v="13"/>
    <x v="1"/>
    <n v="74935"/>
    <x v="0"/>
    <n v="75094.31"/>
    <s v="Fit"/>
    <x v="1"/>
    <x v="0"/>
    <x v="16"/>
    <n v="1"/>
    <x v="1"/>
  </r>
  <r>
    <n v="2379"/>
    <x v="1"/>
    <n v="2005"/>
    <x v="46"/>
    <x v="0"/>
    <n v="189864"/>
    <x v="0"/>
    <n v="56099.65"/>
    <s v="X3"/>
    <x v="0"/>
    <x v="1"/>
    <x v="14"/>
    <n v="0.3"/>
    <x v="0"/>
  </r>
  <r>
    <n v="2380"/>
    <x v="4"/>
    <n v="2007"/>
    <x v="3"/>
    <x v="1"/>
    <n v="275830"/>
    <x v="0"/>
    <n v="38731.08"/>
    <s v="Civic"/>
    <x v="1"/>
    <x v="1"/>
    <x v="17"/>
    <n v="0.14000000000000001"/>
    <x v="1"/>
  </r>
  <r>
    <n v="2381"/>
    <x v="0"/>
    <n v="2012"/>
    <x v="33"/>
    <x v="1"/>
    <n v="63528"/>
    <x v="2"/>
    <n v="97907.73"/>
    <s v="Model S"/>
    <x v="0"/>
    <x v="0"/>
    <x v="15"/>
    <n v="1.54"/>
    <x v="0"/>
  </r>
  <r>
    <n v="2382"/>
    <x v="4"/>
    <n v="2015"/>
    <x v="44"/>
    <x v="0"/>
    <n v="99811"/>
    <x v="1"/>
    <n v="71866.009999999995"/>
    <s v="Fit"/>
    <x v="2"/>
    <x v="0"/>
    <x v="16"/>
    <n v="0.72"/>
    <x v="1"/>
  </r>
  <r>
    <n v="2383"/>
    <x v="1"/>
    <n v="2002"/>
    <x v="5"/>
    <x v="0"/>
    <n v="284931"/>
    <x v="2"/>
    <n v="83982.13"/>
    <s v="3 Series"/>
    <x v="3"/>
    <x v="1"/>
    <x v="23"/>
    <n v="0.28999999999999998"/>
    <x v="0"/>
  </r>
  <r>
    <n v="2384"/>
    <x v="5"/>
    <n v="2018"/>
    <x v="27"/>
    <x v="1"/>
    <n v="188499"/>
    <x v="1"/>
    <n v="8823.4500000000007"/>
    <s v="E-Class"/>
    <x v="2"/>
    <x v="1"/>
    <x v="1"/>
    <n v="0.05"/>
    <x v="0"/>
  </r>
  <r>
    <n v="2385"/>
    <x v="0"/>
    <n v="2011"/>
    <x v="28"/>
    <x v="0"/>
    <n v="260141"/>
    <x v="2"/>
    <n v="27412.41"/>
    <s v="Model S"/>
    <x v="0"/>
    <x v="1"/>
    <x v="3"/>
    <n v="0.11"/>
    <x v="0"/>
  </r>
  <r>
    <n v="2386"/>
    <x v="4"/>
    <n v="2015"/>
    <x v="40"/>
    <x v="1"/>
    <n v="104887"/>
    <x v="1"/>
    <n v="40546.25"/>
    <s v="Accord"/>
    <x v="2"/>
    <x v="0"/>
    <x v="16"/>
    <n v="0.39"/>
    <x v="1"/>
  </r>
  <r>
    <n v="2387"/>
    <x v="3"/>
    <n v="2010"/>
    <x v="2"/>
    <x v="1"/>
    <n v="61086"/>
    <x v="2"/>
    <n v="22347.13"/>
    <s v="Mustang"/>
    <x v="0"/>
    <x v="0"/>
    <x v="9"/>
    <n v="0.37"/>
    <x v="1"/>
  </r>
  <r>
    <n v="2388"/>
    <x v="3"/>
    <n v="2009"/>
    <x v="28"/>
    <x v="0"/>
    <n v="255494"/>
    <x v="2"/>
    <n v="11925.43"/>
    <s v="Focus"/>
    <x v="3"/>
    <x v="1"/>
    <x v="4"/>
    <n v="0.05"/>
    <x v="1"/>
  </r>
  <r>
    <n v="2389"/>
    <x v="4"/>
    <n v="2019"/>
    <x v="36"/>
    <x v="0"/>
    <n v="63308"/>
    <x v="1"/>
    <n v="26383.71"/>
    <s v="CR-V"/>
    <x v="1"/>
    <x v="0"/>
    <x v="5"/>
    <n v="0.42"/>
    <x v="1"/>
  </r>
  <r>
    <n v="2390"/>
    <x v="5"/>
    <n v="2003"/>
    <x v="15"/>
    <x v="1"/>
    <n v="277941"/>
    <x v="1"/>
    <n v="55695.38"/>
    <s v="E-Class"/>
    <x v="2"/>
    <x v="1"/>
    <x v="21"/>
    <n v="0.2"/>
    <x v="0"/>
  </r>
  <r>
    <n v="2391"/>
    <x v="2"/>
    <n v="2011"/>
    <x v="21"/>
    <x v="0"/>
    <n v="267446"/>
    <x v="1"/>
    <n v="71095.8"/>
    <s v="Q7"/>
    <x v="0"/>
    <x v="1"/>
    <x v="3"/>
    <n v="0.27"/>
    <x v="0"/>
  </r>
  <r>
    <n v="2392"/>
    <x v="1"/>
    <n v="2022"/>
    <x v="18"/>
    <x v="1"/>
    <n v="38059"/>
    <x v="1"/>
    <n v="78531.990000000005"/>
    <s v="X3"/>
    <x v="1"/>
    <x v="2"/>
    <x v="13"/>
    <n v="2.06"/>
    <x v="0"/>
  </r>
  <r>
    <n v="2393"/>
    <x v="3"/>
    <n v="2001"/>
    <x v="31"/>
    <x v="1"/>
    <n v="131980"/>
    <x v="1"/>
    <n v="9078.93"/>
    <s v="Explorer"/>
    <x v="2"/>
    <x v="0"/>
    <x v="10"/>
    <n v="7.0000000000000007E-2"/>
    <x v="1"/>
  </r>
  <r>
    <n v="2394"/>
    <x v="2"/>
    <n v="2023"/>
    <x v="27"/>
    <x v="1"/>
    <n v="191324"/>
    <x v="1"/>
    <n v="45658.69"/>
    <s v="Q7"/>
    <x v="1"/>
    <x v="1"/>
    <x v="8"/>
    <n v="0.24"/>
    <x v="0"/>
  </r>
  <r>
    <n v="2395"/>
    <x v="4"/>
    <n v="2021"/>
    <x v="29"/>
    <x v="0"/>
    <n v="143949"/>
    <x v="1"/>
    <n v="16610.099999999999"/>
    <s v="Accord"/>
    <x v="2"/>
    <x v="0"/>
    <x v="20"/>
    <n v="0.12"/>
    <x v="1"/>
  </r>
  <r>
    <n v="2396"/>
    <x v="2"/>
    <n v="2018"/>
    <x v="4"/>
    <x v="1"/>
    <n v="276383"/>
    <x v="1"/>
    <n v="45964.04"/>
    <s v="Q7"/>
    <x v="1"/>
    <x v="1"/>
    <x v="1"/>
    <n v="0.17"/>
    <x v="0"/>
  </r>
  <r>
    <n v="2397"/>
    <x v="0"/>
    <n v="2004"/>
    <x v="0"/>
    <x v="1"/>
    <n v="27313"/>
    <x v="2"/>
    <n v="46227.71"/>
    <s v="Model Y"/>
    <x v="0"/>
    <x v="2"/>
    <x v="19"/>
    <n v="1.69"/>
    <x v="0"/>
  </r>
  <r>
    <n v="2398"/>
    <x v="6"/>
    <n v="2007"/>
    <x v="42"/>
    <x v="1"/>
    <n v="42103"/>
    <x v="1"/>
    <n v="52330.11"/>
    <s v="RAV4"/>
    <x v="3"/>
    <x v="2"/>
    <x v="17"/>
    <n v="1.24"/>
    <x v="1"/>
  </r>
  <r>
    <n v="2399"/>
    <x v="3"/>
    <n v="2006"/>
    <x v="39"/>
    <x v="0"/>
    <n v="179480"/>
    <x v="1"/>
    <n v="89818.91"/>
    <s v="Focus"/>
    <x v="3"/>
    <x v="1"/>
    <x v="11"/>
    <n v="0.5"/>
    <x v="1"/>
  </r>
  <r>
    <n v="2400"/>
    <x v="4"/>
    <n v="2013"/>
    <x v="7"/>
    <x v="1"/>
    <n v="88771"/>
    <x v="2"/>
    <n v="81484.070000000007"/>
    <s v="CR-V"/>
    <x v="2"/>
    <x v="0"/>
    <x v="2"/>
    <n v="0.92"/>
    <x v="1"/>
  </r>
  <r>
    <n v="2401"/>
    <x v="1"/>
    <n v="2023"/>
    <x v="19"/>
    <x v="1"/>
    <n v="126228"/>
    <x v="2"/>
    <n v="65488.480000000003"/>
    <s v="X3"/>
    <x v="0"/>
    <x v="0"/>
    <x v="8"/>
    <n v="0.52"/>
    <x v="0"/>
  </r>
  <r>
    <n v="2402"/>
    <x v="5"/>
    <n v="2022"/>
    <x v="36"/>
    <x v="1"/>
    <n v="91665"/>
    <x v="0"/>
    <n v="89113.7"/>
    <s v="C-Class"/>
    <x v="3"/>
    <x v="0"/>
    <x v="13"/>
    <n v="0.97"/>
    <x v="0"/>
  </r>
  <r>
    <n v="2403"/>
    <x v="0"/>
    <n v="2002"/>
    <x v="1"/>
    <x v="0"/>
    <n v="272678"/>
    <x v="0"/>
    <n v="69454.52"/>
    <s v="Model X"/>
    <x v="0"/>
    <x v="1"/>
    <x v="23"/>
    <n v="0.25"/>
    <x v="0"/>
  </r>
  <r>
    <n v="2404"/>
    <x v="4"/>
    <n v="2017"/>
    <x v="4"/>
    <x v="1"/>
    <n v="279333"/>
    <x v="1"/>
    <n v="82791.22"/>
    <s v="CR-V"/>
    <x v="3"/>
    <x v="1"/>
    <x v="7"/>
    <n v="0.3"/>
    <x v="1"/>
  </r>
  <r>
    <n v="2405"/>
    <x v="1"/>
    <n v="2015"/>
    <x v="29"/>
    <x v="1"/>
    <n v="86067"/>
    <x v="1"/>
    <n v="58558.94"/>
    <s v="5 Series"/>
    <x v="3"/>
    <x v="0"/>
    <x v="16"/>
    <n v="0.68"/>
    <x v="0"/>
  </r>
  <r>
    <n v="2406"/>
    <x v="5"/>
    <n v="2022"/>
    <x v="2"/>
    <x v="0"/>
    <n v="273111"/>
    <x v="0"/>
    <n v="54895.73"/>
    <s v="C-Class"/>
    <x v="2"/>
    <x v="1"/>
    <x v="13"/>
    <n v="0.2"/>
    <x v="0"/>
  </r>
  <r>
    <n v="2407"/>
    <x v="5"/>
    <n v="2018"/>
    <x v="22"/>
    <x v="0"/>
    <n v="213063"/>
    <x v="0"/>
    <n v="73789.240000000005"/>
    <s v="GLC"/>
    <x v="3"/>
    <x v="1"/>
    <x v="1"/>
    <n v="0.35"/>
    <x v="0"/>
  </r>
  <r>
    <n v="2408"/>
    <x v="4"/>
    <n v="2018"/>
    <x v="15"/>
    <x v="1"/>
    <n v="270804"/>
    <x v="1"/>
    <n v="6870.48"/>
    <s v="Fit"/>
    <x v="3"/>
    <x v="1"/>
    <x v="1"/>
    <n v="0.03"/>
    <x v="1"/>
  </r>
  <r>
    <n v="2409"/>
    <x v="0"/>
    <n v="2017"/>
    <x v="4"/>
    <x v="1"/>
    <n v="129909"/>
    <x v="0"/>
    <n v="70585.87"/>
    <s v="Model 3"/>
    <x v="0"/>
    <x v="0"/>
    <x v="7"/>
    <n v="0.54"/>
    <x v="0"/>
  </r>
  <r>
    <n v="2410"/>
    <x v="2"/>
    <n v="2019"/>
    <x v="2"/>
    <x v="1"/>
    <n v="140688"/>
    <x v="1"/>
    <n v="93779.23"/>
    <s v="A4"/>
    <x v="3"/>
    <x v="0"/>
    <x v="5"/>
    <n v="0.67"/>
    <x v="0"/>
  </r>
  <r>
    <n v="2411"/>
    <x v="2"/>
    <n v="2015"/>
    <x v="43"/>
    <x v="0"/>
    <n v="75976"/>
    <x v="2"/>
    <n v="72824.5"/>
    <s v="A4"/>
    <x v="1"/>
    <x v="0"/>
    <x v="16"/>
    <n v="0.96"/>
    <x v="0"/>
  </r>
  <r>
    <n v="2412"/>
    <x v="5"/>
    <n v="2007"/>
    <x v="41"/>
    <x v="0"/>
    <n v="233208"/>
    <x v="2"/>
    <n v="8495.4"/>
    <s v="C-Class"/>
    <x v="3"/>
    <x v="1"/>
    <x v="17"/>
    <n v="0.04"/>
    <x v="0"/>
  </r>
  <r>
    <n v="2413"/>
    <x v="2"/>
    <n v="2000"/>
    <x v="32"/>
    <x v="1"/>
    <n v="179810"/>
    <x v="0"/>
    <n v="40899.14"/>
    <s v="A3"/>
    <x v="3"/>
    <x v="1"/>
    <x v="18"/>
    <n v="0.23"/>
    <x v="0"/>
  </r>
  <r>
    <n v="2414"/>
    <x v="6"/>
    <n v="2016"/>
    <x v="41"/>
    <x v="0"/>
    <n v="275251"/>
    <x v="2"/>
    <n v="81910.22"/>
    <s v="Corolla"/>
    <x v="0"/>
    <x v="1"/>
    <x v="0"/>
    <n v="0.3"/>
    <x v="1"/>
  </r>
  <r>
    <n v="2415"/>
    <x v="5"/>
    <n v="2011"/>
    <x v="23"/>
    <x v="1"/>
    <n v="192476"/>
    <x v="2"/>
    <n v="96067.81"/>
    <s v="E-Class"/>
    <x v="3"/>
    <x v="1"/>
    <x v="3"/>
    <n v="0.5"/>
    <x v="0"/>
  </r>
  <r>
    <n v="2416"/>
    <x v="5"/>
    <n v="2020"/>
    <x v="25"/>
    <x v="1"/>
    <n v="94182"/>
    <x v="2"/>
    <n v="40165.519999999997"/>
    <s v="C-Class"/>
    <x v="1"/>
    <x v="0"/>
    <x v="6"/>
    <n v="0.43"/>
    <x v="0"/>
  </r>
  <r>
    <n v="2417"/>
    <x v="1"/>
    <n v="2010"/>
    <x v="2"/>
    <x v="0"/>
    <n v="243153"/>
    <x v="2"/>
    <n v="84913.44"/>
    <s v="5 Series"/>
    <x v="1"/>
    <x v="1"/>
    <x v="9"/>
    <n v="0.35"/>
    <x v="0"/>
  </r>
  <r>
    <n v="2418"/>
    <x v="2"/>
    <n v="2004"/>
    <x v="21"/>
    <x v="1"/>
    <n v="278098"/>
    <x v="1"/>
    <n v="87061.94"/>
    <s v="Q5"/>
    <x v="2"/>
    <x v="1"/>
    <x v="19"/>
    <n v="0.31"/>
    <x v="0"/>
  </r>
  <r>
    <n v="2419"/>
    <x v="0"/>
    <n v="2011"/>
    <x v="28"/>
    <x v="0"/>
    <n v="279087"/>
    <x v="1"/>
    <n v="16712.21"/>
    <s v="Model X"/>
    <x v="0"/>
    <x v="1"/>
    <x v="3"/>
    <n v="0.06"/>
    <x v="0"/>
  </r>
  <r>
    <n v="2420"/>
    <x v="5"/>
    <n v="2016"/>
    <x v="38"/>
    <x v="0"/>
    <n v="40725"/>
    <x v="0"/>
    <n v="85349.9"/>
    <s v="C-Class"/>
    <x v="0"/>
    <x v="2"/>
    <x v="0"/>
    <n v="2.1"/>
    <x v="0"/>
  </r>
  <r>
    <n v="2421"/>
    <x v="0"/>
    <n v="2005"/>
    <x v="6"/>
    <x v="1"/>
    <n v="10110"/>
    <x v="2"/>
    <n v="35803.74"/>
    <s v="Model X"/>
    <x v="0"/>
    <x v="2"/>
    <x v="14"/>
    <n v="3.54"/>
    <x v="0"/>
  </r>
  <r>
    <n v="2422"/>
    <x v="6"/>
    <n v="2000"/>
    <x v="24"/>
    <x v="0"/>
    <n v="278606"/>
    <x v="2"/>
    <n v="61357.58"/>
    <s v="Corolla"/>
    <x v="1"/>
    <x v="1"/>
    <x v="18"/>
    <n v="0.22"/>
    <x v="1"/>
  </r>
  <r>
    <n v="2423"/>
    <x v="1"/>
    <n v="2004"/>
    <x v="10"/>
    <x v="1"/>
    <n v="185153"/>
    <x v="2"/>
    <n v="56201.4"/>
    <s v="X5"/>
    <x v="1"/>
    <x v="1"/>
    <x v="19"/>
    <n v="0.3"/>
    <x v="0"/>
  </r>
  <r>
    <n v="2424"/>
    <x v="4"/>
    <n v="2013"/>
    <x v="43"/>
    <x v="0"/>
    <n v="66567"/>
    <x v="0"/>
    <n v="67990.12"/>
    <s v="CR-V"/>
    <x v="0"/>
    <x v="0"/>
    <x v="2"/>
    <n v="1.02"/>
    <x v="1"/>
  </r>
  <r>
    <n v="2425"/>
    <x v="0"/>
    <n v="2004"/>
    <x v="45"/>
    <x v="1"/>
    <n v="182296"/>
    <x v="1"/>
    <n v="75344.14"/>
    <s v="Model 3"/>
    <x v="0"/>
    <x v="1"/>
    <x v="19"/>
    <n v="0.41"/>
    <x v="0"/>
  </r>
  <r>
    <n v="2426"/>
    <x v="5"/>
    <n v="2021"/>
    <x v="5"/>
    <x v="1"/>
    <n v="113394"/>
    <x v="2"/>
    <n v="46883.7"/>
    <s v="E-Class"/>
    <x v="2"/>
    <x v="0"/>
    <x v="20"/>
    <n v="0.41"/>
    <x v="0"/>
  </r>
  <r>
    <n v="2427"/>
    <x v="6"/>
    <n v="2023"/>
    <x v="48"/>
    <x v="1"/>
    <n v="148940"/>
    <x v="1"/>
    <n v="89389.53"/>
    <s v="RAV4"/>
    <x v="0"/>
    <x v="0"/>
    <x v="8"/>
    <n v="0.6"/>
    <x v="1"/>
  </r>
  <r>
    <n v="2428"/>
    <x v="3"/>
    <n v="2000"/>
    <x v="46"/>
    <x v="0"/>
    <n v="22222"/>
    <x v="0"/>
    <n v="81902.350000000006"/>
    <s v="Explorer"/>
    <x v="2"/>
    <x v="2"/>
    <x v="18"/>
    <n v="3.69"/>
    <x v="1"/>
  </r>
  <r>
    <n v="2429"/>
    <x v="6"/>
    <n v="2017"/>
    <x v="14"/>
    <x v="1"/>
    <n v="79794"/>
    <x v="1"/>
    <n v="79615"/>
    <s v="Corolla"/>
    <x v="2"/>
    <x v="0"/>
    <x v="7"/>
    <n v="1"/>
    <x v="1"/>
  </r>
  <r>
    <n v="2430"/>
    <x v="6"/>
    <n v="2015"/>
    <x v="12"/>
    <x v="0"/>
    <n v="63924"/>
    <x v="2"/>
    <n v="48533.45"/>
    <s v="Corolla"/>
    <x v="0"/>
    <x v="0"/>
    <x v="16"/>
    <n v="0.76"/>
    <x v="1"/>
  </r>
  <r>
    <n v="2431"/>
    <x v="1"/>
    <n v="2008"/>
    <x v="45"/>
    <x v="0"/>
    <n v="99854"/>
    <x v="1"/>
    <n v="8569.42"/>
    <s v="3 Series"/>
    <x v="3"/>
    <x v="0"/>
    <x v="22"/>
    <n v="0.09"/>
    <x v="0"/>
  </r>
  <r>
    <n v="2432"/>
    <x v="4"/>
    <n v="2018"/>
    <x v="26"/>
    <x v="0"/>
    <n v="260038"/>
    <x v="1"/>
    <n v="51764.36"/>
    <s v="Civic"/>
    <x v="3"/>
    <x v="1"/>
    <x v="1"/>
    <n v="0.2"/>
    <x v="1"/>
  </r>
  <r>
    <n v="2433"/>
    <x v="3"/>
    <n v="2021"/>
    <x v="34"/>
    <x v="0"/>
    <n v="243815"/>
    <x v="0"/>
    <n v="90352.33"/>
    <s v="Mustang"/>
    <x v="2"/>
    <x v="1"/>
    <x v="20"/>
    <n v="0.37"/>
    <x v="1"/>
  </r>
  <r>
    <n v="2434"/>
    <x v="2"/>
    <n v="2004"/>
    <x v="29"/>
    <x v="0"/>
    <n v="233127"/>
    <x v="0"/>
    <n v="23092.76"/>
    <s v="A3"/>
    <x v="3"/>
    <x v="1"/>
    <x v="19"/>
    <n v="0.1"/>
    <x v="0"/>
  </r>
  <r>
    <n v="2435"/>
    <x v="2"/>
    <n v="2001"/>
    <x v="27"/>
    <x v="1"/>
    <n v="141295"/>
    <x v="0"/>
    <n v="98346.28"/>
    <s v="Q7"/>
    <x v="1"/>
    <x v="0"/>
    <x v="10"/>
    <n v="0.7"/>
    <x v="0"/>
  </r>
  <r>
    <n v="2436"/>
    <x v="0"/>
    <n v="2014"/>
    <x v="42"/>
    <x v="0"/>
    <n v="179238"/>
    <x v="0"/>
    <n v="81730.61"/>
    <s v="Model Y"/>
    <x v="0"/>
    <x v="1"/>
    <x v="12"/>
    <n v="0.46"/>
    <x v="0"/>
  </r>
  <r>
    <n v="2437"/>
    <x v="6"/>
    <n v="2006"/>
    <x v="4"/>
    <x v="1"/>
    <n v="39369"/>
    <x v="1"/>
    <n v="72433.83"/>
    <s v="Camry"/>
    <x v="2"/>
    <x v="2"/>
    <x v="11"/>
    <n v="1.84"/>
    <x v="1"/>
  </r>
  <r>
    <n v="2438"/>
    <x v="1"/>
    <n v="2003"/>
    <x v="20"/>
    <x v="1"/>
    <n v="274805"/>
    <x v="1"/>
    <n v="69330.2"/>
    <s v="3 Series"/>
    <x v="1"/>
    <x v="1"/>
    <x v="21"/>
    <n v="0.25"/>
    <x v="0"/>
  </r>
  <r>
    <n v="2439"/>
    <x v="1"/>
    <n v="2000"/>
    <x v="42"/>
    <x v="0"/>
    <n v="146663"/>
    <x v="0"/>
    <n v="60767.46"/>
    <s v="X5"/>
    <x v="3"/>
    <x v="0"/>
    <x v="18"/>
    <n v="0.41"/>
    <x v="0"/>
  </r>
  <r>
    <n v="2440"/>
    <x v="2"/>
    <n v="2012"/>
    <x v="4"/>
    <x v="1"/>
    <n v="186307"/>
    <x v="0"/>
    <n v="73463.679999999993"/>
    <s v="A3"/>
    <x v="1"/>
    <x v="1"/>
    <x v="15"/>
    <n v="0.39"/>
    <x v="0"/>
  </r>
  <r>
    <n v="2441"/>
    <x v="0"/>
    <n v="2019"/>
    <x v="0"/>
    <x v="1"/>
    <n v="270114"/>
    <x v="2"/>
    <n v="45081.03"/>
    <s v="Model X"/>
    <x v="0"/>
    <x v="1"/>
    <x v="5"/>
    <n v="0.17"/>
    <x v="0"/>
  </r>
  <r>
    <n v="2442"/>
    <x v="0"/>
    <n v="2021"/>
    <x v="17"/>
    <x v="0"/>
    <n v="47922"/>
    <x v="2"/>
    <n v="85302.37"/>
    <s v="Model Y"/>
    <x v="0"/>
    <x v="2"/>
    <x v="20"/>
    <n v="1.78"/>
    <x v="0"/>
  </r>
  <r>
    <n v="2443"/>
    <x v="0"/>
    <n v="2006"/>
    <x v="47"/>
    <x v="1"/>
    <n v="292899"/>
    <x v="0"/>
    <n v="71152.87"/>
    <s v="Model S"/>
    <x v="0"/>
    <x v="1"/>
    <x v="11"/>
    <n v="0.24"/>
    <x v="0"/>
  </r>
  <r>
    <n v="2444"/>
    <x v="3"/>
    <n v="2014"/>
    <x v="24"/>
    <x v="0"/>
    <n v="120926"/>
    <x v="1"/>
    <n v="78269.05"/>
    <s v="Explorer"/>
    <x v="0"/>
    <x v="0"/>
    <x v="12"/>
    <n v="0.65"/>
    <x v="1"/>
  </r>
  <r>
    <n v="2445"/>
    <x v="4"/>
    <n v="2022"/>
    <x v="7"/>
    <x v="0"/>
    <n v="19416"/>
    <x v="0"/>
    <n v="80286.31"/>
    <s v="Civic"/>
    <x v="2"/>
    <x v="2"/>
    <x v="13"/>
    <n v="4.1399999999999997"/>
    <x v="1"/>
  </r>
  <r>
    <n v="2446"/>
    <x v="3"/>
    <n v="2013"/>
    <x v="2"/>
    <x v="0"/>
    <n v="13672"/>
    <x v="1"/>
    <n v="13746.65"/>
    <s v="Explorer"/>
    <x v="1"/>
    <x v="2"/>
    <x v="2"/>
    <n v="1.01"/>
    <x v="1"/>
  </r>
  <r>
    <n v="2447"/>
    <x v="5"/>
    <n v="2022"/>
    <x v="9"/>
    <x v="1"/>
    <n v="128145"/>
    <x v="1"/>
    <n v="10285.870000000001"/>
    <s v="GLA"/>
    <x v="1"/>
    <x v="0"/>
    <x v="13"/>
    <n v="0.08"/>
    <x v="0"/>
  </r>
  <r>
    <n v="2448"/>
    <x v="5"/>
    <n v="2018"/>
    <x v="39"/>
    <x v="1"/>
    <n v="178068"/>
    <x v="2"/>
    <n v="81093.66"/>
    <s v="C-Class"/>
    <x v="3"/>
    <x v="1"/>
    <x v="1"/>
    <n v="0.46"/>
    <x v="0"/>
  </r>
  <r>
    <n v="2449"/>
    <x v="4"/>
    <n v="2021"/>
    <x v="31"/>
    <x v="1"/>
    <n v="64"/>
    <x v="0"/>
    <n v="29641.48"/>
    <s v="Accord"/>
    <x v="2"/>
    <x v="2"/>
    <x v="20"/>
    <n v="463.15"/>
    <x v="1"/>
  </r>
  <r>
    <n v="2450"/>
    <x v="2"/>
    <n v="2023"/>
    <x v="43"/>
    <x v="1"/>
    <n v="68835"/>
    <x v="0"/>
    <n v="60287.13"/>
    <s v="A3"/>
    <x v="2"/>
    <x v="0"/>
    <x v="8"/>
    <n v="0.88"/>
    <x v="0"/>
  </r>
  <r>
    <n v="2451"/>
    <x v="4"/>
    <n v="2019"/>
    <x v="44"/>
    <x v="0"/>
    <n v="201457"/>
    <x v="1"/>
    <n v="47152.53"/>
    <s v="CR-V"/>
    <x v="2"/>
    <x v="1"/>
    <x v="5"/>
    <n v="0.23"/>
    <x v="1"/>
  </r>
  <r>
    <n v="2452"/>
    <x v="1"/>
    <n v="2023"/>
    <x v="26"/>
    <x v="0"/>
    <n v="247795"/>
    <x v="0"/>
    <n v="7093.72"/>
    <s v="X3"/>
    <x v="2"/>
    <x v="1"/>
    <x v="8"/>
    <n v="0.03"/>
    <x v="0"/>
  </r>
  <r>
    <n v="2453"/>
    <x v="5"/>
    <n v="2017"/>
    <x v="19"/>
    <x v="1"/>
    <n v="116916"/>
    <x v="2"/>
    <n v="8826.7199999999993"/>
    <s v="C-Class"/>
    <x v="3"/>
    <x v="0"/>
    <x v="7"/>
    <n v="0.08"/>
    <x v="0"/>
  </r>
  <r>
    <n v="2454"/>
    <x v="6"/>
    <n v="2009"/>
    <x v="14"/>
    <x v="0"/>
    <n v="195346"/>
    <x v="2"/>
    <n v="83576.899999999994"/>
    <s v="Corolla"/>
    <x v="0"/>
    <x v="1"/>
    <x v="4"/>
    <n v="0.43"/>
    <x v="1"/>
  </r>
  <r>
    <n v="2455"/>
    <x v="6"/>
    <n v="2008"/>
    <x v="26"/>
    <x v="1"/>
    <n v="273010"/>
    <x v="0"/>
    <n v="62729.37"/>
    <s v="Prius"/>
    <x v="2"/>
    <x v="1"/>
    <x v="22"/>
    <n v="0.23"/>
    <x v="1"/>
  </r>
  <r>
    <n v="2456"/>
    <x v="2"/>
    <n v="2007"/>
    <x v="17"/>
    <x v="0"/>
    <n v="3889"/>
    <x v="0"/>
    <n v="54765.09"/>
    <s v="Q7"/>
    <x v="3"/>
    <x v="2"/>
    <x v="17"/>
    <n v="14.08"/>
    <x v="0"/>
  </r>
  <r>
    <n v="2457"/>
    <x v="1"/>
    <n v="2009"/>
    <x v="34"/>
    <x v="0"/>
    <n v="118194"/>
    <x v="2"/>
    <n v="94713.45"/>
    <s v="5 Series"/>
    <x v="0"/>
    <x v="0"/>
    <x v="4"/>
    <n v="0.8"/>
    <x v="0"/>
  </r>
  <r>
    <n v="2458"/>
    <x v="3"/>
    <n v="2016"/>
    <x v="50"/>
    <x v="0"/>
    <n v="124714"/>
    <x v="0"/>
    <n v="21445.93"/>
    <s v="Explorer"/>
    <x v="0"/>
    <x v="0"/>
    <x v="0"/>
    <n v="0.17"/>
    <x v="1"/>
  </r>
  <r>
    <n v="2459"/>
    <x v="1"/>
    <n v="2001"/>
    <x v="26"/>
    <x v="0"/>
    <n v="31335"/>
    <x v="1"/>
    <n v="29507.23"/>
    <s v="5 Series"/>
    <x v="3"/>
    <x v="2"/>
    <x v="10"/>
    <n v="0.94"/>
    <x v="0"/>
  </r>
  <r>
    <n v="2460"/>
    <x v="6"/>
    <n v="2005"/>
    <x v="30"/>
    <x v="0"/>
    <n v="50547"/>
    <x v="0"/>
    <n v="76890.210000000006"/>
    <s v="Corolla"/>
    <x v="2"/>
    <x v="0"/>
    <x v="14"/>
    <n v="1.52"/>
    <x v="1"/>
  </r>
  <r>
    <n v="2461"/>
    <x v="6"/>
    <n v="2004"/>
    <x v="23"/>
    <x v="1"/>
    <n v="157234"/>
    <x v="1"/>
    <n v="78647.350000000006"/>
    <s v="Prius"/>
    <x v="0"/>
    <x v="1"/>
    <x v="19"/>
    <n v="0.5"/>
    <x v="1"/>
  </r>
  <r>
    <n v="2462"/>
    <x v="5"/>
    <n v="2008"/>
    <x v="41"/>
    <x v="1"/>
    <n v="220521"/>
    <x v="0"/>
    <n v="43465.23"/>
    <s v="E-Class"/>
    <x v="2"/>
    <x v="1"/>
    <x v="22"/>
    <n v="0.2"/>
    <x v="0"/>
  </r>
  <r>
    <n v="2463"/>
    <x v="1"/>
    <n v="2004"/>
    <x v="33"/>
    <x v="0"/>
    <n v="155759"/>
    <x v="0"/>
    <n v="95342.95"/>
    <s v="X3"/>
    <x v="2"/>
    <x v="1"/>
    <x v="19"/>
    <n v="0.61"/>
    <x v="0"/>
  </r>
  <r>
    <n v="2464"/>
    <x v="1"/>
    <n v="2017"/>
    <x v="47"/>
    <x v="1"/>
    <n v="273139"/>
    <x v="2"/>
    <n v="94134.18"/>
    <s v="3 Series"/>
    <x v="1"/>
    <x v="1"/>
    <x v="7"/>
    <n v="0.34"/>
    <x v="0"/>
  </r>
  <r>
    <n v="2465"/>
    <x v="6"/>
    <n v="2019"/>
    <x v="2"/>
    <x v="0"/>
    <n v="2631"/>
    <x v="1"/>
    <n v="6178.92"/>
    <s v="Prius"/>
    <x v="2"/>
    <x v="2"/>
    <x v="5"/>
    <n v="2.35"/>
    <x v="1"/>
  </r>
  <r>
    <n v="2466"/>
    <x v="3"/>
    <n v="2008"/>
    <x v="31"/>
    <x v="0"/>
    <n v="137039"/>
    <x v="2"/>
    <n v="21371.15"/>
    <s v="Explorer"/>
    <x v="1"/>
    <x v="0"/>
    <x v="22"/>
    <n v="0.16"/>
    <x v="1"/>
  </r>
  <r>
    <n v="2467"/>
    <x v="2"/>
    <n v="2016"/>
    <x v="10"/>
    <x v="0"/>
    <n v="64471"/>
    <x v="0"/>
    <n v="82920.850000000006"/>
    <s v="Q7"/>
    <x v="0"/>
    <x v="0"/>
    <x v="0"/>
    <n v="1.29"/>
    <x v="0"/>
  </r>
  <r>
    <n v="2468"/>
    <x v="0"/>
    <n v="2016"/>
    <x v="9"/>
    <x v="0"/>
    <n v="299260"/>
    <x v="2"/>
    <n v="36845.589999999997"/>
    <s v="Model Y"/>
    <x v="0"/>
    <x v="1"/>
    <x v="0"/>
    <n v="0.12"/>
    <x v="0"/>
  </r>
  <r>
    <n v="2469"/>
    <x v="2"/>
    <n v="2011"/>
    <x v="47"/>
    <x v="1"/>
    <n v="133014"/>
    <x v="0"/>
    <n v="14068.95"/>
    <s v="Q7"/>
    <x v="1"/>
    <x v="0"/>
    <x v="3"/>
    <n v="0.11"/>
    <x v="0"/>
  </r>
  <r>
    <n v="2470"/>
    <x v="1"/>
    <n v="2006"/>
    <x v="12"/>
    <x v="0"/>
    <n v="47664"/>
    <x v="0"/>
    <n v="79574.92"/>
    <s v="X3"/>
    <x v="3"/>
    <x v="2"/>
    <x v="11"/>
    <n v="1.67"/>
    <x v="0"/>
  </r>
  <r>
    <n v="2471"/>
    <x v="2"/>
    <n v="2002"/>
    <x v="34"/>
    <x v="1"/>
    <n v="159141"/>
    <x v="0"/>
    <n v="48185.43"/>
    <s v="Q7"/>
    <x v="0"/>
    <x v="1"/>
    <x v="23"/>
    <n v="0.3"/>
    <x v="0"/>
  </r>
  <r>
    <n v="2472"/>
    <x v="6"/>
    <n v="2009"/>
    <x v="17"/>
    <x v="0"/>
    <n v="87342"/>
    <x v="1"/>
    <n v="51779.02"/>
    <s v="Corolla"/>
    <x v="2"/>
    <x v="0"/>
    <x v="4"/>
    <n v="0.59"/>
    <x v="1"/>
  </r>
  <r>
    <n v="2473"/>
    <x v="6"/>
    <n v="2001"/>
    <x v="9"/>
    <x v="0"/>
    <n v="14407"/>
    <x v="1"/>
    <n v="22705.09"/>
    <s v="Prius"/>
    <x v="0"/>
    <x v="2"/>
    <x v="10"/>
    <n v="1.58"/>
    <x v="1"/>
  </r>
  <r>
    <n v="2474"/>
    <x v="1"/>
    <n v="2002"/>
    <x v="26"/>
    <x v="1"/>
    <n v="113926"/>
    <x v="1"/>
    <n v="67785.03"/>
    <s v="X3"/>
    <x v="3"/>
    <x v="0"/>
    <x v="23"/>
    <n v="0.59"/>
    <x v="0"/>
  </r>
  <r>
    <n v="2475"/>
    <x v="1"/>
    <n v="2015"/>
    <x v="7"/>
    <x v="0"/>
    <n v="213053"/>
    <x v="2"/>
    <n v="57367.93"/>
    <s v="X3"/>
    <x v="0"/>
    <x v="1"/>
    <x v="16"/>
    <n v="0.27"/>
    <x v="0"/>
  </r>
  <r>
    <n v="2476"/>
    <x v="0"/>
    <n v="2001"/>
    <x v="32"/>
    <x v="0"/>
    <n v="17878"/>
    <x v="0"/>
    <n v="24633.93"/>
    <s v="Model X"/>
    <x v="0"/>
    <x v="2"/>
    <x v="10"/>
    <n v="1.38"/>
    <x v="0"/>
  </r>
  <r>
    <n v="2477"/>
    <x v="0"/>
    <n v="2023"/>
    <x v="3"/>
    <x v="1"/>
    <n v="83100"/>
    <x v="2"/>
    <n v="37331.49"/>
    <s v="Model X"/>
    <x v="0"/>
    <x v="0"/>
    <x v="8"/>
    <n v="0.45"/>
    <x v="0"/>
  </r>
  <r>
    <n v="2478"/>
    <x v="5"/>
    <n v="2009"/>
    <x v="30"/>
    <x v="1"/>
    <n v="223059"/>
    <x v="2"/>
    <n v="61703.53"/>
    <s v="GLC"/>
    <x v="2"/>
    <x v="1"/>
    <x v="4"/>
    <n v="0.28000000000000003"/>
    <x v="0"/>
  </r>
  <r>
    <n v="2479"/>
    <x v="1"/>
    <n v="2005"/>
    <x v="44"/>
    <x v="1"/>
    <n v="43168"/>
    <x v="0"/>
    <n v="92862.86"/>
    <s v="X3"/>
    <x v="1"/>
    <x v="2"/>
    <x v="14"/>
    <n v="2.15"/>
    <x v="0"/>
  </r>
  <r>
    <n v="2480"/>
    <x v="3"/>
    <n v="2021"/>
    <x v="50"/>
    <x v="0"/>
    <n v="250396"/>
    <x v="2"/>
    <n v="92435.75"/>
    <s v="Focus"/>
    <x v="3"/>
    <x v="1"/>
    <x v="20"/>
    <n v="0.37"/>
    <x v="1"/>
  </r>
  <r>
    <n v="2481"/>
    <x v="2"/>
    <n v="2010"/>
    <x v="0"/>
    <x v="0"/>
    <n v="250481"/>
    <x v="0"/>
    <n v="32351.06"/>
    <s v="A4"/>
    <x v="2"/>
    <x v="1"/>
    <x v="9"/>
    <n v="0.13"/>
    <x v="0"/>
  </r>
  <r>
    <n v="2482"/>
    <x v="1"/>
    <n v="2022"/>
    <x v="47"/>
    <x v="1"/>
    <n v="28004"/>
    <x v="0"/>
    <n v="74883.990000000005"/>
    <s v="3 Series"/>
    <x v="2"/>
    <x v="2"/>
    <x v="13"/>
    <n v="2.67"/>
    <x v="0"/>
  </r>
  <r>
    <n v="2483"/>
    <x v="4"/>
    <n v="2006"/>
    <x v="0"/>
    <x v="1"/>
    <n v="282615"/>
    <x v="0"/>
    <n v="78674.31"/>
    <s v="Civic"/>
    <x v="0"/>
    <x v="1"/>
    <x v="11"/>
    <n v="0.28000000000000003"/>
    <x v="1"/>
  </r>
  <r>
    <n v="2484"/>
    <x v="5"/>
    <n v="2014"/>
    <x v="35"/>
    <x v="0"/>
    <n v="91820"/>
    <x v="0"/>
    <n v="81838.19"/>
    <s v="GLA"/>
    <x v="1"/>
    <x v="0"/>
    <x v="12"/>
    <n v="0.89"/>
    <x v="0"/>
  </r>
  <r>
    <n v="2485"/>
    <x v="4"/>
    <n v="2005"/>
    <x v="8"/>
    <x v="0"/>
    <n v="191239"/>
    <x v="2"/>
    <n v="59222.42"/>
    <s v="Civic"/>
    <x v="2"/>
    <x v="1"/>
    <x v="14"/>
    <n v="0.31"/>
    <x v="1"/>
  </r>
  <r>
    <n v="2486"/>
    <x v="6"/>
    <n v="2019"/>
    <x v="3"/>
    <x v="1"/>
    <n v="102229"/>
    <x v="2"/>
    <n v="5998.26"/>
    <s v="Prius"/>
    <x v="1"/>
    <x v="0"/>
    <x v="5"/>
    <n v="0.06"/>
    <x v="1"/>
  </r>
  <r>
    <n v="2487"/>
    <x v="0"/>
    <n v="2008"/>
    <x v="19"/>
    <x v="1"/>
    <n v="14568"/>
    <x v="2"/>
    <n v="77359.25"/>
    <s v="Model 3"/>
    <x v="0"/>
    <x v="2"/>
    <x v="22"/>
    <n v="5.31"/>
    <x v="0"/>
  </r>
  <r>
    <n v="2488"/>
    <x v="2"/>
    <n v="2021"/>
    <x v="25"/>
    <x v="1"/>
    <n v="9466"/>
    <x v="1"/>
    <n v="15126.76"/>
    <s v="A3"/>
    <x v="0"/>
    <x v="2"/>
    <x v="20"/>
    <n v="1.6"/>
    <x v="0"/>
  </r>
  <r>
    <n v="2489"/>
    <x v="1"/>
    <n v="2019"/>
    <x v="44"/>
    <x v="1"/>
    <n v="222129"/>
    <x v="2"/>
    <n v="16102.78"/>
    <s v="X3"/>
    <x v="2"/>
    <x v="1"/>
    <x v="5"/>
    <n v="7.0000000000000007E-2"/>
    <x v="0"/>
  </r>
  <r>
    <n v="2490"/>
    <x v="4"/>
    <n v="2011"/>
    <x v="11"/>
    <x v="0"/>
    <n v="57324"/>
    <x v="2"/>
    <n v="62534.36"/>
    <s v="Fit"/>
    <x v="0"/>
    <x v="0"/>
    <x v="3"/>
    <n v="1.0900000000000001"/>
    <x v="1"/>
  </r>
  <r>
    <n v="2491"/>
    <x v="2"/>
    <n v="2018"/>
    <x v="5"/>
    <x v="0"/>
    <n v="146539"/>
    <x v="1"/>
    <n v="98434.45"/>
    <s v="Q5"/>
    <x v="3"/>
    <x v="0"/>
    <x v="1"/>
    <n v="0.67"/>
    <x v="0"/>
  </r>
  <r>
    <n v="2492"/>
    <x v="6"/>
    <n v="2019"/>
    <x v="26"/>
    <x v="0"/>
    <n v="75955"/>
    <x v="0"/>
    <n v="28041.25"/>
    <s v="Prius"/>
    <x v="3"/>
    <x v="0"/>
    <x v="5"/>
    <n v="0.37"/>
    <x v="1"/>
  </r>
  <r>
    <n v="2493"/>
    <x v="0"/>
    <n v="2002"/>
    <x v="46"/>
    <x v="0"/>
    <n v="147748"/>
    <x v="0"/>
    <n v="66352.03"/>
    <s v="Model X"/>
    <x v="0"/>
    <x v="0"/>
    <x v="23"/>
    <n v="0.45"/>
    <x v="0"/>
  </r>
  <r>
    <n v="2494"/>
    <x v="3"/>
    <n v="2014"/>
    <x v="49"/>
    <x v="1"/>
    <n v="94791"/>
    <x v="0"/>
    <n v="33847.1"/>
    <s v="Focus"/>
    <x v="1"/>
    <x v="0"/>
    <x v="12"/>
    <n v="0.36"/>
    <x v="1"/>
  </r>
  <r>
    <n v="2495"/>
    <x v="5"/>
    <n v="2001"/>
    <x v="0"/>
    <x v="0"/>
    <n v="162586"/>
    <x v="1"/>
    <n v="90378.98"/>
    <s v="E-Class"/>
    <x v="2"/>
    <x v="1"/>
    <x v="10"/>
    <n v="0.56000000000000005"/>
    <x v="0"/>
  </r>
  <r>
    <n v="2496"/>
    <x v="2"/>
    <n v="2020"/>
    <x v="5"/>
    <x v="1"/>
    <n v="22650"/>
    <x v="2"/>
    <n v="61384.1"/>
    <s v="Q5"/>
    <x v="2"/>
    <x v="2"/>
    <x v="6"/>
    <n v="2.71"/>
    <x v="0"/>
  </r>
  <r>
    <n v="2497"/>
    <x v="2"/>
    <n v="2001"/>
    <x v="8"/>
    <x v="0"/>
    <n v="77701"/>
    <x v="2"/>
    <n v="24710.35"/>
    <s v="A3"/>
    <x v="3"/>
    <x v="0"/>
    <x v="10"/>
    <n v="0.32"/>
    <x v="0"/>
  </r>
  <r>
    <n v="2498"/>
    <x v="3"/>
    <n v="2021"/>
    <x v="16"/>
    <x v="0"/>
    <n v="272827"/>
    <x v="2"/>
    <n v="29902.45"/>
    <s v="Fiesta"/>
    <x v="3"/>
    <x v="1"/>
    <x v="20"/>
    <n v="0.11"/>
    <x v="1"/>
  </r>
  <r>
    <n v="2499"/>
    <x v="2"/>
    <n v="2002"/>
    <x v="2"/>
    <x v="0"/>
    <n v="229164"/>
    <x v="2"/>
    <n v="46085.67"/>
    <s v="Q5"/>
    <x v="1"/>
    <x v="1"/>
    <x v="23"/>
    <n v="0.2"/>
    <x v="0"/>
  </r>
  <r>
    <n v="2500"/>
    <x v="6"/>
    <n v="2005"/>
    <x v="25"/>
    <x v="1"/>
    <n v="80978"/>
    <x v="1"/>
    <n v="16594.14"/>
    <s v="RAV4"/>
    <x v="1"/>
    <x v="0"/>
    <x v="14"/>
    <n v="0.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04A2C-DB70-4C11-BDF5-0A845FBC5E9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9:I81" firstHeaderRow="1" firstDataRow="1" firstDataCol="1"/>
  <pivotFields count="14">
    <pivotField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axis="axisRow" showAll="0">
      <items count="52">
        <item x="22"/>
        <item x="16"/>
        <item x="50"/>
        <item x="29"/>
        <item x="30"/>
        <item x="9"/>
        <item x="44"/>
        <item x="47"/>
        <item x="10"/>
        <item x="20"/>
        <item x="13"/>
        <item x="28"/>
        <item x="27"/>
        <item x="0"/>
        <item x="5"/>
        <item x="41"/>
        <item x="4"/>
        <item x="46"/>
        <item x="36"/>
        <item x="35"/>
        <item x="15"/>
        <item x="40"/>
        <item x="23"/>
        <item x="17"/>
        <item x="48"/>
        <item x="42"/>
        <item x="34"/>
        <item x="33"/>
        <item x="45"/>
        <item x="14"/>
        <item x="6"/>
        <item x="3"/>
        <item x="26"/>
        <item x="38"/>
        <item x="1"/>
        <item x="2"/>
        <item x="25"/>
        <item x="11"/>
        <item x="43"/>
        <item x="39"/>
        <item x="31"/>
        <item x="32"/>
        <item x="19"/>
        <item x="7"/>
        <item x="12"/>
        <item x="37"/>
        <item x="24"/>
        <item x="8"/>
        <item x="18"/>
        <item x="21"/>
        <item x="49"/>
        <item t="default"/>
      </items>
    </pivotField>
    <pivotField showAll="0"/>
    <pivotField showAll="0"/>
    <pivotField showAll="0"/>
    <pivotField dataField="1"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3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F635C-4CB2-4EEB-9749-32D09CC2385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Price" fld="7" subtotal="average" baseField="13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1D56E-AAA9-496E-A2BD-A9E5C618104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Q74:T83" firstHeaderRow="1" firstDataRow="2" firstDataCol="1"/>
  <pivotFields count="14">
    <pivotField dataField="1" showAll="0"/>
    <pivotField axis="axisRow"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Car ID" fld="0" subtotal="count" baseField="1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A2A90-6B7A-4FF4-9152-5D064AE6EB0A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5:AO39" firstHeaderRow="1" firstDataRow="2" firstDataCol="1"/>
  <pivotFields count="14">
    <pivotField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axis="axisCol" showAll="0">
      <items count="25">
        <item x="8"/>
        <item x="13"/>
        <item x="20"/>
        <item x="6"/>
        <item x="5"/>
        <item x="1"/>
        <item x="7"/>
        <item x="0"/>
        <item x="16"/>
        <item x="12"/>
        <item x="2"/>
        <item x="15"/>
        <item x="3"/>
        <item x="9"/>
        <item x="4"/>
        <item x="22"/>
        <item x="17"/>
        <item x="11"/>
        <item x="14"/>
        <item x="19"/>
        <item x="21"/>
        <item x="23"/>
        <item x="10"/>
        <item x="18"/>
        <item t="default"/>
      </items>
    </pivotField>
    <pivotField showAll="0"/>
    <pivotField axis="axisRow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1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 of 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78A37-9D7F-4DFA-A0FA-FCAAEF50C68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E7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Items count="1">
    <i/>
  </rowItems>
  <colItems count="1">
    <i/>
  </colItems>
  <dataFields count="1">
    <dataField name="Average of Price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1D212-5007-48BC-8823-794E98563B0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7:F25" firstHeaderRow="1" firstDataRow="1" firstDataCol="1"/>
  <pivotFields count="14">
    <pivotField showAll="0"/>
    <pivotField axis="axisRow" showAll="0" sortType="descending">
      <items count="8">
        <item x="2"/>
        <item x="1"/>
        <item x="3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</pivotFields>
  <rowFields count="1">
    <field x="1"/>
  </rowFields>
  <rowItems count="8">
    <i>
      <x/>
    </i>
    <i>
      <x v="4"/>
    </i>
    <i>
      <x v="6"/>
    </i>
    <i>
      <x v="1"/>
    </i>
    <i>
      <x v="3"/>
    </i>
    <i>
      <x v="5"/>
    </i>
    <i>
      <x v="2"/>
    </i>
    <i t="grand">
      <x/>
    </i>
  </rowItems>
  <colItems count="1">
    <i/>
  </colItems>
  <dataFields count="1">
    <dataField name="Average of Price Per Kilometer" fld="12" subtotal="average" baseField="13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26622-F87C-41CB-9C02-47E15AAAE56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62:BP68" firstHeaderRow="1" firstDataRow="2" firstDataCol="1"/>
  <pivotFields count="14">
    <pivotField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axis="axisCol" showAll="0">
      <items count="52">
        <item x="22"/>
        <item x="16"/>
        <item x="50"/>
        <item x="29"/>
        <item x="30"/>
        <item x="9"/>
        <item x="44"/>
        <item x="47"/>
        <item x="10"/>
        <item x="20"/>
        <item x="13"/>
        <item x="28"/>
        <item x="27"/>
        <item x="0"/>
        <item x="5"/>
        <item x="41"/>
        <item x="4"/>
        <item x="46"/>
        <item x="36"/>
        <item x="35"/>
        <item x="15"/>
        <item x="40"/>
        <item x="23"/>
        <item x="17"/>
        <item x="48"/>
        <item x="42"/>
        <item x="34"/>
        <item x="33"/>
        <item x="45"/>
        <item x="14"/>
        <item x="6"/>
        <item x="3"/>
        <item x="26"/>
        <item x="38"/>
        <item x="1"/>
        <item x="2"/>
        <item x="25"/>
        <item x="11"/>
        <item x="43"/>
        <item x="39"/>
        <item x="31"/>
        <item x="32"/>
        <item x="19"/>
        <item x="7"/>
        <item x="12"/>
        <item x="37"/>
        <item x="24"/>
        <item x="8"/>
        <item x="18"/>
        <item x="21"/>
        <item x="49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dataField="1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colItems>
  <dataFields count="1">
    <dataField name="Sum of Price" fld="7" baseField="6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73CEC-43F1-41B1-A148-8D1734528D88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A41" firstHeaderRow="1" firstDataRow="1" firstDataCol="0"/>
  <pivotFields count="14">
    <pivotField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25">
        <item x="8"/>
        <item x="13"/>
        <item x="20"/>
        <item x="6"/>
        <item x="5"/>
        <item x="1"/>
        <item x="7"/>
        <item x="0"/>
        <item x="16"/>
        <item x="12"/>
        <item x="2"/>
        <item x="15"/>
        <item x="3"/>
        <item x="9"/>
        <item x="4"/>
        <item x="22"/>
        <item x="17"/>
        <item x="11"/>
        <item x="14"/>
        <item x="19"/>
        <item x="21"/>
        <item x="23"/>
        <item x="10"/>
        <item x="18"/>
        <item t="default"/>
      </items>
    </pivotField>
    <pivotField showAll="0"/>
    <pivotField showAll="0">
      <items count="3">
        <item x="1"/>
        <item x="0"/>
        <item t="default"/>
      </items>
    </pivotField>
  </pivotFields>
  <rowItems count="1">
    <i/>
  </rowItems>
  <colItems count="1">
    <i/>
  </colItems>
  <dataFields count="1">
    <dataField name="Sum of 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CE3F4-CCA8-4B83-9C14-B76C8E4B211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E10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</pivotFields>
  <rowItems count="1">
    <i/>
  </rowItems>
  <colItems count="1">
    <i/>
  </colItems>
  <dataFields count="1">
    <dataField name="Average of Age of Vehicle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A53F7-D4C4-4428-B862-CCC8FE47E56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1:B3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5">
        <item x="8"/>
        <item x="13"/>
        <item x="20"/>
        <item x="6"/>
        <item x="5"/>
        <item x="1"/>
        <item x="7"/>
        <item x="0"/>
        <item x="16"/>
        <item x="12"/>
        <item x="2"/>
        <item x="15"/>
        <item x="3"/>
        <item x="9"/>
        <item x="4"/>
        <item x="22"/>
        <item x="17"/>
        <item x="11"/>
        <item x="14"/>
        <item x="19"/>
        <item x="21"/>
        <item x="23"/>
        <item x="10"/>
        <item x="18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1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Price" fld="7" subtotal="average" baseField="13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898B7-9FFD-43DE-89F0-3B5E574EA59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9:F34" firstHeaderRow="1" firstDataRow="1" firstDataCol="1"/>
  <pivotFields count="14">
    <pivotField dataField="1"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r ID" fld="0" subtotal="count" showDataAs="percentOfTotal" baseField="9" baseItem="1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8C51C-7A4D-4272-814B-2E8BD3DAA86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Items count="1">
    <i/>
  </rowItems>
  <colItems count="1">
    <i/>
  </colItems>
  <dataFields count="1">
    <dataField name="Sum of Price" fld="7" baseField="1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62DEA-06AD-406A-812E-41971B53401F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P48:T53" firstHeaderRow="1" firstDataRow="2" firstDataCol="1"/>
  <pivotFields count="14">
    <pivotField showAll="0"/>
    <pivotField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>
      <items count="5">
        <item x="1"/>
        <item x="0"/>
        <item x="3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Price" fld="7" baseField="6" baseItem="1" numFmtId="16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BE366E-86D6-4736-9DDB-A8CD7CDCFD0D}" autoFormatId="16" applyNumberFormats="0" applyBorderFormats="0" applyFontFormats="0" applyPatternFormats="0" applyAlignmentFormats="0" applyWidthHeightFormats="0">
  <queryTableRefresh nextId="15">
    <queryTableFields count="14">
      <queryTableField id="1" name="Car ID" tableColumnId="1"/>
      <queryTableField id="2" name="Brand" tableColumnId="2"/>
      <queryTableField id="3" name="Year" tableColumnId="3"/>
      <queryTableField id="4" name="Engine Size" tableColumnId="4"/>
      <queryTableField id="5" name="Transmission" tableColumnId="5"/>
      <queryTableField id="6" name="Mileage" tableColumnId="6"/>
      <queryTableField id="7" name="Condition" tableColumnId="7"/>
      <queryTableField id="8" name="Price" tableColumnId="8"/>
      <queryTableField id="9" name="Model" tableColumnId="9"/>
      <queryTableField id="10" name="Fuel Type" tableColumnId="10"/>
      <queryTableField id="11" name="Mileage Category" tableColumnId="11"/>
      <queryTableField id="12" name="Age of Vehicle" tableColumnId="12"/>
      <queryTableField id="13" name="Price Per Kilometer" tableColumnId="13"/>
      <queryTableField id="14" name="Brand Grouping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C73AB-7141-4D75-A83C-E370AFDF3C83}" name="car_price_prediction_" displayName="car_price_prediction_" ref="A1:N2501" tableType="queryTable" totalsRowShown="0">
  <autoFilter ref="A1:N2501" xr:uid="{40AC73AB-7141-4D75-A83C-E370AFDF3C83}"/>
  <tableColumns count="14">
    <tableColumn id="1" xr3:uid="{8E36CE7A-A471-4F4C-98EB-0F5A4891A0A3}" uniqueName="1" name="Car ID" queryTableFieldId="1"/>
    <tableColumn id="2" xr3:uid="{1AF6DD6C-7568-454C-A47E-8C291814D5B4}" uniqueName="2" name="Brand" queryTableFieldId="2" dataDxfId="6"/>
    <tableColumn id="3" xr3:uid="{42B0E4AB-89F8-4315-A4AB-C0B124526017}" uniqueName="3" name="Year" queryTableFieldId="3"/>
    <tableColumn id="4" xr3:uid="{FD21467F-FA6F-4432-842E-797662BA328F}" uniqueName="4" name="Engine Size" queryTableFieldId="4"/>
    <tableColumn id="5" xr3:uid="{B23876CB-B9D1-4797-8ADF-690D4B0E7347}" uniqueName="5" name="Transmission" queryTableFieldId="5" dataDxfId="5"/>
    <tableColumn id="6" xr3:uid="{789E2708-4BDA-4EE4-ADB9-DE1D249234A7}" uniqueName="6" name="Mileage" queryTableFieldId="6"/>
    <tableColumn id="7" xr3:uid="{CA111493-52D0-41DE-A2A9-2BD283B79DBB}" uniqueName="7" name="Condition" queryTableFieldId="7" dataDxfId="4"/>
    <tableColumn id="8" xr3:uid="{8C3A13C0-735C-4569-BCDA-5F112F771A5C}" uniqueName="8" name="Price" queryTableFieldId="8"/>
    <tableColumn id="9" xr3:uid="{4AFB4495-9D96-48EB-B14C-DC39199B3651}" uniqueName="9" name="Model" queryTableFieldId="9" dataDxfId="3"/>
    <tableColumn id="10" xr3:uid="{9F00450D-BE55-4E2B-BCDE-9069446FAE9B}" uniqueName="10" name="Fuel Type" queryTableFieldId="10" dataDxfId="2"/>
    <tableColumn id="11" xr3:uid="{C665023B-A5BE-4E0D-AA8D-57E78AF085E1}" uniqueName="11" name="Mileage Category" queryTableFieldId="11" dataDxfId="1"/>
    <tableColumn id="12" xr3:uid="{F3FC9CA3-A375-44DA-979B-B93C978644E7}" uniqueName="12" name="Age of Vehicle" queryTableFieldId="12"/>
    <tableColumn id="13" xr3:uid="{81679238-B1B7-46EC-B9E8-B5438D14A7F7}" uniqueName="13" name="Price Per Kilometer" queryTableFieldId="13"/>
    <tableColumn id="14" xr3:uid="{D6F449F8-0EB8-4009-B2B3-04ACBA4D4412}" uniqueName="14" name="Brand Grouping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CF46-C1BE-47D9-9D5D-DAF215ADBE5E}">
  <dimension ref="A3:BP83"/>
  <sheetViews>
    <sheetView topLeftCell="A4" zoomScaleNormal="100" workbookViewId="0">
      <selection activeCell="F18" sqref="F18"/>
    </sheetView>
  </sheetViews>
  <sheetFormatPr defaultRowHeight="15" x14ac:dyDescent="0.25"/>
  <cols>
    <col min="1" max="3" width="12" bestFit="1" customWidth="1"/>
    <col min="5" max="5" width="13.140625" bestFit="1" customWidth="1"/>
    <col min="6" max="6" width="15.28515625" customWidth="1"/>
    <col min="7" max="7" width="16.85546875" customWidth="1"/>
    <col min="8" max="8" width="13.140625" bestFit="1" customWidth="1"/>
    <col min="9" max="9" width="12" bestFit="1" customWidth="1"/>
    <col min="16" max="16" width="13.140625" bestFit="1" customWidth="1"/>
    <col min="17" max="17" width="14.28515625" bestFit="1" customWidth="1"/>
    <col min="18" max="18" width="16.28515625" bestFit="1" customWidth="1"/>
    <col min="19" max="20" width="17.85546875" customWidth="1"/>
    <col min="21" max="21" width="11.28515625" bestFit="1" customWidth="1"/>
    <col min="22" max="67" width="10.140625" bestFit="1" customWidth="1"/>
    <col min="68" max="68" width="12.140625" bestFit="1" customWidth="1"/>
  </cols>
  <sheetData>
    <row r="3" spans="1:8" x14ac:dyDescent="0.25">
      <c r="A3" s="1" t="s">
        <v>63</v>
      </c>
      <c r="B3" t="s">
        <v>66</v>
      </c>
      <c r="E3" t="s">
        <v>65</v>
      </c>
    </row>
    <row r="4" spans="1:8" x14ac:dyDescent="0.25">
      <c r="A4" s="2" t="s">
        <v>33</v>
      </c>
      <c r="B4" s="3">
        <v>51912.398630009375</v>
      </c>
      <c r="E4" s="3">
        <v>131595056.33</v>
      </c>
    </row>
    <row r="5" spans="1:8" x14ac:dyDescent="0.25">
      <c r="A5" s="2" t="s">
        <v>20</v>
      </c>
      <c r="B5" s="3">
        <v>53183.638822705041</v>
      </c>
      <c r="E5" t="s">
        <v>67</v>
      </c>
      <c r="G5" s="4">
        <f>GETPIVOTDATA("Price",$E$3)</f>
        <v>131595056.33</v>
      </c>
    </row>
    <row r="6" spans="1:8" x14ac:dyDescent="0.25">
      <c r="A6" s="2" t="s">
        <v>64</v>
      </c>
      <c r="B6" s="3">
        <v>52638.022532000134</v>
      </c>
      <c r="E6" t="s">
        <v>66</v>
      </c>
    </row>
    <row r="7" spans="1:8" x14ac:dyDescent="0.25">
      <c r="E7" s="3">
        <v>52638.022532000003</v>
      </c>
    </row>
    <row r="8" spans="1:8" x14ac:dyDescent="0.25">
      <c r="E8" t="s">
        <v>68</v>
      </c>
      <c r="G8" s="4">
        <f>GETPIVOTDATA("Price",$E$6)</f>
        <v>52638.022532000003</v>
      </c>
    </row>
    <row r="9" spans="1:8" x14ac:dyDescent="0.25">
      <c r="E9" t="s">
        <v>69</v>
      </c>
    </row>
    <row r="10" spans="1:8" x14ac:dyDescent="0.25">
      <c r="E10">
        <v>14.373200000000001</v>
      </c>
    </row>
    <row r="11" spans="1:8" x14ac:dyDescent="0.25">
      <c r="A11" s="1" t="s">
        <v>63</v>
      </c>
      <c r="B11" t="s">
        <v>66</v>
      </c>
      <c r="E11" t="s">
        <v>70</v>
      </c>
      <c r="G11" s="6">
        <f>GETPIVOTDATA("Age of Vehicle",$E$9)</f>
        <v>14.373200000000001</v>
      </c>
    </row>
    <row r="12" spans="1:8" x14ac:dyDescent="0.25">
      <c r="A12" s="2">
        <v>3</v>
      </c>
      <c r="B12" s="3">
        <v>51328.692718446604</v>
      </c>
    </row>
    <row r="13" spans="1:8" x14ac:dyDescent="0.25">
      <c r="A13" s="2">
        <v>4</v>
      </c>
      <c r="B13" s="3">
        <v>54656.139553571404</v>
      </c>
      <c r="E13" t="s">
        <v>72</v>
      </c>
      <c r="F13" t="str">
        <f>E18</f>
        <v>Audi</v>
      </c>
      <c r="G13" s="5">
        <f>GETPIVOTDATA("Price Per Kilometer",$E$17,"Brand","Audi")</f>
        <v>9.6251086956521767</v>
      </c>
      <c r="H13" t="s">
        <v>12</v>
      </c>
    </row>
    <row r="14" spans="1:8" x14ac:dyDescent="0.25">
      <c r="A14" s="2">
        <v>5</v>
      </c>
      <c r="B14" s="3">
        <v>48819.715089285724</v>
      </c>
    </row>
    <row r="15" spans="1:8" x14ac:dyDescent="0.25">
      <c r="A15" s="2">
        <v>6</v>
      </c>
      <c r="B15" s="3">
        <v>48281.739426229513</v>
      </c>
    </row>
    <row r="16" spans="1:8" x14ac:dyDescent="0.25">
      <c r="A16" s="2">
        <v>7</v>
      </c>
      <c r="B16" s="3">
        <v>49848.33902912624</v>
      </c>
    </row>
    <row r="17" spans="1:9" x14ac:dyDescent="0.25">
      <c r="A17" s="2">
        <v>8</v>
      </c>
      <c r="B17" s="3">
        <v>52640.94660377362</v>
      </c>
      <c r="E17" s="1" t="s">
        <v>63</v>
      </c>
      <c r="F17" t="s">
        <v>71</v>
      </c>
    </row>
    <row r="18" spans="1:9" x14ac:dyDescent="0.25">
      <c r="A18" s="2">
        <v>9</v>
      </c>
      <c r="B18" s="3">
        <v>49045.689175257736</v>
      </c>
      <c r="E18" s="2" t="s">
        <v>24</v>
      </c>
      <c r="F18" s="5">
        <v>9.6251086956521767</v>
      </c>
    </row>
    <row r="19" spans="1:9" x14ac:dyDescent="0.25">
      <c r="A19" s="2">
        <v>10</v>
      </c>
      <c r="B19" s="3">
        <v>51977.464067796594</v>
      </c>
      <c r="E19" s="2" t="s">
        <v>43</v>
      </c>
      <c r="F19" s="5">
        <v>5.3514164305949024</v>
      </c>
    </row>
    <row r="20" spans="1:9" x14ac:dyDescent="0.25">
      <c r="A20" s="2">
        <v>11</v>
      </c>
      <c r="B20" s="3">
        <v>51516.460909090907</v>
      </c>
      <c r="E20" s="2" t="s">
        <v>52</v>
      </c>
      <c r="F20" s="5">
        <v>4.5782887700534749</v>
      </c>
    </row>
    <row r="21" spans="1:9" x14ac:dyDescent="0.25">
      <c r="A21" s="2">
        <v>12</v>
      </c>
      <c r="B21" s="3">
        <v>54202.577247706431</v>
      </c>
      <c r="E21" s="2" t="s">
        <v>21</v>
      </c>
      <c r="F21" s="5">
        <v>2.6068435754189943</v>
      </c>
    </row>
    <row r="22" spans="1:9" x14ac:dyDescent="0.25">
      <c r="A22" s="2">
        <v>13</v>
      </c>
      <c r="B22" s="3">
        <v>52495.034736842084</v>
      </c>
      <c r="E22" s="2" t="s">
        <v>36</v>
      </c>
      <c r="F22" s="5">
        <v>2.0860795454545458</v>
      </c>
    </row>
    <row r="23" spans="1:9" x14ac:dyDescent="0.25">
      <c r="A23" s="2">
        <v>14</v>
      </c>
      <c r="B23" s="3">
        <v>57092.138378378353</v>
      </c>
      <c r="E23" s="2" t="s">
        <v>14</v>
      </c>
      <c r="F23" s="5">
        <v>1.2962068965517246</v>
      </c>
    </row>
    <row r="24" spans="1:9" x14ac:dyDescent="0.25">
      <c r="A24" s="2">
        <v>15</v>
      </c>
      <c r="B24" s="3">
        <v>51414.871188118821</v>
      </c>
      <c r="E24" s="2" t="s">
        <v>29</v>
      </c>
      <c r="F24" s="5">
        <v>1.008443804034582</v>
      </c>
    </row>
    <row r="25" spans="1:9" x14ac:dyDescent="0.25">
      <c r="A25" s="2">
        <v>16</v>
      </c>
      <c r="B25" s="3">
        <v>53650.244631578957</v>
      </c>
      <c r="E25" s="2" t="s">
        <v>64</v>
      </c>
      <c r="F25" s="5">
        <v>3.8447719999999941</v>
      </c>
    </row>
    <row r="26" spans="1:9" x14ac:dyDescent="0.25">
      <c r="A26" s="2">
        <v>17</v>
      </c>
      <c r="B26" s="3">
        <v>52932.735777777772</v>
      </c>
    </row>
    <row r="27" spans="1:9" x14ac:dyDescent="0.25">
      <c r="A27" s="2">
        <v>18</v>
      </c>
      <c r="B27" s="3">
        <v>53104.788715596311</v>
      </c>
    </row>
    <row r="28" spans="1:9" x14ac:dyDescent="0.25">
      <c r="A28" s="2">
        <v>19</v>
      </c>
      <c r="B28" s="3">
        <v>56464.203545454562</v>
      </c>
    </row>
    <row r="29" spans="1:9" x14ac:dyDescent="0.25">
      <c r="A29" s="2">
        <v>20</v>
      </c>
      <c r="B29" s="3">
        <v>53437.59593023255</v>
      </c>
      <c r="E29" s="1" t="s">
        <v>63</v>
      </c>
      <c r="F29" t="s">
        <v>73</v>
      </c>
      <c r="H29" s="1" t="s">
        <v>63</v>
      </c>
      <c r="I29" t="s">
        <v>65</v>
      </c>
    </row>
    <row r="30" spans="1:9" x14ac:dyDescent="0.25">
      <c r="A30" s="2">
        <v>21</v>
      </c>
      <c r="B30" s="3">
        <v>57534.323592232999</v>
      </c>
      <c r="E30" s="2" t="s">
        <v>32</v>
      </c>
      <c r="F30" s="7">
        <v>0.2268</v>
      </c>
      <c r="H30" s="2">
        <v>1</v>
      </c>
      <c r="I30">
        <v>1450284.8299999998</v>
      </c>
    </row>
    <row r="31" spans="1:9" x14ac:dyDescent="0.25">
      <c r="A31" s="2">
        <v>22</v>
      </c>
      <c r="B31" s="3">
        <v>51517.976899999965</v>
      </c>
      <c r="E31" s="2" t="s">
        <v>18</v>
      </c>
      <c r="F31" s="7">
        <v>0.3448</v>
      </c>
      <c r="H31" s="2">
        <v>1.1000000000000001</v>
      </c>
      <c r="I31">
        <v>2069894.8199999994</v>
      </c>
    </row>
    <row r="32" spans="1:9" x14ac:dyDescent="0.25">
      <c r="A32" s="2">
        <v>23</v>
      </c>
      <c r="B32" s="3">
        <v>52260.187372881352</v>
      </c>
      <c r="E32" s="2" t="s">
        <v>46</v>
      </c>
      <c r="F32" s="7">
        <v>0.2064</v>
      </c>
      <c r="H32" s="2">
        <v>1.2</v>
      </c>
      <c r="I32">
        <v>2410645.7700000005</v>
      </c>
    </row>
    <row r="33" spans="1:41" x14ac:dyDescent="0.25">
      <c r="A33" s="2">
        <v>24</v>
      </c>
      <c r="B33" s="3">
        <v>57197.475999999995</v>
      </c>
      <c r="E33" s="2" t="s">
        <v>41</v>
      </c>
      <c r="F33" s="7">
        <v>0.222</v>
      </c>
      <c r="H33" s="2">
        <v>1.3</v>
      </c>
      <c r="I33">
        <v>3820144.04</v>
      </c>
    </row>
    <row r="34" spans="1:41" x14ac:dyDescent="0.25">
      <c r="A34" s="2">
        <v>25</v>
      </c>
      <c r="B34" s="3">
        <v>48944.05770642202</v>
      </c>
      <c r="E34" s="2" t="s">
        <v>64</v>
      </c>
      <c r="F34" s="7">
        <v>1</v>
      </c>
      <c r="H34" s="2">
        <v>1.4</v>
      </c>
      <c r="I34">
        <v>2652365.11</v>
      </c>
    </row>
    <row r="35" spans="1:41" x14ac:dyDescent="0.25">
      <c r="A35" s="2">
        <v>26</v>
      </c>
      <c r="B35" s="3">
        <v>53094.163440860189</v>
      </c>
      <c r="H35" s="2">
        <v>1.5</v>
      </c>
      <c r="I35">
        <v>2031022.7800000005</v>
      </c>
      <c r="P35" s="1" t="s">
        <v>65</v>
      </c>
      <c r="Q35" s="1" t="s">
        <v>74</v>
      </c>
    </row>
    <row r="36" spans="1:41" x14ac:dyDescent="0.25">
      <c r="A36" s="2" t="s">
        <v>64</v>
      </c>
      <c r="B36" s="3">
        <v>52638.022532000068</v>
      </c>
      <c r="H36" s="2">
        <v>1.6</v>
      </c>
      <c r="I36">
        <v>2326359.0299999989</v>
      </c>
      <c r="P36" s="1" t="s">
        <v>63</v>
      </c>
      <c r="Q36">
        <v>3</v>
      </c>
      <c r="R36">
        <v>4</v>
      </c>
      <c r="S36">
        <v>5</v>
      </c>
      <c r="T36">
        <v>6</v>
      </c>
      <c r="U36">
        <v>7</v>
      </c>
      <c r="V36">
        <v>8</v>
      </c>
      <c r="W36">
        <v>9</v>
      </c>
      <c r="X36">
        <v>10</v>
      </c>
      <c r="Y36">
        <v>11</v>
      </c>
      <c r="Z36">
        <v>12</v>
      </c>
      <c r="AA36">
        <v>13</v>
      </c>
      <c r="AB36">
        <v>14</v>
      </c>
      <c r="AC36">
        <v>15</v>
      </c>
      <c r="AD36">
        <v>16</v>
      </c>
      <c r="AE36">
        <v>17</v>
      </c>
      <c r="AF36">
        <v>18</v>
      </c>
      <c r="AG36">
        <v>19</v>
      </c>
      <c r="AH36">
        <v>20</v>
      </c>
      <c r="AI36">
        <v>21</v>
      </c>
      <c r="AJ36">
        <v>22</v>
      </c>
      <c r="AK36">
        <v>23</v>
      </c>
      <c r="AL36">
        <v>24</v>
      </c>
      <c r="AM36">
        <v>25</v>
      </c>
      <c r="AN36">
        <v>26</v>
      </c>
      <c r="AO36" t="s">
        <v>64</v>
      </c>
    </row>
    <row r="37" spans="1:41" x14ac:dyDescent="0.25">
      <c r="H37" s="2">
        <v>1.7</v>
      </c>
      <c r="I37">
        <v>2552660.4700000002</v>
      </c>
      <c r="P37" s="2" t="s">
        <v>33</v>
      </c>
      <c r="Q37">
        <v>2188201.13</v>
      </c>
      <c r="R37">
        <v>2499540.6500000004</v>
      </c>
      <c r="S37">
        <v>1988015.5000000002</v>
      </c>
      <c r="T37">
        <v>2637636.2600000007</v>
      </c>
      <c r="U37">
        <v>2190614.5499999993</v>
      </c>
      <c r="V37">
        <v>2828475.12</v>
      </c>
      <c r="W37">
        <v>2274805.5299999993</v>
      </c>
      <c r="X37">
        <v>3005993.2800000007</v>
      </c>
      <c r="Y37">
        <v>1881465.2500000002</v>
      </c>
      <c r="Z37">
        <v>2687900.0299999993</v>
      </c>
      <c r="AA37">
        <v>1874221.4300000002</v>
      </c>
      <c r="AB37">
        <v>3062824.8799999994</v>
      </c>
      <c r="AC37">
        <v>2192167.4899999998</v>
      </c>
      <c r="AD37">
        <v>1881757.9900000002</v>
      </c>
      <c r="AE37">
        <v>1451338.7199999997</v>
      </c>
      <c r="AF37">
        <v>2429425.8499999996</v>
      </c>
      <c r="AG37">
        <v>2563886.2399999998</v>
      </c>
      <c r="AH37">
        <v>1930846.3900000001</v>
      </c>
      <c r="AI37">
        <v>2662240.4899999998</v>
      </c>
      <c r="AJ37">
        <v>2457225.5200000009</v>
      </c>
      <c r="AK37">
        <v>2666838.6500000004</v>
      </c>
      <c r="AL37">
        <v>1975739.9000000001</v>
      </c>
      <c r="AM37">
        <v>2286982.0899999994</v>
      </c>
      <c r="AN37">
        <v>2083860.7899999998</v>
      </c>
      <c r="AO37">
        <v>55702003.729999997</v>
      </c>
    </row>
    <row r="38" spans="1:41" x14ac:dyDescent="0.25">
      <c r="H38" s="2">
        <v>1.8</v>
      </c>
      <c r="I38">
        <v>3379449.4699999997</v>
      </c>
      <c r="P38" s="2" t="s">
        <v>20</v>
      </c>
      <c r="Q38">
        <v>3098654.2199999997</v>
      </c>
      <c r="R38">
        <v>3621946.98</v>
      </c>
      <c r="S38">
        <v>3479792.5900000017</v>
      </c>
      <c r="T38">
        <v>3252735.9500000007</v>
      </c>
      <c r="U38">
        <v>2943764.37</v>
      </c>
      <c r="V38">
        <v>2751465.2200000007</v>
      </c>
      <c r="W38">
        <v>2482626.3200000008</v>
      </c>
      <c r="X38">
        <v>3127347.4799999995</v>
      </c>
      <c r="Y38">
        <v>2651983.31</v>
      </c>
      <c r="Z38">
        <v>3220180.8899999997</v>
      </c>
      <c r="AA38">
        <v>3112806.8699999996</v>
      </c>
      <c r="AB38">
        <v>3274402.4800000009</v>
      </c>
      <c r="AC38">
        <v>3000734.5000000005</v>
      </c>
      <c r="AD38">
        <v>3215015.2499999995</v>
      </c>
      <c r="AE38">
        <v>3312607.4999999995</v>
      </c>
      <c r="AF38">
        <v>3358996.1200000006</v>
      </c>
      <c r="AG38">
        <v>3647176.1499999994</v>
      </c>
      <c r="AH38">
        <v>2664786.8600000003</v>
      </c>
      <c r="AI38">
        <v>3263794.8400000003</v>
      </c>
      <c r="AJ38">
        <v>2694572.1699999995</v>
      </c>
      <c r="AK38">
        <v>3499863.4600000014</v>
      </c>
      <c r="AL38">
        <v>4315982.4600000009</v>
      </c>
      <c r="AM38">
        <v>3047920.1999999993</v>
      </c>
      <c r="AN38">
        <v>2853896.4100000011</v>
      </c>
      <c r="AO38">
        <v>75893052.600000009</v>
      </c>
    </row>
    <row r="39" spans="1:41" x14ac:dyDescent="0.25">
      <c r="H39" s="2">
        <v>1.9</v>
      </c>
      <c r="I39">
        <v>2565542.0800000005</v>
      </c>
      <c r="P39" s="2" t="s">
        <v>64</v>
      </c>
      <c r="Q39">
        <v>5286855.3499999996</v>
      </c>
      <c r="R39">
        <v>6121487.6300000008</v>
      </c>
      <c r="S39">
        <v>5467808.0900000017</v>
      </c>
      <c r="T39">
        <v>5890372.2100000009</v>
      </c>
      <c r="U39">
        <v>5134378.92</v>
      </c>
      <c r="V39">
        <v>5579940.3400000008</v>
      </c>
      <c r="W39">
        <v>4757431.8499999996</v>
      </c>
      <c r="X39">
        <v>6133340.7599999998</v>
      </c>
      <c r="Y39">
        <v>4533448.5600000005</v>
      </c>
      <c r="Z39">
        <v>5908080.919999999</v>
      </c>
      <c r="AA39">
        <v>4987028.3</v>
      </c>
      <c r="AB39">
        <v>6337227.3600000003</v>
      </c>
      <c r="AC39">
        <v>5192901.99</v>
      </c>
      <c r="AD39">
        <v>5096773.24</v>
      </c>
      <c r="AE39">
        <v>4763946.2199999988</v>
      </c>
      <c r="AF39">
        <v>5788421.9700000007</v>
      </c>
      <c r="AG39">
        <v>6211062.3899999987</v>
      </c>
      <c r="AH39">
        <v>4595633.25</v>
      </c>
      <c r="AI39">
        <v>5926035.3300000001</v>
      </c>
      <c r="AJ39">
        <v>5151797.6900000004</v>
      </c>
      <c r="AK39">
        <v>6166702.1100000013</v>
      </c>
      <c r="AL39">
        <v>6291722.3600000013</v>
      </c>
      <c r="AM39">
        <v>5334902.2899999991</v>
      </c>
      <c r="AN39">
        <v>4937757.2000000011</v>
      </c>
      <c r="AO39">
        <v>131595056.33000001</v>
      </c>
    </row>
    <row r="40" spans="1:41" x14ac:dyDescent="0.25">
      <c r="A40" t="s">
        <v>65</v>
      </c>
      <c r="H40" s="2">
        <v>2</v>
      </c>
      <c r="I40">
        <v>2571564.6999999997</v>
      </c>
    </row>
    <row r="41" spans="1:41" x14ac:dyDescent="0.25">
      <c r="A41">
        <v>131595056.33</v>
      </c>
      <c r="H41" s="2">
        <v>2.1</v>
      </c>
      <c r="I41">
        <v>2739632.81</v>
      </c>
    </row>
    <row r="42" spans="1:41" x14ac:dyDescent="0.25">
      <c r="H42" s="2">
        <v>2.2000000000000002</v>
      </c>
      <c r="I42">
        <v>3367187.21</v>
      </c>
    </row>
    <row r="43" spans="1:41" x14ac:dyDescent="0.25">
      <c r="H43" s="2">
        <v>2.2999999999999998</v>
      </c>
      <c r="I43">
        <v>2514232.6399999997</v>
      </c>
    </row>
    <row r="44" spans="1:41" x14ac:dyDescent="0.25">
      <c r="H44" s="2">
        <v>2.4</v>
      </c>
      <c r="I44">
        <v>3004344.0200000005</v>
      </c>
    </row>
    <row r="45" spans="1:41" x14ac:dyDescent="0.25">
      <c r="H45" s="2">
        <v>2.5</v>
      </c>
      <c r="I45">
        <v>2390936.8099999996</v>
      </c>
    </row>
    <row r="46" spans="1:41" x14ac:dyDescent="0.25">
      <c r="H46" s="2">
        <v>2.6</v>
      </c>
      <c r="I46">
        <v>2649534.52</v>
      </c>
    </row>
    <row r="47" spans="1:41" x14ac:dyDescent="0.25">
      <c r="H47" s="2">
        <v>2.7</v>
      </c>
      <c r="I47">
        <v>3221913.2300000004</v>
      </c>
    </row>
    <row r="48" spans="1:41" x14ac:dyDescent="0.25">
      <c r="H48" s="2">
        <v>2.8</v>
      </c>
      <c r="I48">
        <v>2354527.4899999998</v>
      </c>
      <c r="P48" s="1" t="s">
        <v>65</v>
      </c>
      <c r="Q48" s="1" t="s">
        <v>74</v>
      </c>
    </row>
    <row r="49" spans="8:68" x14ac:dyDescent="0.25">
      <c r="H49" s="2">
        <v>2.9</v>
      </c>
      <c r="I49">
        <v>2481539.3200000008</v>
      </c>
      <c r="P49" s="1" t="s">
        <v>63</v>
      </c>
      <c r="Q49" t="s">
        <v>26</v>
      </c>
      <c r="R49" t="s">
        <v>50</v>
      </c>
      <c r="S49" t="s">
        <v>19</v>
      </c>
      <c r="T49" t="s">
        <v>64</v>
      </c>
    </row>
    <row r="50" spans="8:68" x14ac:dyDescent="0.25">
      <c r="H50" s="2">
        <v>3</v>
      </c>
      <c r="I50">
        <v>3003752.33</v>
      </c>
      <c r="P50" s="2" t="s">
        <v>30</v>
      </c>
      <c r="Q50" s="3">
        <v>23170354.300000004</v>
      </c>
      <c r="R50" s="3">
        <v>6642667.4399999967</v>
      </c>
      <c r="S50" s="3">
        <v>14928650.230000002</v>
      </c>
      <c r="T50" s="3">
        <v>44741671.970000006</v>
      </c>
    </row>
    <row r="51" spans="8:68" x14ac:dyDescent="0.25">
      <c r="H51" s="2">
        <v>3.1</v>
      </c>
      <c r="I51">
        <v>3246816.4699999997</v>
      </c>
      <c r="P51" s="2" t="s">
        <v>16</v>
      </c>
      <c r="Q51" s="3">
        <v>19419331.319999993</v>
      </c>
      <c r="R51" s="3">
        <v>8012088.3100000042</v>
      </c>
      <c r="S51" s="3">
        <v>14559328.920000007</v>
      </c>
      <c r="T51" s="3">
        <v>41990748.550000004</v>
      </c>
    </row>
    <row r="52" spans="8:68" x14ac:dyDescent="0.25">
      <c r="H52" s="2">
        <v>3.2</v>
      </c>
      <c r="I52">
        <v>2917642.51</v>
      </c>
      <c r="P52" s="2" t="s">
        <v>22</v>
      </c>
      <c r="Q52" s="3">
        <v>23169283.799999982</v>
      </c>
      <c r="R52" s="3">
        <v>7603820.0600000042</v>
      </c>
      <c r="S52" s="3">
        <v>14089531.949999984</v>
      </c>
      <c r="T52" s="3">
        <v>44862635.809999973</v>
      </c>
    </row>
    <row r="53" spans="8:68" x14ac:dyDescent="0.25">
      <c r="H53" s="2">
        <v>3.3</v>
      </c>
      <c r="I53">
        <v>2084238.8800000001</v>
      </c>
      <c r="P53" s="2" t="s">
        <v>64</v>
      </c>
      <c r="Q53" s="3">
        <v>65758969.419999979</v>
      </c>
      <c r="R53" s="3">
        <v>22258575.810000002</v>
      </c>
      <c r="S53" s="3">
        <v>43577511.099999994</v>
      </c>
      <c r="T53" s="3">
        <v>131595056.32999998</v>
      </c>
    </row>
    <row r="54" spans="8:68" x14ac:dyDescent="0.25">
      <c r="H54" s="2">
        <v>3.4</v>
      </c>
      <c r="I54">
        <v>2833413.939999999</v>
      </c>
    </row>
    <row r="55" spans="8:68" x14ac:dyDescent="0.25">
      <c r="H55" s="2">
        <v>3.5</v>
      </c>
      <c r="I55">
        <v>2056101.7100000004</v>
      </c>
    </row>
    <row r="56" spans="8:68" x14ac:dyDescent="0.25">
      <c r="H56" s="2">
        <v>3.6</v>
      </c>
      <c r="I56">
        <v>2325806.41</v>
      </c>
    </row>
    <row r="57" spans="8:68" x14ac:dyDescent="0.25">
      <c r="H57" s="2">
        <v>3.7</v>
      </c>
      <c r="I57">
        <v>2868605.1999999997</v>
      </c>
    </row>
    <row r="58" spans="8:68" x14ac:dyDescent="0.25">
      <c r="H58" s="2">
        <v>3.8</v>
      </c>
      <c r="I58">
        <v>2700559.3900000006</v>
      </c>
    </row>
    <row r="59" spans="8:68" x14ac:dyDescent="0.25">
      <c r="H59" s="2">
        <v>3.9</v>
      </c>
      <c r="I59">
        <v>3254061.8099999996</v>
      </c>
    </row>
    <row r="60" spans="8:68" x14ac:dyDescent="0.25">
      <c r="H60" s="2">
        <v>4</v>
      </c>
      <c r="I60">
        <v>2557739.0100000007</v>
      </c>
    </row>
    <row r="61" spans="8:68" x14ac:dyDescent="0.25">
      <c r="H61" s="2">
        <v>4.0999999999999996</v>
      </c>
      <c r="I61">
        <v>2220712.5800000005</v>
      </c>
    </row>
    <row r="62" spans="8:68" x14ac:dyDescent="0.25">
      <c r="H62" s="2">
        <v>4.2</v>
      </c>
      <c r="I62">
        <v>2174450.9000000004</v>
      </c>
      <c r="P62" s="1" t="s">
        <v>65</v>
      </c>
      <c r="Q62" s="1" t="s">
        <v>74</v>
      </c>
    </row>
    <row r="63" spans="8:68" x14ac:dyDescent="0.25">
      <c r="H63" s="2">
        <v>4.3</v>
      </c>
      <c r="I63">
        <v>2231798.83</v>
      </c>
      <c r="P63" s="1" t="s">
        <v>63</v>
      </c>
      <c r="Q63">
        <v>1</v>
      </c>
      <c r="R63">
        <v>1.1000000000000001</v>
      </c>
      <c r="S63">
        <v>1.2</v>
      </c>
      <c r="T63">
        <v>1.3</v>
      </c>
      <c r="U63">
        <v>1.4</v>
      </c>
      <c r="V63">
        <v>1.5</v>
      </c>
      <c r="W63">
        <v>1.6</v>
      </c>
      <c r="X63">
        <v>1.7</v>
      </c>
      <c r="Y63">
        <v>1.8</v>
      </c>
      <c r="Z63">
        <v>1.9</v>
      </c>
      <c r="AA63">
        <v>2</v>
      </c>
      <c r="AB63">
        <v>2.1</v>
      </c>
      <c r="AC63">
        <v>2.2000000000000002</v>
      </c>
      <c r="AD63">
        <v>2.2999999999999998</v>
      </c>
      <c r="AE63">
        <v>2.4</v>
      </c>
      <c r="AF63">
        <v>2.5</v>
      </c>
      <c r="AG63">
        <v>2.6</v>
      </c>
      <c r="AH63">
        <v>2.7</v>
      </c>
      <c r="AI63">
        <v>2.8</v>
      </c>
      <c r="AJ63">
        <v>2.9</v>
      </c>
      <c r="AK63">
        <v>3</v>
      </c>
      <c r="AL63">
        <v>3.1</v>
      </c>
      <c r="AM63">
        <v>3.2</v>
      </c>
      <c r="AN63">
        <v>3.3</v>
      </c>
      <c r="AO63">
        <v>3.4</v>
      </c>
      <c r="AP63">
        <v>3.5</v>
      </c>
      <c r="AQ63">
        <v>3.6</v>
      </c>
      <c r="AR63">
        <v>3.7</v>
      </c>
      <c r="AS63">
        <v>3.8</v>
      </c>
      <c r="AT63">
        <v>3.9</v>
      </c>
      <c r="AU63">
        <v>4</v>
      </c>
      <c r="AV63">
        <v>4.0999999999999996</v>
      </c>
      <c r="AW63">
        <v>4.2</v>
      </c>
      <c r="AX63">
        <v>4.3</v>
      </c>
      <c r="AY63">
        <v>4.4000000000000004</v>
      </c>
      <c r="AZ63">
        <v>4.5</v>
      </c>
      <c r="BA63">
        <v>4.5999999999999996</v>
      </c>
      <c r="BB63">
        <v>4.7</v>
      </c>
      <c r="BC63">
        <v>4.8</v>
      </c>
      <c r="BD63">
        <v>4.9000000000000004</v>
      </c>
      <c r="BE63">
        <v>5</v>
      </c>
      <c r="BF63">
        <v>5.0999999999999996</v>
      </c>
      <c r="BG63">
        <v>5.2</v>
      </c>
      <c r="BH63">
        <v>5.3</v>
      </c>
      <c r="BI63">
        <v>5.4</v>
      </c>
      <c r="BJ63">
        <v>5.5</v>
      </c>
      <c r="BK63">
        <v>5.6</v>
      </c>
      <c r="BL63">
        <v>5.7</v>
      </c>
      <c r="BM63">
        <v>5.8</v>
      </c>
      <c r="BN63">
        <v>5.9</v>
      </c>
      <c r="BO63">
        <v>6</v>
      </c>
      <c r="BP63" t="s">
        <v>64</v>
      </c>
    </row>
    <row r="64" spans="8:68" x14ac:dyDescent="0.25">
      <c r="H64" s="2">
        <v>4.4000000000000004</v>
      </c>
      <c r="I64">
        <v>3074376.7100000014</v>
      </c>
      <c r="P64" s="2" t="s">
        <v>32</v>
      </c>
      <c r="Q64" s="3">
        <v>390374.67</v>
      </c>
      <c r="R64" s="3">
        <v>568768.26</v>
      </c>
      <c r="S64" s="3">
        <v>787237.37</v>
      </c>
      <c r="T64" s="3">
        <v>962962.24999999988</v>
      </c>
      <c r="U64" s="3">
        <v>226861.83000000002</v>
      </c>
      <c r="V64" s="3">
        <v>181673.97000000003</v>
      </c>
      <c r="W64" s="3">
        <v>762580.90999999992</v>
      </c>
      <c r="X64" s="3">
        <v>729645.7</v>
      </c>
      <c r="Y64" s="3">
        <v>844574.91</v>
      </c>
      <c r="Z64" s="3">
        <v>779089.00999999978</v>
      </c>
      <c r="AA64" s="3">
        <v>1028635.6599999999</v>
      </c>
      <c r="AB64" s="3">
        <v>750559.41999999993</v>
      </c>
      <c r="AC64" s="3">
        <v>1114721.95</v>
      </c>
      <c r="AD64" s="3">
        <v>680274.47000000009</v>
      </c>
      <c r="AE64" s="3">
        <v>606289.5</v>
      </c>
      <c r="AF64" s="3">
        <v>669310.69999999995</v>
      </c>
      <c r="AG64" s="3">
        <v>830536.47</v>
      </c>
      <c r="AH64" s="3">
        <v>912362.91999999993</v>
      </c>
      <c r="AI64" s="3">
        <v>280082.71999999997</v>
      </c>
      <c r="AJ64" s="3">
        <v>480606.29</v>
      </c>
      <c r="AK64" s="3">
        <v>354423.59</v>
      </c>
      <c r="AL64" s="3">
        <v>1377104.6500000001</v>
      </c>
      <c r="AM64" s="3">
        <v>827249.66999999993</v>
      </c>
      <c r="AN64" s="3">
        <v>180121.96000000002</v>
      </c>
      <c r="AO64" s="3">
        <v>388844.24</v>
      </c>
      <c r="AP64" s="3">
        <v>377834.22999999992</v>
      </c>
      <c r="AQ64" s="3">
        <v>401352.02999999997</v>
      </c>
      <c r="AR64" s="3">
        <v>768522.9</v>
      </c>
      <c r="AS64" s="3">
        <v>609657.37</v>
      </c>
      <c r="AT64" s="3">
        <v>642028.91</v>
      </c>
      <c r="AU64" s="3">
        <v>601443.37999999989</v>
      </c>
      <c r="AV64" s="3">
        <v>499791.15</v>
      </c>
      <c r="AW64" s="3">
        <v>458303.98</v>
      </c>
      <c r="AX64" s="3">
        <v>292841.85000000003</v>
      </c>
      <c r="AY64" s="3">
        <v>860004.35999999987</v>
      </c>
      <c r="AZ64" s="3">
        <v>673411.33000000007</v>
      </c>
      <c r="BA64" s="3">
        <v>485571.08000000007</v>
      </c>
      <c r="BB64" s="3">
        <v>585123.96000000008</v>
      </c>
      <c r="BC64" s="3">
        <v>443850.32000000007</v>
      </c>
      <c r="BD64" s="3">
        <v>267846.62</v>
      </c>
      <c r="BE64" s="3">
        <v>872441.46000000008</v>
      </c>
      <c r="BF64" s="3">
        <v>710631.43</v>
      </c>
      <c r="BG64" s="3">
        <v>575084.83000000007</v>
      </c>
      <c r="BH64" s="3">
        <v>519870.09000000008</v>
      </c>
      <c r="BI64" s="3">
        <v>379792.66000000003</v>
      </c>
      <c r="BJ64" s="3">
        <v>440273.69</v>
      </c>
      <c r="BK64" s="3">
        <v>632612.36</v>
      </c>
      <c r="BL64" s="3">
        <v>743214.89</v>
      </c>
      <c r="BM64" s="3">
        <v>661586.30000000005</v>
      </c>
      <c r="BN64" s="3">
        <v>458264.51</v>
      </c>
      <c r="BO64" s="3">
        <v>386374.51999999996</v>
      </c>
      <c r="BP64" s="3">
        <v>31062623.300000004</v>
      </c>
    </row>
    <row r="65" spans="8:68" x14ac:dyDescent="0.25">
      <c r="H65" s="2">
        <v>4.5</v>
      </c>
      <c r="I65">
        <v>3110103.5199999996</v>
      </c>
      <c r="P65" s="2" t="s">
        <v>18</v>
      </c>
      <c r="Q65" s="3">
        <v>526945</v>
      </c>
      <c r="R65" s="3">
        <v>397769.37</v>
      </c>
      <c r="S65" s="3">
        <v>698662.79</v>
      </c>
      <c r="T65" s="3">
        <v>1409663.77</v>
      </c>
      <c r="U65" s="3">
        <v>1009314.3599999999</v>
      </c>
      <c r="V65" s="3">
        <v>977514.07999999984</v>
      </c>
      <c r="W65" s="3">
        <v>488410.53</v>
      </c>
      <c r="X65" s="3">
        <v>843870.85</v>
      </c>
      <c r="Y65" s="3">
        <v>870196.2</v>
      </c>
      <c r="Z65" s="3">
        <v>603877.3899999999</v>
      </c>
      <c r="AA65" s="3">
        <v>518807.59999999992</v>
      </c>
      <c r="AB65" s="3">
        <v>871552.95</v>
      </c>
      <c r="AC65" s="3">
        <v>977339.43000000017</v>
      </c>
      <c r="AD65" s="3">
        <v>924101.43000000017</v>
      </c>
      <c r="AE65" s="3">
        <v>713528.66</v>
      </c>
      <c r="AF65" s="3">
        <v>996171.21</v>
      </c>
      <c r="AG65" s="3">
        <v>966068.47000000009</v>
      </c>
      <c r="AH65" s="3">
        <v>941724.77000000025</v>
      </c>
      <c r="AI65" s="3">
        <v>846854.33000000007</v>
      </c>
      <c r="AJ65" s="3">
        <v>619874.01</v>
      </c>
      <c r="AK65" s="3">
        <v>1644704.0599999998</v>
      </c>
      <c r="AL65" s="3">
        <v>819481.03999999992</v>
      </c>
      <c r="AM65" s="3">
        <v>903004.94000000006</v>
      </c>
      <c r="AN65" s="3">
        <v>1186011.31</v>
      </c>
      <c r="AO65" s="3">
        <v>1500217.59</v>
      </c>
      <c r="AP65" s="3">
        <v>478417.41</v>
      </c>
      <c r="AQ65" s="3">
        <v>786554.63000000012</v>
      </c>
      <c r="AR65" s="3">
        <v>1014528.25</v>
      </c>
      <c r="AS65" s="3">
        <v>885711.8899999999</v>
      </c>
      <c r="AT65" s="3">
        <v>1158148.55</v>
      </c>
      <c r="AU65" s="3">
        <v>866585.03999999992</v>
      </c>
      <c r="AV65" s="3">
        <v>823807.88000000012</v>
      </c>
      <c r="AW65" s="3">
        <v>849161.77999999991</v>
      </c>
      <c r="AX65" s="3">
        <v>966888.29999999993</v>
      </c>
      <c r="AY65" s="3">
        <v>890213.31</v>
      </c>
      <c r="AZ65" s="3">
        <v>1211492.1100000001</v>
      </c>
      <c r="BA65" s="3">
        <v>663139.35</v>
      </c>
      <c r="BB65" s="3">
        <v>752092.65</v>
      </c>
      <c r="BC65" s="3">
        <v>1199998.7600000002</v>
      </c>
      <c r="BD65" s="3">
        <v>724971.36</v>
      </c>
      <c r="BE65" s="3">
        <v>1183428.4099999997</v>
      </c>
      <c r="BF65" s="3">
        <v>1176051.3499999999</v>
      </c>
      <c r="BG65" s="3">
        <v>645165.72</v>
      </c>
      <c r="BH65" s="3">
        <v>990815.01</v>
      </c>
      <c r="BI65" s="3">
        <v>650437.33000000007</v>
      </c>
      <c r="BJ65" s="3">
        <v>985441.53999999992</v>
      </c>
      <c r="BK65" s="3">
        <v>504132.74</v>
      </c>
      <c r="BL65" s="3">
        <v>1009237.0299999998</v>
      </c>
      <c r="BM65" s="3">
        <v>844913.66</v>
      </c>
      <c r="BN65" s="3">
        <v>724623.92</v>
      </c>
      <c r="BO65" s="3">
        <v>416542.64999999997</v>
      </c>
      <c r="BP65" s="3">
        <v>44658166.769999988</v>
      </c>
    </row>
    <row r="66" spans="8:68" x14ac:dyDescent="0.25">
      <c r="H66" s="2">
        <v>4.5999999999999996</v>
      </c>
      <c r="I66">
        <v>1943598.8900000004</v>
      </c>
      <c r="P66" s="2" t="s">
        <v>46</v>
      </c>
      <c r="Q66" s="3">
        <v>398394.39999999997</v>
      </c>
      <c r="R66" s="3">
        <v>559355.74999999988</v>
      </c>
      <c r="S66" s="3">
        <v>675757.94</v>
      </c>
      <c r="T66" s="3">
        <v>784070.06</v>
      </c>
      <c r="U66" s="3">
        <v>687518.13</v>
      </c>
      <c r="V66" s="3">
        <v>491169.14</v>
      </c>
      <c r="W66" s="3">
        <v>614467.83999999997</v>
      </c>
      <c r="X66" s="3">
        <v>507761.78</v>
      </c>
      <c r="Y66" s="3">
        <v>855682.77</v>
      </c>
      <c r="Z66" s="3">
        <v>711416.13</v>
      </c>
      <c r="AA66" s="3">
        <v>511837.67000000004</v>
      </c>
      <c r="AB66" s="3">
        <v>562918.59000000008</v>
      </c>
      <c r="AC66" s="3">
        <v>529832.93999999994</v>
      </c>
      <c r="AD66" s="3">
        <v>284688.08999999997</v>
      </c>
      <c r="AE66" s="3">
        <v>796298.03999999992</v>
      </c>
      <c r="AF66" s="3">
        <v>403326.45000000007</v>
      </c>
      <c r="AG66" s="3">
        <v>530936.57000000007</v>
      </c>
      <c r="AH66" s="3">
        <v>727324.69000000006</v>
      </c>
      <c r="AI66" s="3">
        <v>603139.37</v>
      </c>
      <c r="AJ66" s="3">
        <v>585602.35</v>
      </c>
      <c r="AK66" s="3">
        <v>469466.41</v>
      </c>
      <c r="AL66" s="3">
        <v>307699.52</v>
      </c>
      <c r="AM66" s="3">
        <v>557987.1399999999</v>
      </c>
      <c r="AN66" s="3">
        <v>365993.39999999991</v>
      </c>
      <c r="AO66" s="3">
        <v>448110.83999999997</v>
      </c>
      <c r="AP66" s="3">
        <v>483750.98000000004</v>
      </c>
      <c r="AQ66" s="3">
        <v>540233.75999999989</v>
      </c>
      <c r="AR66" s="3">
        <v>423588.02</v>
      </c>
      <c r="AS66" s="3">
        <v>675565.82000000007</v>
      </c>
      <c r="AT66" s="3">
        <v>695170.36</v>
      </c>
      <c r="AU66" s="3">
        <v>378175.49</v>
      </c>
      <c r="AV66" s="3">
        <v>585273.05999999994</v>
      </c>
      <c r="AW66" s="3">
        <v>421905.29999999993</v>
      </c>
      <c r="AX66" s="3">
        <v>364799.20999999996</v>
      </c>
      <c r="AY66" s="3">
        <v>701478.51</v>
      </c>
      <c r="AZ66" s="3">
        <v>749338.98</v>
      </c>
      <c r="BA66" s="3">
        <v>149082.02000000002</v>
      </c>
      <c r="BB66" s="3">
        <v>280768.3</v>
      </c>
      <c r="BC66" s="3">
        <v>605631.48999999987</v>
      </c>
      <c r="BD66" s="3">
        <v>330632.14</v>
      </c>
      <c r="BE66" s="3">
        <v>425124.87</v>
      </c>
      <c r="BF66" s="3">
        <v>760751.99000000011</v>
      </c>
      <c r="BG66" s="3">
        <v>569386.76</v>
      </c>
      <c r="BH66" s="3">
        <v>506488.36999999994</v>
      </c>
      <c r="BI66" s="3">
        <v>617204.15</v>
      </c>
      <c r="BJ66" s="3">
        <v>250070.71</v>
      </c>
      <c r="BK66" s="3">
        <v>372834.17000000004</v>
      </c>
      <c r="BL66" s="3">
        <v>661875.94000000006</v>
      </c>
      <c r="BM66" s="3">
        <v>722203.8600000001</v>
      </c>
      <c r="BN66" s="3">
        <v>584489.30000000016</v>
      </c>
      <c r="BO66" s="3">
        <v>357085.27</v>
      </c>
      <c r="BP66" s="3">
        <v>27183664.840000004</v>
      </c>
    </row>
    <row r="67" spans="8:68" x14ac:dyDescent="0.25">
      <c r="H67" s="2">
        <v>4.7</v>
      </c>
      <c r="I67">
        <v>2540351.09</v>
      </c>
      <c r="P67" s="2" t="s">
        <v>41</v>
      </c>
      <c r="Q67" s="3">
        <v>134570.76</v>
      </c>
      <c r="R67" s="3">
        <v>544001.43999999994</v>
      </c>
      <c r="S67" s="3">
        <v>248987.66999999998</v>
      </c>
      <c r="T67" s="3">
        <v>663447.96000000008</v>
      </c>
      <c r="U67" s="3">
        <v>728670.78999999992</v>
      </c>
      <c r="V67" s="3">
        <v>380665.58999999997</v>
      </c>
      <c r="W67" s="3">
        <v>460899.75</v>
      </c>
      <c r="X67" s="3">
        <v>471382.14</v>
      </c>
      <c r="Y67" s="3">
        <v>808995.59000000008</v>
      </c>
      <c r="Z67" s="3">
        <v>471159.55000000005</v>
      </c>
      <c r="AA67" s="3">
        <v>512283.77</v>
      </c>
      <c r="AB67" s="3">
        <v>554601.85</v>
      </c>
      <c r="AC67" s="3">
        <v>745292.8899999999</v>
      </c>
      <c r="AD67" s="3">
        <v>625168.65</v>
      </c>
      <c r="AE67" s="3">
        <v>888227.82000000007</v>
      </c>
      <c r="AF67" s="3">
        <v>322128.45</v>
      </c>
      <c r="AG67" s="3">
        <v>321993.01</v>
      </c>
      <c r="AH67" s="3">
        <v>640500.85</v>
      </c>
      <c r="AI67" s="3">
        <v>624451.07000000007</v>
      </c>
      <c r="AJ67" s="3">
        <v>795456.67</v>
      </c>
      <c r="AK67" s="3">
        <v>535158.27</v>
      </c>
      <c r="AL67" s="3">
        <v>742531.26000000013</v>
      </c>
      <c r="AM67" s="3">
        <v>629400.75999999989</v>
      </c>
      <c r="AN67" s="3">
        <v>352112.21</v>
      </c>
      <c r="AO67" s="3">
        <v>496241.27</v>
      </c>
      <c r="AP67" s="3">
        <v>716099.08999999985</v>
      </c>
      <c r="AQ67" s="3">
        <v>597665.99</v>
      </c>
      <c r="AR67" s="3">
        <v>661966.02999999991</v>
      </c>
      <c r="AS67" s="3">
        <v>529624.30999999994</v>
      </c>
      <c r="AT67" s="3">
        <v>758713.99</v>
      </c>
      <c r="AU67" s="3">
        <v>711535.1</v>
      </c>
      <c r="AV67" s="3">
        <v>311840.49</v>
      </c>
      <c r="AW67" s="3">
        <v>445079.83999999997</v>
      </c>
      <c r="AX67" s="3">
        <v>607269.47</v>
      </c>
      <c r="AY67" s="3">
        <v>622680.52999999991</v>
      </c>
      <c r="AZ67" s="3">
        <v>475861.09999999992</v>
      </c>
      <c r="BA67" s="3">
        <v>645806.43999999994</v>
      </c>
      <c r="BB67" s="3">
        <v>922366.17999999982</v>
      </c>
      <c r="BC67" s="3">
        <v>668474.06000000006</v>
      </c>
      <c r="BD67" s="3">
        <v>670151.88</v>
      </c>
      <c r="BE67" s="3">
        <v>657953.59</v>
      </c>
      <c r="BF67" s="3">
        <v>662932.78</v>
      </c>
      <c r="BG67" s="3">
        <v>633196.09</v>
      </c>
      <c r="BH67" s="3">
        <v>426148.98</v>
      </c>
      <c r="BI67" s="3">
        <v>623351.15</v>
      </c>
      <c r="BJ67" s="3">
        <v>382534.88000000006</v>
      </c>
      <c r="BK67" s="3">
        <v>457468.94999999995</v>
      </c>
      <c r="BL67" s="3">
        <v>626600.76</v>
      </c>
      <c r="BM67" s="3">
        <v>688268.23</v>
      </c>
      <c r="BN67" s="3">
        <v>396815.97000000009</v>
      </c>
      <c r="BO67" s="3">
        <v>91865.5</v>
      </c>
      <c r="BP67" s="3">
        <v>28690601.419999998</v>
      </c>
    </row>
    <row r="68" spans="8:68" x14ac:dyDescent="0.25">
      <c r="H68" s="2">
        <v>4.8</v>
      </c>
      <c r="I68">
        <v>2917954.6299999994</v>
      </c>
      <c r="P68" s="2" t="s">
        <v>64</v>
      </c>
      <c r="Q68" s="3">
        <v>1450284.8299999998</v>
      </c>
      <c r="R68" s="3">
        <v>2069894.8199999998</v>
      </c>
      <c r="S68" s="3">
        <v>2410645.77</v>
      </c>
      <c r="T68" s="3">
        <v>3820144.04</v>
      </c>
      <c r="U68" s="3">
        <v>2652365.11</v>
      </c>
      <c r="V68" s="3">
        <v>2031022.7799999998</v>
      </c>
      <c r="W68" s="3">
        <v>2326359.0299999998</v>
      </c>
      <c r="X68" s="3">
        <v>2552660.4699999997</v>
      </c>
      <c r="Y68" s="3">
        <v>3379449.4699999997</v>
      </c>
      <c r="Z68" s="3">
        <v>2565542.08</v>
      </c>
      <c r="AA68" s="3">
        <v>2571564.6999999997</v>
      </c>
      <c r="AB68" s="3">
        <v>2739632.81</v>
      </c>
      <c r="AC68" s="3">
        <v>3367187.21</v>
      </c>
      <c r="AD68" s="3">
        <v>2514232.64</v>
      </c>
      <c r="AE68" s="3">
        <v>3004344.0200000005</v>
      </c>
      <c r="AF68" s="3">
        <v>2390936.81</v>
      </c>
      <c r="AG68" s="3">
        <v>2649534.5199999996</v>
      </c>
      <c r="AH68" s="3">
        <v>3221913.2300000004</v>
      </c>
      <c r="AI68" s="3">
        <v>2354527.4900000002</v>
      </c>
      <c r="AJ68" s="3">
        <v>2481539.3199999998</v>
      </c>
      <c r="AK68" s="3">
        <v>3003752.33</v>
      </c>
      <c r="AL68" s="3">
        <v>3246816.47</v>
      </c>
      <c r="AM68" s="3">
        <v>2917642.51</v>
      </c>
      <c r="AN68" s="3">
        <v>2084238.88</v>
      </c>
      <c r="AO68" s="3">
        <v>2833413.94</v>
      </c>
      <c r="AP68" s="3">
        <v>2056101.7099999997</v>
      </c>
      <c r="AQ68" s="3">
        <v>2325806.41</v>
      </c>
      <c r="AR68" s="3">
        <v>2868605.1999999997</v>
      </c>
      <c r="AS68" s="3">
        <v>2700559.39</v>
      </c>
      <c r="AT68" s="3">
        <v>3254061.8099999996</v>
      </c>
      <c r="AU68" s="3">
        <v>2557739.0099999998</v>
      </c>
      <c r="AV68" s="3">
        <v>2220712.58</v>
      </c>
      <c r="AW68" s="3">
        <v>2174450.8999999994</v>
      </c>
      <c r="AX68" s="3">
        <v>2231798.83</v>
      </c>
      <c r="AY68" s="3">
        <v>3074376.7099999995</v>
      </c>
      <c r="AZ68" s="3">
        <v>3110103.52</v>
      </c>
      <c r="BA68" s="3">
        <v>1943598.8900000001</v>
      </c>
      <c r="BB68" s="3">
        <v>2540351.09</v>
      </c>
      <c r="BC68" s="3">
        <v>2917954.6300000004</v>
      </c>
      <c r="BD68" s="3">
        <v>1993602</v>
      </c>
      <c r="BE68" s="3">
        <v>3138948.3299999996</v>
      </c>
      <c r="BF68" s="3">
        <v>3310367.55</v>
      </c>
      <c r="BG68" s="3">
        <v>2422833.4</v>
      </c>
      <c r="BH68" s="3">
        <v>2443322.4500000002</v>
      </c>
      <c r="BI68" s="3">
        <v>2270785.29</v>
      </c>
      <c r="BJ68" s="3">
        <v>2058320.82</v>
      </c>
      <c r="BK68" s="3">
        <v>1967048.22</v>
      </c>
      <c r="BL68" s="3">
        <v>3040928.62</v>
      </c>
      <c r="BM68" s="3">
        <v>2916972.0500000003</v>
      </c>
      <c r="BN68" s="3">
        <v>2164193.7000000007</v>
      </c>
      <c r="BO68" s="3">
        <v>1251867.94</v>
      </c>
      <c r="BP68" s="3">
        <v>131595056.33</v>
      </c>
    </row>
    <row r="69" spans="8:68" x14ac:dyDescent="0.25">
      <c r="H69" s="2">
        <v>4.9000000000000004</v>
      </c>
      <c r="I69">
        <v>1993601.9999999998</v>
      </c>
    </row>
    <row r="70" spans="8:68" x14ac:dyDescent="0.25">
      <c r="H70" s="2">
        <v>5</v>
      </c>
      <c r="I70">
        <v>3138948.3300000005</v>
      </c>
    </row>
    <row r="71" spans="8:68" x14ac:dyDescent="0.25">
      <c r="H71" s="2">
        <v>5.0999999999999996</v>
      </c>
      <c r="I71">
        <v>3310367.55</v>
      </c>
    </row>
    <row r="72" spans="8:68" x14ac:dyDescent="0.25">
      <c r="H72" s="2">
        <v>5.2</v>
      </c>
      <c r="I72">
        <v>2422833.4000000004</v>
      </c>
    </row>
    <row r="73" spans="8:68" x14ac:dyDescent="0.25">
      <c r="H73" s="2">
        <v>5.3</v>
      </c>
      <c r="I73">
        <v>2443322.4499999997</v>
      </c>
    </row>
    <row r="74" spans="8:68" x14ac:dyDescent="0.25">
      <c r="H74" s="2">
        <v>5.4</v>
      </c>
      <c r="I74">
        <v>2270785.2899999996</v>
      </c>
      <c r="Q74" s="1" t="s">
        <v>73</v>
      </c>
      <c r="R74" s="1" t="s">
        <v>74</v>
      </c>
    </row>
    <row r="75" spans="8:68" x14ac:dyDescent="0.25">
      <c r="H75" s="2">
        <v>5.5</v>
      </c>
      <c r="I75">
        <v>2058320.82</v>
      </c>
      <c r="Q75" s="1" t="s">
        <v>63</v>
      </c>
      <c r="R75" t="s">
        <v>27</v>
      </c>
      <c r="S75" t="s">
        <v>15</v>
      </c>
      <c r="T75" t="s">
        <v>64</v>
      </c>
    </row>
    <row r="76" spans="8:68" x14ac:dyDescent="0.25">
      <c r="H76" s="2">
        <v>5.6</v>
      </c>
      <c r="I76">
        <v>1967048.2200000004</v>
      </c>
      <c r="Q76" s="2" t="s">
        <v>24</v>
      </c>
      <c r="R76">
        <v>170</v>
      </c>
      <c r="S76">
        <v>198</v>
      </c>
      <c r="T76">
        <v>368</v>
      </c>
    </row>
    <row r="77" spans="8:68" x14ac:dyDescent="0.25">
      <c r="H77" s="2">
        <v>5.7</v>
      </c>
      <c r="I77">
        <v>3040928.6199999996</v>
      </c>
      <c r="Q77" s="2" t="s">
        <v>21</v>
      </c>
      <c r="R77">
        <v>177</v>
      </c>
      <c r="S77">
        <v>181</v>
      </c>
      <c r="T77">
        <v>358</v>
      </c>
    </row>
    <row r="78" spans="8:68" x14ac:dyDescent="0.25">
      <c r="H78" s="2">
        <v>5.8</v>
      </c>
      <c r="I78">
        <v>2916972.0500000007</v>
      </c>
      <c r="Q78" s="2" t="s">
        <v>29</v>
      </c>
      <c r="R78">
        <v>159</v>
      </c>
      <c r="S78">
        <v>188</v>
      </c>
      <c r="T78">
        <v>347</v>
      </c>
    </row>
    <row r="79" spans="8:68" x14ac:dyDescent="0.25">
      <c r="H79" s="2">
        <v>5.9</v>
      </c>
      <c r="I79">
        <v>2164193.6999999997</v>
      </c>
      <c r="Q79" s="2" t="s">
        <v>36</v>
      </c>
      <c r="R79">
        <v>162</v>
      </c>
      <c r="S79">
        <v>190</v>
      </c>
      <c r="T79">
        <v>352</v>
      </c>
    </row>
    <row r="80" spans="8:68" x14ac:dyDescent="0.25">
      <c r="H80" s="2">
        <v>6</v>
      </c>
      <c r="I80">
        <v>1251867.94</v>
      </c>
      <c r="Q80" s="2" t="s">
        <v>43</v>
      </c>
      <c r="R80">
        <v>176</v>
      </c>
      <c r="S80">
        <v>177</v>
      </c>
      <c r="T80">
        <v>353</v>
      </c>
    </row>
    <row r="81" spans="8:20" x14ac:dyDescent="0.25">
      <c r="H81" s="2" t="s">
        <v>64</v>
      </c>
      <c r="I81">
        <v>131595056.33000001</v>
      </c>
      <c r="Q81" s="2" t="s">
        <v>14</v>
      </c>
      <c r="R81">
        <v>161</v>
      </c>
      <c r="S81">
        <v>187</v>
      </c>
      <c r="T81">
        <v>348</v>
      </c>
    </row>
    <row r="82" spans="8:20" x14ac:dyDescent="0.25">
      <c r="Q82" s="2" t="s">
        <v>52</v>
      </c>
      <c r="R82">
        <v>187</v>
      </c>
      <c r="S82">
        <v>187</v>
      </c>
      <c r="T82">
        <v>374</v>
      </c>
    </row>
    <row r="83" spans="8:20" x14ac:dyDescent="0.25">
      <c r="Q83" s="2" t="s">
        <v>64</v>
      </c>
      <c r="R83">
        <v>1192</v>
      </c>
      <c r="S83">
        <v>1308</v>
      </c>
      <c r="T83">
        <v>2500</v>
      </c>
    </row>
  </sheetData>
  <pageMargins left="0.7" right="0.7" top="0.75" bottom="0.75" header="0.3" footer="0.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11B2-94A5-4A53-8D5C-04DC583D9EF7}">
  <dimension ref="A1"/>
  <sheetViews>
    <sheetView showGridLines="0" tabSelected="1" zoomScale="70" zoomScaleNormal="70" workbookViewId="0">
      <selection activeCell="AG40" sqref="AG40"/>
    </sheetView>
  </sheetViews>
  <sheetFormatPr defaultRowHeight="15" x14ac:dyDescent="0.25"/>
  <cols>
    <col min="1" max="16384" width="9.140625" style="8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D5BB-2127-4AC6-8786-8AFA54E3BE4C}">
  <dimension ref="A1:N2501"/>
  <sheetViews>
    <sheetView topLeftCell="A2" workbookViewId="0">
      <selection sqref="A1:N2501"/>
    </sheetView>
  </sheetViews>
  <sheetFormatPr defaultRowHeight="15" x14ac:dyDescent="0.25"/>
  <cols>
    <col min="1" max="1" width="8.42578125" bestFit="1" customWidth="1"/>
    <col min="2" max="2" width="9.7109375" bestFit="1" customWidth="1"/>
    <col min="3" max="3" width="7.28515625" bestFit="1" customWidth="1"/>
    <col min="4" max="4" width="13.28515625" bestFit="1" customWidth="1"/>
    <col min="5" max="5" width="14.85546875" bestFit="1" customWidth="1"/>
    <col min="6" max="6" width="10.5703125" bestFit="1" customWidth="1"/>
    <col min="7" max="7" width="12" bestFit="1" customWidth="1"/>
    <col min="8" max="8" width="9" bestFit="1" customWidth="1"/>
    <col min="10" max="10" width="11.85546875" bestFit="1" customWidth="1"/>
    <col min="11" max="11" width="19" bestFit="1" customWidth="1"/>
    <col min="12" max="12" width="16.28515625" bestFit="1" customWidth="1"/>
    <col min="13" max="13" width="20.7109375" bestFit="1" customWidth="1"/>
    <col min="14" max="14" width="17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>
        <v>2016</v>
      </c>
      <c r="D2">
        <v>2.2999999999999998</v>
      </c>
      <c r="E2" t="s">
        <v>15</v>
      </c>
      <c r="F2">
        <v>114832</v>
      </c>
      <c r="G2" t="s">
        <v>16</v>
      </c>
      <c r="H2">
        <v>26613.919999999998</v>
      </c>
      <c r="I2" t="s">
        <v>17</v>
      </c>
      <c r="J2" t="s">
        <v>18</v>
      </c>
      <c r="K2" t="s">
        <v>19</v>
      </c>
      <c r="L2">
        <v>10</v>
      </c>
      <c r="M2">
        <v>0.23</v>
      </c>
      <c r="N2" t="s">
        <v>20</v>
      </c>
    </row>
    <row r="3" spans="1:14" x14ac:dyDescent="0.25">
      <c r="A3">
        <v>2</v>
      </c>
      <c r="B3" t="s">
        <v>21</v>
      </c>
      <c r="C3">
        <v>2018</v>
      </c>
      <c r="D3">
        <v>4.4000000000000004</v>
      </c>
      <c r="E3" t="s">
        <v>15</v>
      </c>
      <c r="F3">
        <v>143190</v>
      </c>
      <c r="G3" t="s">
        <v>22</v>
      </c>
      <c r="H3">
        <v>14679.61</v>
      </c>
      <c r="I3" t="s">
        <v>23</v>
      </c>
      <c r="J3" t="s">
        <v>18</v>
      </c>
      <c r="K3" t="s">
        <v>19</v>
      </c>
      <c r="L3">
        <v>8</v>
      </c>
      <c r="M3">
        <v>0.1</v>
      </c>
      <c r="N3" t="s">
        <v>20</v>
      </c>
    </row>
    <row r="4" spans="1:14" x14ac:dyDescent="0.25">
      <c r="A4">
        <v>3</v>
      </c>
      <c r="B4" t="s">
        <v>24</v>
      </c>
      <c r="C4">
        <v>2013</v>
      </c>
      <c r="D4">
        <v>4.5</v>
      </c>
      <c r="E4" t="s">
        <v>15</v>
      </c>
      <c r="F4">
        <v>181601</v>
      </c>
      <c r="G4" t="s">
        <v>16</v>
      </c>
      <c r="H4">
        <v>44402.61</v>
      </c>
      <c r="I4" t="s">
        <v>25</v>
      </c>
      <c r="J4" t="s">
        <v>18</v>
      </c>
      <c r="K4" t="s">
        <v>26</v>
      </c>
      <c r="L4">
        <v>13</v>
      </c>
      <c r="M4">
        <v>0.24</v>
      </c>
      <c r="N4" t="s">
        <v>20</v>
      </c>
    </row>
    <row r="5" spans="1:14" x14ac:dyDescent="0.25">
      <c r="A5">
        <v>4</v>
      </c>
      <c r="B5" t="s">
        <v>14</v>
      </c>
      <c r="C5">
        <v>2011</v>
      </c>
      <c r="D5">
        <v>4.0999999999999996</v>
      </c>
      <c r="E5" t="s">
        <v>27</v>
      </c>
      <c r="F5">
        <v>68682</v>
      </c>
      <c r="G5" t="s">
        <v>16</v>
      </c>
      <c r="H5">
        <v>86374.33</v>
      </c>
      <c r="I5" t="s">
        <v>28</v>
      </c>
      <c r="J5" t="s">
        <v>18</v>
      </c>
      <c r="K5" t="s">
        <v>19</v>
      </c>
      <c r="L5">
        <v>15</v>
      </c>
      <c r="M5">
        <v>1.26</v>
      </c>
      <c r="N5" t="s">
        <v>20</v>
      </c>
    </row>
    <row r="6" spans="1:14" x14ac:dyDescent="0.25">
      <c r="A6">
        <v>5</v>
      </c>
      <c r="B6" t="s">
        <v>29</v>
      </c>
      <c r="C6">
        <v>2009</v>
      </c>
      <c r="D6">
        <v>2.6</v>
      </c>
      <c r="E6" t="s">
        <v>15</v>
      </c>
      <c r="F6">
        <v>223009</v>
      </c>
      <c r="G6" t="s">
        <v>30</v>
      </c>
      <c r="H6">
        <v>73577.100000000006</v>
      </c>
      <c r="I6" t="s">
        <v>31</v>
      </c>
      <c r="J6" t="s">
        <v>32</v>
      </c>
      <c r="K6" t="s">
        <v>26</v>
      </c>
      <c r="L6">
        <v>17</v>
      </c>
      <c r="M6">
        <v>0.33</v>
      </c>
      <c r="N6" t="s">
        <v>33</v>
      </c>
    </row>
    <row r="7" spans="1:14" x14ac:dyDescent="0.25">
      <c r="A7">
        <v>6</v>
      </c>
      <c r="B7" t="s">
        <v>24</v>
      </c>
      <c r="C7">
        <v>2019</v>
      </c>
      <c r="D7">
        <v>2.4</v>
      </c>
      <c r="E7" t="s">
        <v>27</v>
      </c>
      <c r="F7">
        <v>246553</v>
      </c>
      <c r="G7" t="s">
        <v>30</v>
      </c>
      <c r="H7">
        <v>88969.76</v>
      </c>
      <c r="I7" t="s">
        <v>34</v>
      </c>
      <c r="J7" t="s">
        <v>32</v>
      </c>
      <c r="K7" t="s">
        <v>26</v>
      </c>
      <c r="L7">
        <v>7</v>
      </c>
      <c r="M7">
        <v>0.36</v>
      </c>
      <c r="N7" t="s">
        <v>20</v>
      </c>
    </row>
    <row r="8" spans="1:14" x14ac:dyDescent="0.25">
      <c r="A8">
        <v>7</v>
      </c>
      <c r="B8" t="s">
        <v>24</v>
      </c>
      <c r="C8">
        <v>2020</v>
      </c>
      <c r="D8">
        <v>4</v>
      </c>
      <c r="E8" t="s">
        <v>27</v>
      </c>
      <c r="F8">
        <v>135486</v>
      </c>
      <c r="G8" t="s">
        <v>22</v>
      </c>
      <c r="H8">
        <v>63498.75</v>
      </c>
      <c r="I8" t="s">
        <v>35</v>
      </c>
      <c r="J8" t="s">
        <v>18</v>
      </c>
      <c r="K8" t="s">
        <v>19</v>
      </c>
      <c r="L8">
        <v>6</v>
      </c>
      <c r="M8">
        <v>0.47</v>
      </c>
      <c r="N8" t="s">
        <v>20</v>
      </c>
    </row>
    <row r="9" spans="1:14" x14ac:dyDescent="0.25">
      <c r="A9">
        <v>8</v>
      </c>
      <c r="B9" t="s">
        <v>14</v>
      </c>
      <c r="C9">
        <v>2017</v>
      </c>
      <c r="D9">
        <v>5.3</v>
      </c>
      <c r="E9" t="s">
        <v>27</v>
      </c>
      <c r="F9">
        <v>83030</v>
      </c>
      <c r="G9" t="s">
        <v>16</v>
      </c>
      <c r="H9">
        <v>17381.189999999999</v>
      </c>
      <c r="I9" t="s">
        <v>28</v>
      </c>
      <c r="J9" t="s">
        <v>18</v>
      </c>
      <c r="K9" t="s">
        <v>19</v>
      </c>
      <c r="L9">
        <v>9</v>
      </c>
      <c r="M9">
        <v>0.21</v>
      </c>
      <c r="N9" t="s">
        <v>20</v>
      </c>
    </row>
    <row r="10" spans="1:14" x14ac:dyDescent="0.25">
      <c r="A10">
        <v>9</v>
      </c>
      <c r="B10" t="s">
        <v>36</v>
      </c>
      <c r="C10">
        <v>2023</v>
      </c>
      <c r="D10">
        <v>5.7</v>
      </c>
      <c r="E10" t="s">
        <v>15</v>
      </c>
      <c r="F10">
        <v>120360</v>
      </c>
      <c r="G10" t="s">
        <v>30</v>
      </c>
      <c r="H10">
        <v>15905.62</v>
      </c>
      <c r="I10" t="s">
        <v>37</v>
      </c>
      <c r="J10" t="s">
        <v>18</v>
      </c>
      <c r="K10" t="s">
        <v>19</v>
      </c>
      <c r="L10">
        <v>3</v>
      </c>
      <c r="M10">
        <v>0.13</v>
      </c>
      <c r="N10" t="s">
        <v>33</v>
      </c>
    </row>
    <row r="11" spans="1:14" x14ac:dyDescent="0.25">
      <c r="A11">
        <v>10</v>
      </c>
      <c r="B11" t="s">
        <v>29</v>
      </c>
      <c r="C11">
        <v>2010</v>
      </c>
      <c r="D11">
        <v>1.5</v>
      </c>
      <c r="E11" t="s">
        <v>27</v>
      </c>
      <c r="F11">
        <v>135009</v>
      </c>
      <c r="G11" t="s">
        <v>30</v>
      </c>
      <c r="H11">
        <v>9560.2199999999993</v>
      </c>
      <c r="I11" t="s">
        <v>38</v>
      </c>
      <c r="J11" t="s">
        <v>18</v>
      </c>
      <c r="K11" t="s">
        <v>19</v>
      </c>
      <c r="L11">
        <v>16</v>
      </c>
      <c r="M11">
        <v>7.0000000000000007E-2</v>
      </c>
      <c r="N11" t="s">
        <v>33</v>
      </c>
    </row>
    <row r="12" spans="1:14" x14ac:dyDescent="0.25">
      <c r="A12">
        <v>11</v>
      </c>
      <c r="B12" t="s">
        <v>14</v>
      </c>
      <c r="C12">
        <v>2001</v>
      </c>
      <c r="D12">
        <v>1.8</v>
      </c>
      <c r="E12" t="s">
        <v>27</v>
      </c>
      <c r="F12">
        <v>298875</v>
      </c>
      <c r="G12" t="s">
        <v>30</v>
      </c>
      <c r="H12">
        <v>58872.6</v>
      </c>
      <c r="I12" t="s">
        <v>39</v>
      </c>
      <c r="J12" t="s">
        <v>18</v>
      </c>
      <c r="K12" t="s">
        <v>26</v>
      </c>
      <c r="L12">
        <v>25</v>
      </c>
      <c r="M12">
        <v>0.2</v>
      </c>
      <c r="N12" t="s">
        <v>20</v>
      </c>
    </row>
    <row r="13" spans="1:14" x14ac:dyDescent="0.25">
      <c r="A13">
        <v>12</v>
      </c>
      <c r="B13" t="s">
        <v>29</v>
      </c>
      <c r="C13">
        <v>2017</v>
      </c>
      <c r="D13">
        <v>5.7</v>
      </c>
      <c r="E13" t="s">
        <v>27</v>
      </c>
      <c r="F13">
        <v>169737</v>
      </c>
      <c r="G13" t="s">
        <v>22</v>
      </c>
      <c r="H13">
        <v>28074.19</v>
      </c>
      <c r="I13" t="s">
        <v>31</v>
      </c>
      <c r="J13" t="s">
        <v>18</v>
      </c>
      <c r="K13" t="s">
        <v>26</v>
      </c>
      <c r="L13">
        <v>9</v>
      </c>
      <c r="M13">
        <v>0.17</v>
      </c>
      <c r="N13" t="s">
        <v>33</v>
      </c>
    </row>
    <row r="14" spans="1:14" x14ac:dyDescent="0.25">
      <c r="A14">
        <v>13</v>
      </c>
      <c r="B14" t="s">
        <v>29</v>
      </c>
      <c r="C14">
        <v>2006</v>
      </c>
      <c r="D14">
        <v>4.7</v>
      </c>
      <c r="E14" t="s">
        <v>27</v>
      </c>
      <c r="F14">
        <v>114360</v>
      </c>
      <c r="G14" t="s">
        <v>16</v>
      </c>
      <c r="H14">
        <v>74766.45</v>
      </c>
      <c r="I14" t="s">
        <v>40</v>
      </c>
      <c r="J14" t="s">
        <v>41</v>
      </c>
      <c r="K14" t="s">
        <v>19</v>
      </c>
      <c r="L14">
        <v>20</v>
      </c>
      <c r="M14">
        <v>0.65</v>
      </c>
      <c r="N14" t="s">
        <v>33</v>
      </c>
    </row>
    <row r="15" spans="1:14" x14ac:dyDescent="0.25">
      <c r="A15">
        <v>14</v>
      </c>
      <c r="B15" t="s">
        <v>24</v>
      </c>
      <c r="C15">
        <v>2023</v>
      </c>
      <c r="D15">
        <v>5.4</v>
      </c>
      <c r="E15" t="s">
        <v>27</v>
      </c>
      <c r="F15">
        <v>263894</v>
      </c>
      <c r="G15" t="s">
        <v>30</v>
      </c>
      <c r="H15">
        <v>70193.740000000005</v>
      </c>
      <c r="I15" t="s">
        <v>34</v>
      </c>
      <c r="J15" t="s">
        <v>18</v>
      </c>
      <c r="K15" t="s">
        <v>26</v>
      </c>
      <c r="L15">
        <v>3</v>
      </c>
      <c r="M15">
        <v>0.27</v>
      </c>
      <c r="N15" t="s">
        <v>20</v>
      </c>
    </row>
    <row r="16" spans="1:14" x14ac:dyDescent="0.25">
      <c r="A16">
        <v>15</v>
      </c>
      <c r="B16" t="s">
        <v>21</v>
      </c>
      <c r="C16">
        <v>2014</v>
      </c>
      <c r="D16">
        <v>2</v>
      </c>
      <c r="E16" t="s">
        <v>27</v>
      </c>
      <c r="F16">
        <v>65018</v>
      </c>
      <c r="G16" t="s">
        <v>16</v>
      </c>
      <c r="H16">
        <v>35220.519999999997</v>
      </c>
      <c r="I16" t="s">
        <v>42</v>
      </c>
      <c r="J16" t="s">
        <v>18</v>
      </c>
      <c r="K16" t="s">
        <v>19</v>
      </c>
      <c r="L16">
        <v>12</v>
      </c>
      <c r="M16">
        <v>0.54</v>
      </c>
      <c r="N16" t="s">
        <v>20</v>
      </c>
    </row>
    <row r="17" spans="1:14" x14ac:dyDescent="0.25">
      <c r="A17">
        <v>16</v>
      </c>
      <c r="B17" t="s">
        <v>29</v>
      </c>
      <c r="C17">
        <v>2010</v>
      </c>
      <c r="D17">
        <v>3.9</v>
      </c>
      <c r="E17" t="s">
        <v>27</v>
      </c>
      <c r="F17">
        <v>240904</v>
      </c>
      <c r="G17" t="s">
        <v>22</v>
      </c>
      <c r="H17">
        <v>21796.16</v>
      </c>
      <c r="I17" t="s">
        <v>31</v>
      </c>
      <c r="J17" t="s">
        <v>18</v>
      </c>
      <c r="K17" t="s">
        <v>26</v>
      </c>
      <c r="L17">
        <v>16</v>
      </c>
      <c r="M17">
        <v>0.09</v>
      </c>
      <c r="N17" t="s">
        <v>33</v>
      </c>
    </row>
    <row r="18" spans="1:14" x14ac:dyDescent="0.25">
      <c r="A18">
        <v>17</v>
      </c>
      <c r="B18" t="s">
        <v>43</v>
      </c>
      <c r="C18">
        <v>2017</v>
      </c>
      <c r="D18">
        <v>4.5</v>
      </c>
      <c r="E18" t="s">
        <v>27</v>
      </c>
      <c r="F18">
        <v>136817</v>
      </c>
      <c r="G18" t="s">
        <v>16</v>
      </c>
      <c r="H18">
        <v>14728.03</v>
      </c>
      <c r="I18" t="s">
        <v>44</v>
      </c>
      <c r="J18" t="s">
        <v>18</v>
      </c>
      <c r="K18" t="s">
        <v>19</v>
      </c>
      <c r="L18">
        <v>9</v>
      </c>
      <c r="M18">
        <v>0.11</v>
      </c>
      <c r="N18" t="s">
        <v>20</v>
      </c>
    </row>
    <row r="19" spans="1:14" x14ac:dyDescent="0.25">
      <c r="A19">
        <v>18</v>
      </c>
      <c r="B19" t="s">
        <v>24</v>
      </c>
      <c r="C19">
        <v>2022</v>
      </c>
      <c r="D19">
        <v>4.4000000000000004</v>
      </c>
      <c r="E19" t="s">
        <v>27</v>
      </c>
      <c r="F19">
        <v>192803</v>
      </c>
      <c r="G19" t="s">
        <v>30</v>
      </c>
      <c r="H19">
        <v>75044.95</v>
      </c>
      <c r="I19" t="s">
        <v>45</v>
      </c>
      <c r="J19" t="s">
        <v>46</v>
      </c>
      <c r="K19" t="s">
        <v>26</v>
      </c>
      <c r="L19">
        <v>4</v>
      </c>
      <c r="M19">
        <v>0.39</v>
      </c>
      <c r="N19" t="s">
        <v>20</v>
      </c>
    </row>
    <row r="20" spans="1:14" x14ac:dyDescent="0.25">
      <c r="A20">
        <v>19</v>
      </c>
      <c r="B20" t="s">
        <v>36</v>
      </c>
      <c r="C20">
        <v>2011</v>
      </c>
      <c r="D20">
        <v>3</v>
      </c>
      <c r="E20" t="s">
        <v>27</v>
      </c>
      <c r="F20">
        <v>86984</v>
      </c>
      <c r="G20" t="s">
        <v>16</v>
      </c>
      <c r="H20">
        <v>47791.89</v>
      </c>
      <c r="I20" t="s">
        <v>37</v>
      </c>
      <c r="J20" t="s">
        <v>18</v>
      </c>
      <c r="K20" t="s">
        <v>19</v>
      </c>
      <c r="L20">
        <v>15</v>
      </c>
      <c r="M20">
        <v>0.55000000000000004</v>
      </c>
      <c r="N20" t="s">
        <v>33</v>
      </c>
    </row>
    <row r="21" spans="1:14" x14ac:dyDescent="0.25">
      <c r="A21">
        <v>20</v>
      </c>
      <c r="B21" t="s">
        <v>21</v>
      </c>
      <c r="C21">
        <v>2005</v>
      </c>
      <c r="D21">
        <v>1.1000000000000001</v>
      </c>
      <c r="E21" t="s">
        <v>27</v>
      </c>
      <c r="F21">
        <v>290595</v>
      </c>
      <c r="G21" t="s">
        <v>16</v>
      </c>
      <c r="H21">
        <v>35735.339999999997</v>
      </c>
      <c r="I21" t="s">
        <v>47</v>
      </c>
      <c r="J21" t="s">
        <v>41</v>
      </c>
      <c r="K21" t="s">
        <v>26</v>
      </c>
      <c r="L21">
        <v>21</v>
      </c>
      <c r="M21">
        <v>0.12</v>
      </c>
      <c r="N21" t="s">
        <v>20</v>
      </c>
    </row>
    <row r="22" spans="1:14" x14ac:dyDescent="0.25">
      <c r="A22">
        <v>21</v>
      </c>
      <c r="B22" t="s">
        <v>43</v>
      </c>
      <c r="C22">
        <v>2019</v>
      </c>
      <c r="D22">
        <v>3.9</v>
      </c>
      <c r="E22" t="s">
        <v>27</v>
      </c>
      <c r="F22">
        <v>192608</v>
      </c>
      <c r="G22" t="s">
        <v>22</v>
      </c>
      <c r="H22">
        <v>86382.04</v>
      </c>
      <c r="I22" t="s">
        <v>48</v>
      </c>
      <c r="J22" t="s">
        <v>41</v>
      </c>
      <c r="K22" t="s">
        <v>26</v>
      </c>
      <c r="L22">
        <v>7</v>
      </c>
      <c r="M22">
        <v>0.45</v>
      </c>
      <c r="N22" t="s">
        <v>20</v>
      </c>
    </row>
    <row r="23" spans="1:14" x14ac:dyDescent="0.25">
      <c r="A23">
        <v>22</v>
      </c>
      <c r="B23" t="s">
        <v>43</v>
      </c>
      <c r="C23">
        <v>2022</v>
      </c>
      <c r="D23">
        <v>2.2999999999999998</v>
      </c>
      <c r="E23" t="s">
        <v>15</v>
      </c>
      <c r="F23">
        <v>12150</v>
      </c>
      <c r="G23" t="s">
        <v>22</v>
      </c>
      <c r="H23">
        <v>61393.26</v>
      </c>
      <c r="I23" t="s">
        <v>49</v>
      </c>
      <c r="J23" t="s">
        <v>18</v>
      </c>
      <c r="K23" t="s">
        <v>50</v>
      </c>
      <c r="L23">
        <v>4</v>
      </c>
      <c r="M23">
        <v>5.05</v>
      </c>
      <c r="N23" t="s">
        <v>20</v>
      </c>
    </row>
    <row r="24" spans="1:14" x14ac:dyDescent="0.25">
      <c r="A24">
        <v>23</v>
      </c>
      <c r="B24" t="s">
        <v>36</v>
      </c>
      <c r="C24">
        <v>2012</v>
      </c>
      <c r="D24">
        <v>3.3</v>
      </c>
      <c r="E24" t="s">
        <v>15</v>
      </c>
      <c r="F24">
        <v>275550</v>
      </c>
      <c r="G24" t="s">
        <v>16</v>
      </c>
      <c r="H24">
        <v>54210.22</v>
      </c>
      <c r="I24" t="s">
        <v>51</v>
      </c>
      <c r="J24" t="s">
        <v>32</v>
      </c>
      <c r="K24" t="s">
        <v>26</v>
      </c>
      <c r="L24">
        <v>14</v>
      </c>
      <c r="M24">
        <v>0.2</v>
      </c>
      <c r="N24" t="s">
        <v>33</v>
      </c>
    </row>
    <row r="25" spans="1:14" x14ac:dyDescent="0.25">
      <c r="A25">
        <v>24</v>
      </c>
      <c r="B25" t="s">
        <v>21</v>
      </c>
      <c r="C25">
        <v>2019</v>
      </c>
      <c r="D25">
        <v>5.8</v>
      </c>
      <c r="E25" t="s">
        <v>27</v>
      </c>
      <c r="F25">
        <v>150853</v>
      </c>
      <c r="G25" t="s">
        <v>16</v>
      </c>
      <c r="H25">
        <v>75621.02</v>
      </c>
      <c r="I25" t="s">
        <v>47</v>
      </c>
      <c r="J25" t="s">
        <v>46</v>
      </c>
      <c r="K25" t="s">
        <v>26</v>
      </c>
      <c r="L25">
        <v>7</v>
      </c>
      <c r="M25">
        <v>0.5</v>
      </c>
      <c r="N25" t="s">
        <v>20</v>
      </c>
    </row>
    <row r="26" spans="1:14" x14ac:dyDescent="0.25">
      <c r="A26">
        <v>25</v>
      </c>
      <c r="B26" t="s">
        <v>24</v>
      </c>
      <c r="C26">
        <v>2015</v>
      </c>
      <c r="D26">
        <v>3</v>
      </c>
      <c r="E26" t="s">
        <v>27</v>
      </c>
      <c r="F26">
        <v>188489</v>
      </c>
      <c r="G26" t="s">
        <v>16</v>
      </c>
      <c r="H26">
        <v>82480.399999999994</v>
      </c>
      <c r="I26" t="s">
        <v>35</v>
      </c>
      <c r="J26" t="s">
        <v>18</v>
      </c>
      <c r="K26" t="s">
        <v>26</v>
      </c>
      <c r="L26">
        <v>11</v>
      </c>
      <c r="M26">
        <v>0.44</v>
      </c>
      <c r="N26" t="s">
        <v>20</v>
      </c>
    </row>
    <row r="27" spans="1:14" x14ac:dyDescent="0.25">
      <c r="A27">
        <v>26</v>
      </c>
      <c r="B27" t="s">
        <v>52</v>
      </c>
      <c r="C27">
        <v>2017</v>
      </c>
      <c r="D27">
        <v>5.2</v>
      </c>
      <c r="E27" t="s">
        <v>27</v>
      </c>
      <c r="F27">
        <v>18325</v>
      </c>
      <c r="G27" t="s">
        <v>22</v>
      </c>
      <c r="H27">
        <v>70176.95</v>
      </c>
      <c r="I27" t="s">
        <v>53</v>
      </c>
      <c r="J27" t="s">
        <v>18</v>
      </c>
      <c r="K27" t="s">
        <v>50</v>
      </c>
      <c r="L27">
        <v>9</v>
      </c>
      <c r="M27">
        <v>3.83</v>
      </c>
      <c r="N27" t="s">
        <v>33</v>
      </c>
    </row>
    <row r="28" spans="1:14" x14ac:dyDescent="0.25">
      <c r="A28">
        <v>27</v>
      </c>
      <c r="B28" t="s">
        <v>21</v>
      </c>
      <c r="C28">
        <v>2009</v>
      </c>
      <c r="D28">
        <v>1.9</v>
      </c>
      <c r="E28" t="s">
        <v>15</v>
      </c>
      <c r="F28">
        <v>199756</v>
      </c>
      <c r="G28" t="s">
        <v>22</v>
      </c>
      <c r="H28">
        <v>46800.6</v>
      </c>
      <c r="I28" t="s">
        <v>42</v>
      </c>
      <c r="J28" t="s">
        <v>18</v>
      </c>
      <c r="K28" t="s">
        <v>26</v>
      </c>
      <c r="L28">
        <v>17</v>
      </c>
      <c r="M28">
        <v>0.23</v>
      </c>
      <c r="N28" t="s">
        <v>20</v>
      </c>
    </row>
    <row r="29" spans="1:14" x14ac:dyDescent="0.25">
      <c r="A29">
        <v>28</v>
      </c>
      <c r="B29" t="s">
        <v>36</v>
      </c>
      <c r="C29">
        <v>2022</v>
      </c>
      <c r="D29">
        <v>4.4000000000000004</v>
      </c>
      <c r="E29" t="s">
        <v>15</v>
      </c>
      <c r="F29">
        <v>204541</v>
      </c>
      <c r="G29" t="s">
        <v>16</v>
      </c>
      <c r="H29">
        <v>41033.39</v>
      </c>
      <c r="I29" t="s">
        <v>54</v>
      </c>
      <c r="J29" t="s">
        <v>32</v>
      </c>
      <c r="K29" t="s">
        <v>26</v>
      </c>
      <c r="L29">
        <v>4</v>
      </c>
      <c r="M29">
        <v>0.2</v>
      </c>
      <c r="N29" t="s">
        <v>33</v>
      </c>
    </row>
    <row r="30" spans="1:14" x14ac:dyDescent="0.25">
      <c r="A30">
        <v>29</v>
      </c>
      <c r="B30" t="s">
        <v>43</v>
      </c>
      <c r="C30">
        <v>2007</v>
      </c>
      <c r="D30">
        <v>5.9</v>
      </c>
      <c r="E30" t="s">
        <v>15</v>
      </c>
      <c r="F30">
        <v>17669</v>
      </c>
      <c r="G30" t="s">
        <v>22</v>
      </c>
      <c r="H30">
        <v>78308.17</v>
      </c>
      <c r="I30" t="s">
        <v>55</v>
      </c>
      <c r="J30" t="s">
        <v>32</v>
      </c>
      <c r="K30" t="s">
        <v>50</v>
      </c>
      <c r="L30">
        <v>19</v>
      </c>
      <c r="M30">
        <v>4.43</v>
      </c>
      <c r="N30" t="s">
        <v>20</v>
      </c>
    </row>
    <row r="31" spans="1:14" x14ac:dyDescent="0.25">
      <c r="A31">
        <v>30</v>
      </c>
      <c r="B31" t="s">
        <v>24</v>
      </c>
      <c r="C31">
        <v>2017</v>
      </c>
      <c r="D31">
        <v>1.5</v>
      </c>
      <c r="E31" t="s">
        <v>27</v>
      </c>
      <c r="F31">
        <v>207836</v>
      </c>
      <c r="G31" t="s">
        <v>30</v>
      </c>
      <c r="H31">
        <v>54201.18</v>
      </c>
      <c r="I31" t="s">
        <v>45</v>
      </c>
      <c r="J31" t="s">
        <v>32</v>
      </c>
      <c r="K31" t="s">
        <v>26</v>
      </c>
      <c r="L31">
        <v>9</v>
      </c>
      <c r="M31">
        <v>0.26</v>
      </c>
      <c r="N31" t="s">
        <v>20</v>
      </c>
    </row>
    <row r="32" spans="1:14" x14ac:dyDescent="0.25">
      <c r="A32">
        <v>31</v>
      </c>
      <c r="B32" t="s">
        <v>21</v>
      </c>
      <c r="C32">
        <v>2020</v>
      </c>
      <c r="D32">
        <v>1</v>
      </c>
      <c r="E32" t="s">
        <v>27</v>
      </c>
      <c r="F32">
        <v>132915</v>
      </c>
      <c r="G32" t="s">
        <v>22</v>
      </c>
      <c r="H32">
        <v>71916.679999999993</v>
      </c>
      <c r="I32" t="s">
        <v>47</v>
      </c>
      <c r="J32" t="s">
        <v>46</v>
      </c>
      <c r="K32" t="s">
        <v>19</v>
      </c>
      <c r="L32">
        <v>6</v>
      </c>
      <c r="M32">
        <v>0.54</v>
      </c>
      <c r="N32" t="s">
        <v>20</v>
      </c>
    </row>
    <row r="33" spans="1:14" x14ac:dyDescent="0.25">
      <c r="A33">
        <v>32</v>
      </c>
      <c r="B33" t="s">
        <v>52</v>
      </c>
      <c r="C33">
        <v>2000</v>
      </c>
      <c r="D33">
        <v>3.2</v>
      </c>
      <c r="E33" t="s">
        <v>27</v>
      </c>
      <c r="F33">
        <v>196681</v>
      </c>
      <c r="G33" t="s">
        <v>22</v>
      </c>
      <c r="H33">
        <v>89587.88</v>
      </c>
      <c r="I33" t="s">
        <v>56</v>
      </c>
      <c r="J33" t="s">
        <v>41</v>
      </c>
      <c r="K33" t="s">
        <v>26</v>
      </c>
      <c r="L33">
        <v>26</v>
      </c>
      <c r="M33">
        <v>0.46</v>
      </c>
      <c r="N33" t="s">
        <v>33</v>
      </c>
    </row>
    <row r="34" spans="1:14" x14ac:dyDescent="0.25">
      <c r="A34">
        <v>33</v>
      </c>
      <c r="B34" t="s">
        <v>52</v>
      </c>
      <c r="C34">
        <v>2022</v>
      </c>
      <c r="D34">
        <v>1.5</v>
      </c>
      <c r="E34" t="s">
        <v>27</v>
      </c>
      <c r="F34">
        <v>50812</v>
      </c>
      <c r="G34" t="s">
        <v>22</v>
      </c>
      <c r="H34">
        <v>92009.61</v>
      </c>
      <c r="I34" t="s">
        <v>56</v>
      </c>
      <c r="J34" t="s">
        <v>46</v>
      </c>
      <c r="K34" t="s">
        <v>19</v>
      </c>
      <c r="L34">
        <v>4</v>
      </c>
      <c r="M34">
        <v>1.81</v>
      </c>
      <c r="N34" t="s">
        <v>33</v>
      </c>
    </row>
    <row r="35" spans="1:14" x14ac:dyDescent="0.25">
      <c r="A35">
        <v>34</v>
      </c>
      <c r="B35" t="s">
        <v>29</v>
      </c>
      <c r="C35">
        <v>2007</v>
      </c>
      <c r="D35">
        <v>4.7</v>
      </c>
      <c r="E35" t="s">
        <v>15</v>
      </c>
      <c r="F35">
        <v>278203</v>
      </c>
      <c r="G35" t="s">
        <v>30</v>
      </c>
      <c r="H35">
        <v>31382.99</v>
      </c>
      <c r="I35" t="s">
        <v>40</v>
      </c>
      <c r="J35" t="s">
        <v>32</v>
      </c>
      <c r="K35" t="s">
        <v>26</v>
      </c>
      <c r="L35">
        <v>19</v>
      </c>
      <c r="M35">
        <v>0.11</v>
      </c>
      <c r="N35" t="s">
        <v>33</v>
      </c>
    </row>
    <row r="36" spans="1:14" x14ac:dyDescent="0.25">
      <c r="A36">
        <v>35</v>
      </c>
      <c r="B36" t="s">
        <v>29</v>
      </c>
      <c r="C36">
        <v>2005</v>
      </c>
      <c r="D36">
        <v>5.6</v>
      </c>
      <c r="E36" t="s">
        <v>27</v>
      </c>
      <c r="F36">
        <v>252862</v>
      </c>
      <c r="G36" t="s">
        <v>30</v>
      </c>
      <c r="H36">
        <v>22849.55</v>
      </c>
      <c r="I36" t="s">
        <v>31</v>
      </c>
      <c r="J36" t="s">
        <v>41</v>
      </c>
      <c r="K36" t="s">
        <v>26</v>
      </c>
      <c r="L36">
        <v>21</v>
      </c>
      <c r="M36">
        <v>0.09</v>
      </c>
      <c r="N36" t="s">
        <v>33</v>
      </c>
    </row>
    <row r="37" spans="1:14" x14ac:dyDescent="0.25">
      <c r="A37">
        <v>36</v>
      </c>
      <c r="B37" t="s">
        <v>14</v>
      </c>
      <c r="C37">
        <v>2004</v>
      </c>
      <c r="D37">
        <v>3.2</v>
      </c>
      <c r="E37" t="s">
        <v>15</v>
      </c>
      <c r="F37">
        <v>171840</v>
      </c>
      <c r="G37" t="s">
        <v>30</v>
      </c>
      <c r="H37">
        <v>29822.3</v>
      </c>
      <c r="I37" t="s">
        <v>39</v>
      </c>
      <c r="J37" t="s">
        <v>18</v>
      </c>
      <c r="K37" t="s">
        <v>26</v>
      </c>
      <c r="L37">
        <v>22</v>
      </c>
      <c r="M37">
        <v>0.17</v>
      </c>
      <c r="N37" t="s">
        <v>20</v>
      </c>
    </row>
    <row r="38" spans="1:14" x14ac:dyDescent="0.25">
      <c r="A38">
        <v>37</v>
      </c>
      <c r="B38" t="s">
        <v>36</v>
      </c>
      <c r="C38">
        <v>2014</v>
      </c>
      <c r="D38">
        <v>2.2999999999999998</v>
      </c>
      <c r="E38" t="s">
        <v>15</v>
      </c>
      <c r="F38">
        <v>25395</v>
      </c>
      <c r="G38" t="s">
        <v>16</v>
      </c>
      <c r="H38">
        <v>76380.320000000007</v>
      </c>
      <c r="I38" t="s">
        <v>57</v>
      </c>
      <c r="J38" t="s">
        <v>32</v>
      </c>
      <c r="K38" t="s">
        <v>50</v>
      </c>
      <c r="L38">
        <v>12</v>
      </c>
      <c r="M38">
        <v>3.01</v>
      </c>
      <c r="N38" t="s">
        <v>33</v>
      </c>
    </row>
    <row r="39" spans="1:14" x14ac:dyDescent="0.25">
      <c r="A39">
        <v>38</v>
      </c>
      <c r="B39" t="s">
        <v>21</v>
      </c>
      <c r="C39">
        <v>2021</v>
      </c>
      <c r="D39">
        <v>3.2</v>
      </c>
      <c r="E39" t="s">
        <v>27</v>
      </c>
      <c r="F39">
        <v>282346</v>
      </c>
      <c r="G39" t="s">
        <v>16</v>
      </c>
      <c r="H39">
        <v>40155.51</v>
      </c>
      <c r="I39" t="s">
        <v>23</v>
      </c>
      <c r="J39" t="s">
        <v>32</v>
      </c>
      <c r="K39" t="s">
        <v>26</v>
      </c>
      <c r="L39">
        <v>5</v>
      </c>
      <c r="M39">
        <v>0.14000000000000001</v>
      </c>
      <c r="N39" t="s">
        <v>20</v>
      </c>
    </row>
    <row r="40" spans="1:14" x14ac:dyDescent="0.25">
      <c r="A40">
        <v>39</v>
      </c>
      <c r="B40" t="s">
        <v>21</v>
      </c>
      <c r="C40">
        <v>2014</v>
      </c>
      <c r="D40">
        <v>4.5999999999999996</v>
      </c>
      <c r="E40" t="s">
        <v>15</v>
      </c>
      <c r="F40">
        <v>229707</v>
      </c>
      <c r="G40" t="s">
        <v>30</v>
      </c>
      <c r="H40">
        <v>21471.98</v>
      </c>
      <c r="I40" t="s">
        <v>42</v>
      </c>
      <c r="J40" t="s">
        <v>46</v>
      </c>
      <c r="K40" t="s">
        <v>26</v>
      </c>
      <c r="L40">
        <v>12</v>
      </c>
      <c r="M40">
        <v>0.09</v>
      </c>
      <c r="N40" t="s">
        <v>20</v>
      </c>
    </row>
    <row r="41" spans="1:14" x14ac:dyDescent="0.25">
      <c r="A41">
        <v>40</v>
      </c>
      <c r="B41" t="s">
        <v>14</v>
      </c>
      <c r="C41">
        <v>2001</v>
      </c>
      <c r="D41">
        <v>1</v>
      </c>
      <c r="E41" t="s">
        <v>15</v>
      </c>
      <c r="F41">
        <v>247181</v>
      </c>
      <c r="G41" t="s">
        <v>16</v>
      </c>
      <c r="H41">
        <v>14346.62</v>
      </c>
      <c r="I41" t="s">
        <v>17</v>
      </c>
      <c r="J41" t="s">
        <v>18</v>
      </c>
      <c r="K41" t="s">
        <v>26</v>
      </c>
      <c r="L41">
        <v>25</v>
      </c>
      <c r="M41">
        <v>0.06</v>
      </c>
      <c r="N41" t="s">
        <v>20</v>
      </c>
    </row>
    <row r="42" spans="1:14" x14ac:dyDescent="0.25">
      <c r="A42">
        <v>41</v>
      </c>
      <c r="B42" t="s">
        <v>43</v>
      </c>
      <c r="C42">
        <v>2000</v>
      </c>
      <c r="D42">
        <v>3.9</v>
      </c>
      <c r="E42" t="s">
        <v>15</v>
      </c>
      <c r="F42">
        <v>204120</v>
      </c>
      <c r="G42" t="s">
        <v>16</v>
      </c>
      <c r="H42">
        <v>36094.75</v>
      </c>
      <c r="I42" t="s">
        <v>49</v>
      </c>
      <c r="J42" t="s">
        <v>41</v>
      </c>
      <c r="K42" t="s">
        <v>26</v>
      </c>
      <c r="L42">
        <v>26</v>
      </c>
      <c r="M42">
        <v>0.18</v>
      </c>
      <c r="N42" t="s">
        <v>20</v>
      </c>
    </row>
    <row r="43" spans="1:14" x14ac:dyDescent="0.25">
      <c r="A43">
        <v>42</v>
      </c>
      <c r="B43" t="s">
        <v>43</v>
      </c>
      <c r="C43">
        <v>2022</v>
      </c>
      <c r="D43">
        <v>4.0999999999999996</v>
      </c>
      <c r="E43" t="s">
        <v>15</v>
      </c>
      <c r="F43">
        <v>224839</v>
      </c>
      <c r="G43" t="s">
        <v>16</v>
      </c>
      <c r="H43">
        <v>17932.96</v>
      </c>
      <c r="I43" t="s">
        <v>44</v>
      </c>
      <c r="J43" t="s">
        <v>18</v>
      </c>
      <c r="K43" t="s">
        <v>26</v>
      </c>
      <c r="L43">
        <v>4</v>
      </c>
      <c r="M43">
        <v>0.08</v>
      </c>
      <c r="N43" t="s">
        <v>20</v>
      </c>
    </row>
    <row r="44" spans="1:14" x14ac:dyDescent="0.25">
      <c r="A44">
        <v>43</v>
      </c>
      <c r="B44" t="s">
        <v>14</v>
      </c>
      <c r="C44">
        <v>2022</v>
      </c>
      <c r="D44">
        <v>4.2</v>
      </c>
      <c r="E44" t="s">
        <v>27</v>
      </c>
      <c r="F44">
        <v>219882</v>
      </c>
      <c r="G44" t="s">
        <v>30</v>
      </c>
      <c r="H44">
        <v>19855.490000000002</v>
      </c>
      <c r="I44" t="s">
        <v>28</v>
      </c>
      <c r="J44" t="s">
        <v>18</v>
      </c>
      <c r="K44" t="s">
        <v>26</v>
      </c>
      <c r="L44">
        <v>4</v>
      </c>
      <c r="M44">
        <v>0.09</v>
      </c>
      <c r="N44" t="s">
        <v>20</v>
      </c>
    </row>
    <row r="45" spans="1:14" x14ac:dyDescent="0.25">
      <c r="A45">
        <v>44</v>
      </c>
      <c r="B45" t="s">
        <v>43</v>
      </c>
      <c r="C45">
        <v>2010</v>
      </c>
      <c r="D45">
        <v>2.2000000000000002</v>
      </c>
      <c r="E45" t="s">
        <v>27</v>
      </c>
      <c r="F45">
        <v>103235</v>
      </c>
      <c r="G45" t="s">
        <v>22</v>
      </c>
      <c r="H45">
        <v>69968.98</v>
      </c>
      <c r="I45" t="s">
        <v>48</v>
      </c>
      <c r="J45" t="s">
        <v>32</v>
      </c>
      <c r="K45" t="s">
        <v>19</v>
      </c>
      <c r="L45">
        <v>16</v>
      </c>
      <c r="M45">
        <v>0.68</v>
      </c>
      <c r="N45" t="s">
        <v>20</v>
      </c>
    </row>
    <row r="46" spans="1:14" x14ac:dyDescent="0.25">
      <c r="A46">
        <v>45</v>
      </c>
      <c r="B46" t="s">
        <v>29</v>
      </c>
      <c r="C46">
        <v>2009</v>
      </c>
      <c r="D46">
        <v>4.5999999999999996</v>
      </c>
      <c r="E46" t="s">
        <v>15</v>
      </c>
      <c r="F46">
        <v>45510</v>
      </c>
      <c r="G46" t="s">
        <v>30</v>
      </c>
      <c r="H46">
        <v>6874.55</v>
      </c>
      <c r="I46" t="s">
        <v>38</v>
      </c>
      <c r="J46" t="s">
        <v>46</v>
      </c>
      <c r="K46" t="s">
        <v>50</v>
      </c>
      <c r="L46">
        <v>17</v>
      </c>
      <c r="M46">
        <v>0.15</v>
      </c>
      <c r="N46" t="s">
        <v>33</v>
      </c>
    </row>
    <row r="47" spans="1:14" x14ac:dyDescent="0.25">
      <c r="A47">
        <v>46</v>
      </c>
      <c r="B47" t="s">
        <v>21</v>
      </c>
      <c r="C47">
        <v>2017</v>
      </c>
      <c r="D47">
        <v>1.5</v>
      </c>
      <c r="E47" t="s">
        <v>27</v>
      </c>
      <c r="F47">
        <v>87945</v>
      </c>
      <c r="G47" t="s">
        <v>30</v>
      </c>
      <c r="H47">
        <v>16167.56</v>
      </c>
      <c r="I47" t="s">
        <v>23</v>
      </c>
      <c r="J47" t="s">
        <v>46</v>
      </c>
      <c r="K47" t="s">
        <v>19</v>
      </c>
      <c r="L47">
        <v>9</v>
      </c>
      <c r="M47">
        <v>0.18</v>
      </c>
      <c r="N47" t="s">
        <v>20</v>
      </c>
    </row>
    <row r="48" spans="1:14" x14ac:dyDescent="0.25">
      <c r="A48">
        <v>47</v>
      </c>
      <c r="B48" t="s">
        <v>14</v>
      </c>
      <c r="C48">
        <v>2017</v>
      </c>
      <c r="D48">
        <v>2</v>
      </c>
      <c r="E48" t="s">
        <v>15</v>
      </c>
      <c r="F48">
        <v>242802</v>
      </c>
      <c r="G48" t="s">
        <v>16</v>
      </c>
      <c r="H48">
        <v>85214.720000000001</v>
      </c>
      <c r="I48" t="s">
        <v>58</v>
      </c>
      <c r="J48" t="s">
        <v>18</v>
      </c>
      <c r="K48" t="s">
        <v>26</v>
      </c>
      <c r="L48">
        <v>9</v>
      </c>
      <c r="M48">
        <v>0.35</v>
      </c>
      <c r="N48" t="s">
        <v>20</v>
      </c>
    </row>
    <row r="49" spans="1:14" x14ac:dyDescent="0.25">
      <c r="A49">
        <v>48</v>
      </c>
      <c r="B49" t="s">
        <v>21</v>
      </c>
      <c r="C49">
        <v>2016</v>
      </c>
      <c r="D49">
        <v>5.4</v>
      </c>
      <c r="E49" t="s">
        <v>27</v>
      </c>
      <c r="F49">
        <v>250168</v>
      </c>
      <c r="G49" t="s">
        <v>16</v>
      </c>
      <c r="H49">
        <v>85266.84</v>
      </c>
      <c r="I49" t="s">
        <v>47</v>
      </c>
      <c r="J49" t="s">
        <v>41</v>
      </c>
      <c r="K49" t="s">
        <v>26</v>
      </c>
      <c r="L49">
        <v>10</v>
      </c>
      <c r="M49">
        <v>0.34</v>
      </c>
      <c r="N49" t="s">
        <v>20</v>
      </c>
    </row>
    <row r="50" spans="1:14" x14ac:dyDescent="0.25">
      <c r="A50">
        <v>49</v>
      </c>
      <c r="B50" t="s">
        <v>52</v>
      </c>
      <c r="C50">
        <v>2007</v>
      </c>
      <c r="D50">
        <v>4.7</v>
      </c>
      <c r="E50" t="s">
        <v>27</v>
      </c>
      <c r="F50">
        <v>2881</v>
      </c>
      <c r="G50" t="s">
        <v>22</v>
      </c>
      <c r="H50">
        <v>36278.129999999997</v>
      </c>
      <c r="I50" t="s">
        <v>59</v>
      </c>
      <c r="J50" t="s">
        <v>41</v>
      </c>
      <c r="K50" t="s">
        <v>50</v>
      </c>
      <c r="L50">
        <v>19</v>
      </c>
      <c r="M50">
        <v>12.59</v>
      </c>
      <c r="N50" t="s">
        <v>33</v>
      </c>
    </row>
    <row r="51" spans="1:14" x14ac:dyDescent="0.25">
      <c r="A51">
        <v>50</v>
      </c>
      <c r="B51" t="s">
        <v>29</v>
      </c>
      <c r="C51">
        <v>2014</v>
      </c>
      <c r="D51">
        <v>1.1000000000000001</v>
      </c>
      <c r="E51" t="s">
        <v>27</v>
      </c>
      <c r="F51">
        <v>111860</v>
      </c>
      <c r="G51" t="s">
        <v>22</v>
      </c>
      <c r="H51">
        <v>13355.54</v>
      </c>
      <c r="I51" t="s">
        <v>38</v>
      </c>
      <c r="J51" t="s">
        <v>18</v>
      </c>
      <c r="K51" t="s">
        <v>19</v>
      </c>
      <c r="L51">
        <v>12</v>
      </c>
      <c r="M51">
        <v>0.12</v>
      </c>
      <c r="N51" t="s">
        <v>33</v>
      </c>
    </row>
    <row r="52" spans="1:14" x14ac:dyDescent="0.25">
      <c r="A52">
        <v>51</v>
      </c>
      <c r="B52" t="s">
        <v>24</v>
      </c>
      <c r="C52">
        <v>2007</v>
      </c>
      <c r="D52">
        <v>2.2000000000000002</v>
      </c>
      <c r="E52" t="s">
        <v>27</v>
      </c>
      <c r="F52">
        <v>166415</v>
      </c>
      <c r="G52" t="s">
        <v>22</v>
      </c>
      <c r="H52">
        <v>71972.179999999993</v>
      </c>
      <c r="I52" t="s">
        <v>35</v>
      </c>
      <c r="J52" t="s">
        <v>32</v>
      </c>
      <c r="K52" t="s">
        <v>26</v>
      </c>
      <c r="L52">
        <v>19</v>
      </c>
      <c r="M52">
        <v>0.43</v>
      </c>
      <c r="N52" t="s">
        <v>20</v>
      </c>
    </row>
    <row r="53" spans="1:14" x14ac:dyDescent="0.25">
      <c r="A53">
        <v>52</v>
      </c>
      <c r="B53" t="s">
        <v>29</v>
      </c>
      <c r="C53">
        <v>2016</v>
      </c>
      <c r="D53">
        <v>2.1</v>
      </c>
      <c r="E53" t="s">
        <v>27</v>
      </c>
      <c r="F53">
        <v>139728</v>
      </c>
      <c r="G53" t="s">
        <v>22</v>
      </c>
      <c r="H53">
        <v>39212.51</v>
      </c>
      <c r="I53" t="s">
        <v>31</v>
      </c>
      <c r="J53" t="s">
        <v>46</v>
      </c>
      <c r="K53" t="s">
        <v>19</v>
      </c>
      <c r="L53">
        <v>10</v>
      </c>
      <c r="M53">
        <v>0.28000000000000003</v>
      </c>
      <c r="N53" t="s">
        <v>33</v>
      </c>
    </row>
    <row r="54" spans="1:14" x14ac:dyDescent="0.25">
      <c r="A54">
        <v>53</v>
      </c>
      <c r="B54" t="s">
        <v>14</v>
      </c>
      <c r="C54">
        <v>2011</v>
      </c>
      <c r="D54">
        <v>2.4</v>
      </c>
      <c r="E54" t="s">
        <v>15</v>
      </c>
      <c r="F54">
        <v>267885</v>
      </c>
      <c r="G54" t="s">
        <v>30</v>
      </c>
      <c r="H54">
        <v>9319.14</v>
      </c>
      <c r="I54" t="s">
        <v>58</v>
      </c>
      <c r="J54" t="s">
        <v>18</v>
      </c>
      <c r="K54" t="s">
        <v>26</v>
      </c>
      <c r="L54">
        <v>15</v>
      </c>
      <c r="M54">
        <v>0.03</v>
      </c>
      <c r="N54" t="s">
        <v>20</v>
      </c>
    </row>
    <row r="55" spans="1:14" x14ac:dyDescent="0.25">
      <c r="A55">
        <v>54</v>
      </c>
      <c r="B55" t="s">
        <v>24</v>
      </c>
      <c r="C55">
        <v>2007</v>
      </c>
      <c r="D55">
        <v>2.2000000000000002</v>
      </c>
      <c r="E55" t="s">
        <v>27</v>
      </c>
      <c r="F55">
        <v>147733</v>
      </c>
      <c r="G55" t="s">
        <v>22</v>
      </c>
      <c r="H55">
        <v>19993.560000000001</v>
      </c>
      <c r="I55" t="s">
        <v>25</v>
      </c>
      <c r="J55" t="s">
        <v>18</v>
      </c>
      <c r="K55" t="s">
        <v>19</v>
      </c>
      <c r="L55">
        <v>19</v>
      </c>
      <c r="M55">
        <v>0.14000000000000001</v>
      </c>
      <c r="N55" t="s">
        <v>20</v>
      </c>
    </row>
    <row r="56" spans="1:14" x14ac:dyDescent="0.25">
      <c r="A56">
        <v>55</v>
      </c>
      <c r="B56" t="s">
        <v>52</v>
      </c>
      <c r="C56">
        <v>2013</v>
      </c>
      <c r="D56">
        <v>1.3</v>
      </c>
      <c r="E56" t="s">
        <v>15</v>
      </c>
      <c r="F56">
        <v>290834</v>
      </c>
      <c r="G56" t="s">
        <v>30</v>
      </c>
      <c r="H56">
        <v>18035.41</v>
      </c>
      <c r="I56" t="s">
        <v>53</v>
      </c>
      <c r="J56" t="s">
        <v>32</v>
      </c>
      <c r="K56" t="s">
        <v>26</v>
      </c>
      <c r="L56">
        <v>13</v>
      </c>
      <c r="M56">
        <v>0.06</v>
      </c>
      <c r="N56" t="s">
        <v>33</v>
      </c>
    </row>
    <row r="57" spans="1:14" x14ac:dyDescent="0.25">
      <c r="A57">
        <v>56</v>
      </c>
      <c r="B57" t="s">
        <v>14</v>
      </c>
      <c r="C57">
        <v>2003</v>
      </c>
      <c r="D57">
        <v>3.3</v>
      </c>
      <c r="E57" t="s">
        <v>15</v>
      </c>
      <c r="F57">
        <v>294977</v>
      </c>
      <c r="G57" t="s">
        <v>16</v>
      </c>
      <c r="H57">
        <v>60966.05</v>
      </c>
      <c r="I57" t="s">
        <v>58</v>
      </c>
      <c r="J57" t="s">
        <v>18</v>
      </c>
      <c r="K57" t="s">
        <v>26</v>
      </c>
      <c r="L57">
        <v>23</v>
      </c>
      <c r="M57">
        <v>0.21</v>
      </c>
      <c r="N57" t="s">
        <v>20</v>
      </c>
    </row>
    <row r="58" spans="1:14" x14ac:dyDescent="0.25">
      <c r="A58">
        <v>57</v>
      </c>
      <c r="B58" t="s">
        <v>36</v>
      </c>
      <c r="C58">
        <v>2000</v>
      </c>
      <c r="D58">
        <v>4.7</v>
      </c>
      <c r="E58" t="s">
        <v>27</v>
      </c>
      <c r="F58">
        <v>102566</v>
      </c>
      <c r="G58" t="s">
        <v>22</v>
      </c>
      <c r="H58">
        <v>90321.17</v>
      </c>
      <c r="I58" t="s">
        <v>51</v>
      </c>
      <c r="J58" t="s">
        <v>32</v>
      </c>
      <c r="K58" t="s">
        <v>19</v>
      </c>
      <c r="L58">
        <v>26</v>
      </c>
      <c r="M58">
        <v>0.88</v>
      </c>
      <c r="N58" t="s">
        <v>33</v>
      </c>
    </row>
    <row r="59" spans="1:14" x14ac:dyDescent="0.25">
      <c r="A59">
        <v>58</v>
      </c>
      <c r="B59" t="s">
        <v>21</v>
      </c>
      <c r="C59">
        <v>2000</v>
      </c>
      <c r="D59">
        <v>4</v>
      </c>
      <c r="E59" t="s">
        <v>15</v>
      </c>
      <c r="F59">
        <v>71240</v>
      </c>
      <c r="G59" t="s">
        <v>16</v>
      </c>
      <c r="H59">
        <v>80341.84</v>
      </c>
      <c r="I59" t="s">
        <v>23</v>
      </c>
      <c r="J59" t="s">
        <v>32</v>
      </c>
      <c r="K59" t="s">
        <v>19</v>
      </c>
      <c r="L59">
        <v>26</v>
      </c>
      <c r="M59">
        <v>1.1299999999999999</v>
      </c>
      <c r="N59" t="s">
        <v>20</v>
      </c>
    </row>
    <row r="60" spans="1:14" x14ac:dyDescent="0.25">
      <c r="A60">
        <v>59</v>
      </c>
      <c r="B60" t="s">
        <v>52</v>
      </c>
      <c r="C60">
        <v>2018</v>
      </c>
      <c r="D60">
        <v>4.4000000000000004</v>
      </c>
      <c r="E60" t="s">
        <v>27</v>
      </c>
      <c r="F60">
        <v>106898</v>
      </c>
      <c r="G60" t="s">
        <v>16</v>
      </c>
      <c r="H60">
        <v>56919.02</v>
      </c>
      <c r="I60" t="s">
        <v>59</v>
      </c>
      <c r="J60" t="s">
        <v>41</v>
      </c>
      <c r="K60" t="s">
        <v>19</v>
      </c>
      <c r="L60">
        <v>8</v>
      </c>
      <c r="M60">
        <v>0.53</v>
      </c>
      <c r="N60" t="s">
        <v>33</v>
      </c>
    </row>
    <row r="61" spans="1:14" x14ac:dyDescent="0.25">
      <c r="A61">
        <v>60</v>
      </c>
      <c r="B61" t="s">
        <v>21</v>
      </c>
      <c r="C61">
        <v>2015</v>
      </c>
      <c r="D61">
        <v>1.4</v>
      </c>
      <c r="E61" t="s">
        <v>15</v>
      </c>
      <c r="F61">
        <v>209304</v>
      </c>
      <c r="G61" t="s">
        <v>30</v>
      </c>
      <c r="H61">
        <v>45104.74</v>
      </c>
      <c r="I61" t="s">
        <v>60</v>
      </c>
      <c r="J61" t="s">
        <v>41</v>
      </c>
      <c r="K61" t="s">
        <v>26</v>
      </c>
      <c r="L61">
        <v>11</v>
      </c>
      <c r="M61">
        <v>0.22</v>
      </c>
      <c r="N61" t="s">
        <v>20</v>
      </c>
    </row>
    <row r="62" spans="1:14" x14ac:dyDescent="0.25">
      <c r="A62">
        <v>61</v>
      </c>
      <c r="B62" t="s">
        <v>43</v>
      </c>
      <c r="C62">
        <v>2013</v>
      </c>
      <c r="D62">
        <v>5.8</v>
      </c>
      <c r="E62" t="s">
        <v>15</v>
      </c>
      <c r="F62">
        <v>80522</v>
      </c>
      <c r="G62" t="s">
        <v>22</v>
      </c>
      <c r="H62">
        <v>63774.29</v>
      </c>
      <c r="I62" t="s">
        <v>55</v>
      </c>
      <c r="J62" t="s">
        <v>41</v>
      </c>
      <c r="K62" t="s">
        <v>19</v>
      </c>
      <c r="L62">
        <v>13</v>
      </c>
      <c r="M62">
        <v>0.79</v>
      </c>
      <c r="N62" t="s">
        <v>20</v>
      </c>
    </row>
    <row r="63" spans="1:14" x14ac:dyDescent="0.25">
      <c r="A63">
        <v>62</v>
      </c>
      <c r="B63" t="s">
        <v>36</v>
      </c>
      <c r="C63">
        <v>2020</v>
      </c>
      <c r="D63">
        <v>5.2</v>
      </c>
      <c r="E63" t="s">
        <v>27</v>
      </c>
      <c r="F63">
        <v>145512</v>
      </c>
      <c r="G63" t="s">
        <v>30</v>
      </c>
      <c r="H63">
        <v>47162.21</v>
      </c>
      <c r="I63" t="s">
        <v>54</v>
      </c>
      <c r="J63" t="s">
        <v>32</v>
      </c>
      <c r="K63" t="s">
        <v>19</v>
      </c>
      <c r="L63">
        <v>6</v>
      </c>
      <c r="M63">
        <v>0.32</v>
      </c>
      <c r="N63" t="s">
        <v>33</v>
      </c>
    </row>
    <row r="64" spans="1:14" x14ac:dyDescent="0.25">
      <c r="A64">
        <v>63</v>
      </c>
      <c r="B64" t="s">
        <v>36</v>
      </c>
      <c r="C64">
        <v>2015</v>
      </c>
      <c r="D64">
        <v>5</v>
      </c>
      <c r="E64" t="s">
        <v>27</v>
      </c>
      <c r="F64">
        <v>119107</v>
      </c>
      <c r="G64" t="s">
        <v>16</v>
      </c>
      <c r="H64">
        <v>28379.42</v>
      </c>
      <c r="I64" t="s">
        <v>51</v>
      </c>
      <c r="J64" t="s">
        <v>32</v>
      </c>
      <c r="K64" t="s">
        <v>19</v>
      </c>
      <c r="L64">
        <v>11</v>
      </c>
      <c r="M64">
        <v>0.24</v>
      </c>
      <c r="N64" t="s">
        <v>33</v>
      </c>
    </row>
    <row r="65" spans="1:14" x14ac:dyDescent="0.25">
      <c r="A65">
        <v>64</v>
      </c>
      <c r="B65" t="s">
        <v>52</v>
      </c>
      <c r="C65">
        <v>2004</v>
      </c>
      <c r="D65">
        <v>5.0999999999999996</v>
      </c>
      <c r="E65" t="s">
        <v>27</v>
      </c>
      <c r="F65">
        <v>22462</v>
      </c>
      <c r="G65" t="s">
        <v>22</v>
      </c>
      <c r="H65">
        <v>69523.759999999995</v>
      </c>
      <c r="I65" t="s">
        <v>53</v>
      </c>
      <c r="J65" t="s">
        <v>18</v>
      </c>
      <c r="K65" t="s">
        <v>50</v>
      </c>
      <c r="L65">
        <v>22</v>
      </c>
      <c r="M65">
        <v>3.1</v>
      </c>
      <c r="N65" t="s">
        <v>33</v>
      </c>
    </row>
    <row r="66" spans="1:14" x14ac:dyDescent="0.25">
      <c r="A66">
        <v>65</v>
      </c>
      <c r="B66" t="s">
        <v>36</v>
      </c>
      <c r="C66">
        <v>2008</v>
      </c>
      <c r="D66">
        <v>5.7</v>
      </c>
      <c r="E66" t="s">
        <v>27</v>
      </c>
      <c r="F66">
        <v>279965</v>
      </c>
      <c r="G66" t="s">
        <v>16</v>
      </c>
      <c r="H66">
        <v>87958.17</v>
      </c>
      <c r="I66" t="s">
        <v>57</v>
      </c>
      <c r="J66" t="s">
        <v>46</v>
      </c>
      <c r="K66" t="s">
        <v>26</v>
      </c>
      <c r="L66">
        <v>18</v>
      </c>
      <c r="M66">
        <v>0.31</v>
      </c>
      <c r="N66" t="s">
        <v>33</v>
      </c>
    </row>
    <row r="67" spans="1:14" x14ac:dyDescent="0.25">
      <c r="A67">
        <v>66</v>
      </c>
      <c r="B67" t="s">
        <v>24</v>
      </c>
      <c r="C67">
        <v>2001</v>
      </c>
      <c r="D67">
        <v>3.7</v>
      </c>
      <c r="E67" t="s">
        <v>15</v>
      </c>
      <c r="F67">
        <v>92889</v>
      </c>
      <c r="G67" t="s">
        <v>16</v>
      </c>
      <c r="H67">
        <v>40422.68</v>
      </c>
      <c r="I67" t="s">
        <v>25</v>
      </c>
      <c r="J67" t="s">
        <v>32</v>
      </c>
      <c r="K67" t="s">
        <v>19</v>
      </c>
      <c r="L67">
        <v>25</v>
      </c>
      <c r="M67">
        <v>0.44</v>
      </c>
      <c r="N67" t="s">
        <v>20</v>
      </c>
    </row>
    <row r="68" spans="1:14" x14ac:dyDescent="0.25">
      <c r="A68">
        <v>67</v>
      </c>
      <c r="B68" t="s">
        <v>36</v>
      </c>
      <c r="C68">
        <v>2017</v>
      </c>
      <c r="D68">
        <v>2</v>
      </c>
      <c r="E68" t="s">
        <v>27</v>
      </c>
      <c r="F68">
        <v>88952</v>
      </c>
      <c r="G68" t="s">
        <v>22</v>
      </c>
      <c r="H68">
        <v>84946.15</v>
      </c>
      <c r="I68" t="s">
        <v>51</v>
      </c>
      <c r="J68" t="s">
        <v>46</v>
      </c>
      <c r="K68" t="s">
        <v>19</v>
      </c>
      <c r="L68">
        <v>9</v>
      </c>
      <c r="M68">
        <v>0.95</v>
      </c>
      <c r="N68" t="s">
        <v>33</v>
      </c>
    </row>
    <row r="69" spans="1:14" x14ac:dyDescent="0.25">
      <c r="A69">
        <v>68</v>
      </c>
      <c r="B69" t="s">
        <v>21</v>
      </c>
      <c r="C69">
        <v>2005</v>
      </c>
      <c r="D69">
        <v>4.0999999999999996</v>
      </c>
      <c r="E69" t="s">
        <v>15</v>
      </c>
      <c r="F69">
        <v>193596</v>
      </c>
      <c r="G69" t="s">
        <v>22</v>
      </c>
      <c r="H69">
        <v>45952.79</v>
      </c>
      <c r="I69" t="s">
        <v>42</v>
      </c>
      <c r="J69" t="s">
        <v>41</v>
      </c>
      <c r="K69" t="s">
        <v>26</v>
      </c>
      <c r="L69">
        <v>21</v>
      </c>
      <c r="M69">
        <v>0.24</v>
      </c>
      <c r="N69" t="s">
        <v>20</v>
      </c>
    </row>
    <row r="70" spans="1:14" x14ac:dyDescent="0.25">
      <c r="A70">
        <v>69</v>
      </c>
      <c r="B70" t="s">
        <v>21</v>
      </c>
      <c r="C70">
        <v>2008</v>
      </c>
      <c r="D70">
        <v>4.7</v>
      </c>
      <c r="E70" t="s">
        <v>15</v>
      </c>
      <c r="F70">
        <v>177505</v>
      </c>
      <c r="G70" t="s">
        <v>22</v>
      </c>
      <c r="H70">
        <v>43126.91</v>
      </c>
      <c r="I70" t="s">
        <v>23</v>
      </c>
      <c r="J70" t="s">
        <v>32</v>
      </c>
      <c r="K70" t="s">
        <v>26</v>
      </c>
      <c r="L70">
        <v>18</v>
      </c>
      <c r="M70">
        <v>0.24</v>
      </c>
      <c r="N70" t="s">
        <v>20</v>
      </c>
    </row>
    <row r="71" spans="1:14" x14ac:dyDescent="0.25">
      <c r="A71">
        <v>70</v>
      </c>
      <c r="B71" t="s">
        <v>14</v>
      </c>
      <c r="C71">
        <v>2000</v>
      </c>
      <c r="D71">
        <v>4.7</v>
      </c>
      <c r="E71" t="s">
        <v>15</v>
      </c>
      <c r="F71">
        <v>221576</v>
      </c>
      <c r="G71" t="s">
        <v>30</v>
      </c>
      <c r="H71">
        <v>7690.81</v>
      </c>
      <c r="I71" t="s">
        <v>17</v>
      </c>
      <c r="J71" t="s">
        <v>18</v>
      </c>
      <c r="K71" t="s">
        <v>26</v>
      </c>
      <c r="L71">
        <v>26</v>
      </c>
      <c r="M71">
        <v>0.03</v>
      </c>
      <c r="N71" t="s">
        <v>20</v>
      </c>
    </row>
    <row r="72" spans="1:14" x14ac:dyDescent="0.25">
      <c r="A72">
        <v>71</v>
      </c>
      <c r="B72" t="s">
        <v>21</v>
      </c>
      <c r="C72">
        <v>2008</v>
      </c>
      <c r="D72">
        <v>3.6</v>
      </c>
      <c r="E72" t="s">
        <v>15</v>
      </c>
      <c r="F72">
        <v>219393</v>
      </c>
      <c r="G72" t="s">
        <v>30</v>
      </c>
      <c r="H72">
        <v>71051.5</v>
      </c>
      <c r="I72" t="s">
        <v>23</v>
      </c>
      <c r="J72" t="s">
        <v>18</v>
      </c>
      <c r="K72" t="s">
        <v>26</v>
      </c>
      <c r="L72">
        <v>18</v>
      </c>
      <c r="M72">
        <v>0.32</v>
      </c>
      <c r="N72" t="s">
        <v>20</v>
      </c>
    </row>
    <row r="73" spans="1:14" x14ac:dyDescent="0.25">
      <c r="A73">
        <v>72</v>
      </c>
      <c r="B73" t="s">
        <v>14</v>
      </c>
      <c r="C73">
        <v>2015</v>
      </c>
      <c r="D73">
        <v>1.3</v>
      </c>
      <c r="E73" t="s">
        <v>15</v>
      </c>
      <c r="F73">
        <v>275455</v>
      </c>
      <c r="G73" t="s">
        <v>16</v>
      </c>
      <c r="H73">
        <v>81712.740000000005</v>
      </c>
      <c r="I73" t="s">
        <v>58</v>
      </c>
      <c r="J73" t="s">
        <v>18</v>
      </c>
      <c r="K73" t="s">
        <v>26</v>
      </c>
      <c r="L73">
        <v>11</v>
      </c>
      <c r="M73">
        <v>0.3</v>
      </c>
      <c r="N73" t="s">
        <v>20</v>
      </c>
    </row>
    <row r="74" spans="1:14" x14ac:dyDescent="0.25">
      <c r="A74">
        <v>73</v>
      </c>
      <c r="B74" t="s">
        <v>21</v>
      </c>
      <c r="C74">
        <v>2012</v>
      </c>
      <c r="D74">
        <v>2.9</v>
      </c>
      <c r="E74" t="s">
        <v>15</v>
      </c>
      <c r="F74">
        <v>254084</v>
      </c>
      <c r="G74" t="s">
        <v>22</v>
      </c>
      <c r="H74">
        <v>68037.91</v>
      </c>
      <c r="I74" t="s">
        <v>47</v>
      </c>
      <c r="J74" t="s">
        <v>41</v>
      </c>
      <c r="K74" t="s">
        <v>26</v>
      </c>
      <c r="L74">
        <v>14</v>
      </c>
      <c r="M74">
        <v>0.27</v>
      </c>
      <c r="N74" t="s">
        <v>20</v>
      </c>
    </row>
    <row r="75" spans="1:14" x14ac:dyDescent="0.25">
      <c r="A75">
        <v>74</v>
      </c>
      <c r="B75" t="s">
        <v>24</v>
      </c>
      <c r="C75">
        <v>2008</v>
      </c>
      <c r="D75">
        <v>5.6</v>
      </c>
      <c r="E75" t="s">
        <v>27</v>
      </c>
      <c r="F75">
        <v>129466</v>
      </c>
      <c r="G75" t="s">
        <v>16</v>
      </c>
      <c r="H75">
        <v>19379.29</v>
      </c>
      <c r="I75" t="s">
        <v>45</v>
      </c>
      <c r="J75" t="s">
        <v>46</v>
      </c>
      <c r="K75" t="s">
        <v>19</v>
      </c>
      <c r="L75">
        <v>18</v>
      </c>
      <c r="M75">
        <v>0.15</v>
      </c>
      <c r="N75" t="s">
        <v>20</v>
      </c>
    </row>
    <row r="76" spans="1:14" x14ac:dyDescent="0.25">
      <c r="A76">
        <v>75</v>
      </c>
      <c r="B76" t="s">
        <v>14</v>
      </c>
      <c r="C76">
        <v>2020</v>
      </c>
      <c r="D76">
        <v>3.9</v>
      </c>
      <c r="E76" t="s">
        <v>15</v>
      </c>
      <c r="F76">
        <v>30531</v>
      </c>
      <c r="G76" t="s">
        <v>16</v>
      </c>
      <c r="H76">
        <v>14812.88</v>
      </c>
      <c r="I76" t="s">
        <v>58</v>
      </c>
      <c r="J76" t="s">
        <v>18</v>
      </c>
      <c r="K76" t="s">
        <v>50</v>
      </c>
      <c r="L76">
        <v>6</v>
      </c>
      <c r="M76">
        <v>0.49</v>
      </c>
      <c r="N76" t="s">
        <v>20</v>
      </c>
    </row>
    <row r="77" spans="1:14" x14ac:dyDescent="0.25">
      <c r="A77">
        <v>76</v>
      </c>
      <c r="B77" t="s">
        <v>29</v>
      </c>
      <c r="C77">
        <v>2012</v>
      </c>
      <c r="D77">
        <v>3.7</v>
      </c>
      <c r="E77" t="s">
        <v>15</v>
      </c>
      <c r="F77">
        <v>14588</v>
      </c>
      <c r="G77" t="s">
        <v>16</v>
      </c>
      <c r="H77">
        <v>59421.58</v>
      </c>
      <c r="I77" t="s">
        <v>40</v>
      </c>
      <c r="J77" t="s">
        <v>18</v>
      </c>
      <c r="K77" t="s">
        <v>50</v>
      </c>
      <c r="L77">
        <v>14</v>
      </c>
      <c r="M77">
        <v>4.07</v>
      </c>
      <c r="N77" t="s">
        <v>33</v>
      </c>
    </row>
    <row r="78" spans="1:14" x14ac:dyDescent="0.25">
      <c r="A78">
        <v>77</v>
      </c>
      <c r="B78" t="s">
        <v>43</v>
      </c>
      <c r="C78">
        <v>2008</v>
      </c>
      <c r="D78">
        <v>2.2999999999999998</v>
      </c>
      <c r="E78" t="s">
        <v>15</v>
      </c>
      <c r="F78">
        <v>143452</v>
      </c>
      <c r="G78" t="s">
        <v>16</v>
      </c>
      <c r="H78">
        <v>43144.04</v>
      </c>
      <c r="I78" t="s">
        <v>55</v>
      </c>
      <c r="J78" t="s">
        <v>46</v>
      </c>
      <c r="K78" t="s">
        <v>19</v>
      </c>
      <c r="L78">
        <v>18</v>
      </c>
      <c r="M78">
        <v>0.3</v>
      </c>
      <c r="N78" t="s">
        <v>20</v>
      </c>
    </row>
    <row r="79" spans="1:14" x14ac:dyDescent="0.25">
      <c r="A79">
        <v>78</v>
      </c>
      <c r="B79" t="s">
        <v>52</v>
      </c>
      <c r="C79">
        <v>2010</v>
      </c>
      <c r="D79">
        <v>2.8</v>
      </c>
      <c r="E79" t="s">
        <v>27</v>
      </c>
      <c r="F79">
        <v>173717</v>
      </c>
      <c r="G79" t="s">
        <v>16</v>
      </c>
      <c r="H79">
        <v>45764.29</v>
      </c>
      <c r="I79" t="s">
        <v>61</v>
      </c>
      <c r="J79" t="s">
        <v>18</v>
      </c>
      <c r="K79" t="s">
        <v>26</v>
      </c>
      <c r="L79">
        <v>16</v>
      </c>
      <c r="M79">
        <v>0.26</v>
      </c>
      <c r="N79" t="s">
        <v>33</v>
      </c>
    </row>
    <row r="80" spans="1:14" x14ac:dyDescent="0.25">
      <c r="A80">
        <v>79</v>
      </c>
      <c r="B80" t="s">
        <v>21</v>
      </c>
      <c r="C80">
        <v>2003</v>
      </c>
      <c r="D80">
        <v>5.5</v>
      </c>
      <c r="E80" t="s">
        <v>27</v>
      </c>
      <c r="F80">
        <v>161929</v>
      </c>
      <c r="G80" t="s">
        <v>22</v>
      </c>
      <c r="H80">
        <v>96941.02</v>
      </c>
      <c r="I80" t="s">
        <v>47</v>
      </c>
      <c r="J80" t="s">
        <v>18</v>
      </c>
      <c r="K80" t="s">
        <v>26</v>
      </c>
      <c r="L80">
        <v>23</v>
      </c>
      <c r="M80">
        <v>0.6</v>
      </c>
      <c r="N80" t="s">
        <v>20</v>
      </c>
    </row>
    <row r="81" spans="1:14" x14ac:dyDescent="0.25">
      <c r="A81">
        <v>80</v>
      </c>
      <c r="B81" t="s">
        <v>36</v>
      </c>
      <c r="C81">
        <v>2001</v>
      </c>
      <c r="D81">
        <v>4.3</v>
      </c>
      <c r="E81" t="s">
        <v>15</v>
      </c>
      <c r="F81">
        <v>21711</v>
      </c>
      <c r="G81" t="s">
        <v>30</v>
      </c>
      <c r="H81">
        <v>73772.649999999994</v>
      </c>
      <c r="I81" t="s">
        <v>57</v>
      </c>
      <c r="J81" t="s">
        <v>41</v>
      </c>
      <c r="K81" t="s">
        <v>50</v>
      </c>
      <c r="L81">
        <v>25</v>
      </c>
      <c r="M81">
        <v>3.4</v>
      </c>
      <c r="N81" t="s">
        <v>33</v>
      </c>
    </row>
    <row r="82" spans="1:14" x14ac:dyDescent="0.25">
      <c r="A82">
        <v>81</v>
      </c>
      <c r="B82" t="s">
        <v>21</v>
      </c>
      <c r="C82">
        <v>2005</v>
      </c>
      <c r="D82">
        <v>4.9000000000000004</v>
      </c>
      <c r="E82" t="s">
        <v>27</v>
      </c>
      <c r="F82">
        <v>136169</v>
      </c>
      <c r="G82" t="s">
        <v>22</v>
      </c>
      <c r="H82">
        <v>44119.839999999997</v>
      </c>
      <c r="I82" t="s">
        <v>23</v>
      </c>
      <c r="J82" t="s">
        <v>46</v>
      </c>
      <c r="K82" t="s">
        <v>19</v>
      </c>
      <c r="L82">
        <v>21</v>
      </c>
      <c r="M82">
        <v>0.32</v>
      </c>
      <c r="N82" t="s">
        <v>20</v>
      </c>
    </row>
    <row r="83" spans="1:14" x14ac:dyDescent="0.25">
      <c r="A83">
        <v>82</v>
      </c>
      <c r="B83" t="s">
        <v>36</v>
      </c>
      <c r="C83">
        <v>2013</v>
      </c>
      <c r="D83">
        <v>3.3</v>
      </c>
      <c r="E83" t="s">
        <v>15</v>
      </c>
      <c r="F83">
        <v>159465</v>
      </c>
      <c r="G83" t="s">
        <v>22</v>
      </c>
      <c r="H83">
        <v>6814.43</v>
      </c>
      <c r="I83" t="s">
        <v>51</v>
      </c>
      <c r="J83" t="s">
        <v>46</v>
      </c>
      <c r="K83" t="s">
        <v>26</v>
      </c>
      <c r="L83">
        <v>13</v>
      </c>
      <c r="M83">
        <v>0.04</v>
      </c>
      <c r="N83" t="s">
        <v>33</v>
      </c>
    </row>
    <row r="84" spans="1:14" x14ac:dyDescent="0.25">
      <c r="A84">
        <v>83</v>
      </c>
      <c r="B84" t="s">
        <v>43</v>
      </c>
      <c r="C84">
        <v>2003</v>
      </c>
      <c r="D84">
        <v>4.2</v>
      </c>
      <c r="E84" t="s">
        <v>27</v>
      </c>
      <c r="F84">
        <v>284220</v>
      </c>
      <c r="G84" t="s">
        <v>22</v>
      </c>
      <c r="H84">
        <v>8239.09</v>
      </c>
      <c r="I84" t="s">
        <v>55</v>
      </c>
      <c r="J84" t="s">
        <v>18</v>
      </c>
      <c r="K84" t="s">
        <v>26</v>
      </c>
      <c r="L84">
        <v>23</v>
      </c>
      <c r="M84">
        <v>0.03</v>
      </c>
      <c r="N84" t="s">
        <v>20</v>
      </c>
    </row>
    <row r="85" spans="1:14" x14ac:dyDescent="0.25">
      <c r="A85">
        <v>84</v>
      </c>
      <c r="B85" t="s">
        <v>43</v>
      </c>
      <c r="C85">
        <v>2005</v>
      </c>
      <c r="D85">
        <v>2.2000000000000002</v>
      </c>
      <c r="E85" t="s">
        <v>15</v>
      </c>
      <c r="F85">
        <v>160389</v>
      </c>
      <c r="G85" t="s">
        <v>30</v>
      </c>
      <c r="H85">
        <v>70056.350000000006</v>
      </c>
      <c r="I85" t="s">
        <v>49</v>
      </c>
      <c r="J85" t="s">
        <v>18</v>
      </c>
      <c r="K85" t="s">
        <v>26</v>
      </c>
      <c r="L85">
        <v>21</v>
      </c>
      <c r="M85">
        <v>0.44</v>
      </c>
      <c r="N85" t="s">
        <v>20</v>
      </c>
    </row>
    <row r="86" spans="1:14" x14ac:dyDescent="0.25">
      <c r="A86">
        <v>85</v>
      </c>
      <c r="B86" t="s">
        <v>43</v>
      </c>
      <c r="C86">
        <v>2018</v>
      </c>
      <c r="D86">
        <v>4.5</v>
      </c>
      <c r="E86" t="s">
        <v>27</v>
      </c>
      <c r="F86">
        <v>58480</v>
      </c>
      <c r="G86" t="s">
        <v>30</v>
      </c>
      <c r="H86">
        <v>84585.18</v>
      </c>
      <c r="I86" t="s">
        <v>55</v>
      </c>
      <c r="J86" t="s">
        <v>41</v>
      </c>
      <c r="K86" t="s">
        <v>19</v>
      </c>
      <c r="L86">
        <v>8</v>
      </c>
      <c r="M86">
        <v>1.45</v>
      </c>
      <c r="N86" t="s">
        <v>20</v>
      </c>
    </row>
    <row r="87" spans="1:14" x14ac:dyDescent="0.25">
      <c r="A87">
        <v>86</v>
      </c>
      <c r="B87" t="s">
        <v>36</v>
      </c>
      <c r="C87">
        <v>2005</v>
      </c>
      <c r="D87">
        <v>3.1</v>
      </c>
      <c r="E87" t="s">
        <v>27</v>
      </c>
      <c r="F87">
        <v>269188</v>
      </c>
      <c r="G87" t="s">
        <v>30</v>
      </c>
      <c r="H87">
        <v>72231.75</v>
      </c>
      <c r="I87" t="s">
        <v>57</v>
      </c>
      <c r="J87" t="s">
        <v>32</v>
      </c>
      <c r="K87" t="s">
        <v>26</v>
      </c>
      <c r="L87">
        <v>21</v>
      </c>
      <c r="M87">
        <v>0.27</v>
      </c>
      <c r="N87" t="s">
        <v>33</v>
      </c>
    </row>
    <row r="88" spans="1:14" x14ac:dyDescent="0.25">
      <c r="A88">
        <v>87</v>
      </c>
      <c r="B88" t="s">
        <v>21</v>
      </c>
      <c r="C88">
        <v>2001</v>
      </c>
      <c r="D88">
        <v>3.2</v>
      </c>
      <c r="E88" t="s">
        <v>27</v>
      </c>
      <c r="F88">
        <v>250309</v>
      </c>
      <c r="G88" t="s">
        <v>22</v>
      </c>
      <c r="H88">
        <v>43559.34</v>
      </c>
      <c r="I88" t="s">
        <v>42</v>
      </c>
      <c r="J88" t="s">
        <v>32</v>
      </c>
      <c r="K88" t="s">
        <v>26</v>
      </c>
      <c r="L88">
        <v>25</v>
      </c>
      <c r="M88">
        <v>0.17</v>
      </c>
      <c r="N88" t="s">
        <v>20</v>
      </c>
    </row>
    <row r="89" spans="1:14" x14ac:dyDescent="0.25">
      <c r="A89">
        <v>88</v>
      </c>
      <c r="B89" t="s">
        <v>43</v>
      </c>
      <c r="C89">
        <v>2017</v>
      </c>
      <c r="D89">
        <v>4.2</v>
      </c>
      <c r="E89" t="s">
        <v>15</v>
      </c>
      <c r="F89">
        <v>55486</v>
      </c>
      <c r="G89" t="s">
        <v>30</v>
      </c>
      <c r="H89">
        <v>7957.9</v>
      </c>
      <c r="I89" t="s">
        <v>48</v>
      </c>
      <c r="J89" t="s">
        <v>18</v>
      </c>
      <c r="K89" t="s">
        <v>19</v>
      </c>
      <c r="L89">
        <v>9</v>
      </c>
      <c r="M89">
        <v>0.14000000000000001</v>
      </c>
      <c r="N89" t="s">
        <v>20</v>
      </c>
    </row>
    <row r="90" spans="1:14" x14ac:dyDescent="0.25">
      <c r="A90">
        <v>89</v>
      </c>
      <c r="B90" t="s">
        <v>24</v>
      </c>
      <c r="C90">
        <v>2012</v>
      </c>
      <c r="D90">
        <v>5.7</v>
      </c>
      <c r="E90" t="s">
        <v>15</v>
      </c>
      <c r="F90">
        <v>55162</v>
      </c>
      <c r="G90" t="s">
        <v>16</v>
      </c>
      <c r="H90">
        <v>96903.15</v>
      </c>
      <c r="I90" t="s">
        <v>45</v>
      </c>
      <c r="J90" t="s">
        <v>32</v>
      </c>
      <c r="K90" t="s">
        <v>19</v>
      </c>
      <c r="L90">
        <v>14</v>
      </c>
      <c r="M90">
        <v>1.76</v>
      </c>
      <c r="N90" t="s">
        <v>20</v>
      </c>
    </row>
    <row r="91" spans="1:14" x14ac:dyDescent="0.25">
      <c r="A91">
        <v>90</v>
      </c>
      <c r="B91" t="s">
        <v>14</v>
      </c>
      <c r="C91">
        <v>2008</v>
      </c>
      <c r="D91">
        <v>1.3</v>
      </c>
      <c r="E91" t="s">
        <v>15</v>
      </c>
      <c r="F91">
        <v>210359</v>
      </c>
      <c r="G91" t="s">
        <v>30</v>
      </c>
      <c r="H91">
        <v>98701.93</v>
      </c>
      <c r="I91" t="s">
        <v>58</v>
      </c>
      <c r="J91" t="s">
        <v>18</v>
      </c>
      <c r="K91" t="s">
        <v>26</v>
      </c>
      <c r="L91">
        <v>18</v>
      </c>
      <c r="M91">
        <v>0.47</v>
      </c>
      <c r="N91" t="s">
        <v>20</v>
      </c>
    </row>
    <row r="92" spans="1:14" x14ac:dyDescent="0.25">
      <c r="A92">
        <v>91</v>
      </c>
      <c r="B92" t="s">
        <v>36</v>
      </c>
      <c r="C92">
        <v>2022</v>
      </c>
      <c r="D92">
        <v>5.0999999999999996</v>
      </c>
      <c r="E92" t="s">
        <v>27</v>
      </c>
      <c r="F92">
        <v>29882</v>
      </c>
      <c r="G92" t="s">
        <v>22</v>
      </c>
      <c r="H92">
        <v>57189.63</v>
      </c>
      <c r="I92" t="s">
        <v>51</v>
      </c>
      <c r="J92" t="s">
        <v>32</v>
      </c>
      <c r="K92" t="s">
        <v>50</v>
      </c>
      <c r="L92">
        <v>4</v>
      </c>
      <c r="M92">
        <v>1.91</v>
      </c>
      <c r="N92" t="s">
        <v>33</v>
      </c>
    </row>
    <row r="93" spans="1:14" x14ac:dyDescent="0.25">
      <c r="A93">
        <v>92</v>
      </c>
      <c r="B93" t="s">
        <v>36</v>
      </c>
      <c r="C93">
        <v>2018</v>
      </c>
      <c r="D93">
        <v>2.5</v>
      </c>
      <c r="E93" t="s">
        <v>27</v>
      </c>
      <c r="F93">
        <v>54078</v>
      </c>
      <c r="G93" t="s">
        <v>22</v>
      </c>
      <c r="H93">
        <v>11713.74</v>
      </c>
      <c r="I93" t="s">
        <v>51</v>
      </c>
      <c r="J93" t="s">
        <v>32</v>
      </c>
      <c r="K93" t="s">
        <v>19</v>
      </c>
      <c r="L93">
        <v>8</v>
      </c>
      <c r="M93">
        <v>0.22</v>
      </c>
      <c r="N93" t="s">
        <v>33</v>
      </c>
    </row>
    <row r="94" spans="1:14" x14ac:dyDescent="0.25">
      <c r="A94">
        <v>93</v>
      </c>
      <c r="B94" t="s">
        <v>21</v>
      </c>
      <c r="C94">
        <v>2012</v>
      </c>
      <c r="D94">
        <v>3.2</v>
      </c>
      <c r="E94" t="s">
        <v>15</v>
      </c>
      <c r="F94">
        <v>238680</v>
      </c>
      <c r="G94" t="s">
        <v>16</v>
      </c>
      <c r="H94">
        <v>56392.39</v>
      </c>
      <c r="I94" t="s">
        <v>60</v>
      </c>
      <c r="J94" t="s">
        <v>18</v>
      </c>
      <c r="K94" t="s">
        <v>26</v>
      </c>
      <c r="L94">
        <v>14</v>
      </c>
      <c r="M94">
        <v>0.24</v>
      </c>
      <c r="N94" t="s">
        <v>20</v>
      </c>
    </row>
    <row r="95" spans="1:14" x14ac:dyDescent="0.25">
      <c r="A95">
        <v>94</v>
      </c>
      <c r="B95" t="s">
        <v>36</v>
      </c>
      <c r="C95">
        <v>2010</v>
      </c>
      <c r="D95">
        <v>1.1000000000000001</v>
      </c>
      <c r="E95" t="s">
        <v>27</v>
      </c>
      <c r="F95">
        <v>108730</v>
      </c>
      <c r="G95" t="s">
        <v>30</v>
      </c>
      <c r="H95">
        <v>89772.15</v>
      </c>
      <c r="I95" t="s">
        <v>51</v>
      </c>
      <c r="J95" t="s">
        <v>32</v>
      </c>
      <c r="K95" t="s">
        <v>19</v>
      </c>
      <c r="L95">
        <v>16</v>
      </c>
      <c r="M95">
        <v>0.83</v>
      </c>
      <c r="N95" t="s">
        <v>33</v>
      </c>
    </row>
    <row r="96" spans="1:14" x14ac:dyDescent="0.25">
      <c r="A96">
        <v>95</v>
      </c>
      <c r="B96" t="s">
        <v>36</v>
      </c>
      <c r="C96">
        <v>2000</v>
      </c>
      <c r="D96">
        <v>2.5</v>
      </c>
      <c r="E96" t="s">
        <v>15</v>
      </c>
      <c r="F96">
        <v>174898</v>
      </c>
      <c r="G96" t="s">
        <v>30</v>
      </c>
      <c r="H96">
        <v>69598.62</v>
      </c>
      <c r="I96" t="s">
        <v>57</v>
      </c>
      <c r="J96" t="s">
        <v>32</v>
      </c>
      <c r="K96" t="s">
        <v>26</v>
      </c>
      <c r="L96">
        <v>26</v>
      </c>
      <c r="M96">
        <v>0.4</v>
      </c>
      <c r="N96" t="s">
        <v>33</v>
      </c>
    </row>
    <row r="97" spans="1:14" x14ac:dyDescent="0.25">
      <c r="A97">
        <v>96</v>
      </c>
      <c r="B97" t="s">
        <v>43</v>
      </c>
      <c r="C97">
        <v>2023</v>
      </c>
      <c r="D97">
        <v>3.5</v>
      </c>
      <c r="E97" t="s">
        <v>15</v>
      </c>
      <c r="F97">
        <v>98938</v>
      </c>
      <c r="G97" t="s">
        <v>16</v>
      </c>
      <c r="H97">
        <v>73398.98</v>
      </c>
      <c r="I97" t="s">
        <v>48</v>
      </c>
      <c r="J97" t="s">
        <v>41</v>
      </c>
      <c r="K97" t="s">
        <v>19</v>
      </c>
      <c r="L97">
        <v>3</v>
      </c>
      <c r="M97">
        <v>0.74</v>
      </c>
      <c r="N97" t="s">
        <v>20</v>
      </c>
    </row>
    <row r="98" spans="1:14" x14ac:dyDescent="0.25">
      <c r="A98">
        <v>97</v>
      </c>
      <c r="B98" t="s">
        <v>21</v>
      </c>
      <c r="C98">
        <v>2021</v>
      </c>
      <c r="D98">
        <v>1.3</v>
      </c>
      <c r="E98" t="s">
        <v>15</v>
      </c>
      <c r="F98">
        <v>118319</v>
      </c>
      <c r="G98" t="s">
        <v>22</v>
      </c>
      <c r="H98">
        <v>13072.13</v>
      </c>
      <c r="I98" t="s">
        <v>23</v>
      </c>
      <c r="J98" t="s">
        <v>18</v>
      </c>
      <c r="K98" t="s">
        <v>19</v>
      </c>
      <c r="L98">
        <v>5</v>
      </c>
      <c r="M98">
        <v>0.11</v>
      </c>
      <c r="N98" t="s">
        <v>20</v>
      </c>
    </row>
    <row r="99" spans="1:14" x14ac:dyDescent="0.25">
      <c r="A99">
        <v>98</v>
      </c>
      <c r="B99" t="s">
        <v>43</v>
      </c>
      <c r="C99">
        <v>2006</v>
      </c>
      <c r="D99">
        <v>3.5</v>
      </c>
      <c r="E99" t="s">
        <v>15</v>
      </c>
      <c r="F99">
        <v>32543</v>
      </c>
      <c r="G99" t="s">
        <v>22</v>
      </c>
      <c r="H99">
        <v>15118.61</v>
      </c>
      <c r="I99" t="s">
        <v>49</v>
      </c>
      <c r="J99" t="s">
        <v>46</v>
      </c>
      <c r="K99" t="s">
        <v>50</v>
      </c>
      <c r="L99">
        <v>20</v>
      </c>
      <c r="M99">
        <v>0.46</v>
      </c>
      <c r="N99" t="s">
        <v>20</v>
      </c>
    </row>
    <row r="100" spans="1:14" x14ac:dyDescent="0.25">
      <c r="A100">
        <v>99</v>
      </c>
      <c r="B100" t="s">
        <v>14</v>
      </c>
      <c r="C100">
        <v>2020</v>
      </c>
      <c r="D100">
        <v>5.6</v>
      </c>
      <c r="E100" t="s">
        <v>27</v>
      </c>
      <c r="F100">
        <v>124279</v>
      </c>
      <c r="G100" t="s">
        <v>30</v>
      </c>
      <c r="H100">
        <v>17098.13</v>
      </c>
      <c r="I100" t="s">
        <v>39</v>
      </c>
      <c r="J100" t="s">
        <v>18</v>
      </c>
      <c r="K100" t="s">
        <v>19</v>
      </c>
      <c r="L100">
        <v>6</v>
      </c>
      <c r="M100">
        <v>0.14000000000000001</v>
      </c>
      <c r="N100" t="s">
        <v>20</v>
      </c>
    </row>
    <row r="101" spans="1:14" x14ac:dyDescent="0.25">
      <c r="A101">
        <v>100</v>
      </c>
      <c r="B101" t="s">
        <v>14</v>
      </c>
      <c r="C101">
        <v>2014</v>
      </c>
      <c r="D101">
        <v>1.5</v>
      </c>
      <c r="E101" t="s">
        <v>27</v>
      </c>
      <c r="F101">
        <v>29362</v>
      </c>
      <c r="G101" t="s">
        <v>30</v>
      </c>
      <c r="H101">
        <v>90915.8</v>
      </c>
      <c r="I101" t="s">
        <v>39</v>
      </c>
      <c r="J101" t="s">
        <v>18</v>
      </c>
      <c r="K101" t="s">
        <v>50</v>
      </c>
      <c r="L101">
        <v>12</v>
      </c>
      <c r="M101">
        <v>3.1</v>
      </c>
      <c r="N101" t="s">
        <v>20</v>
      </c>
    </row>
    <row r="102" spans="1:14" x14ac:dyDescent="0.25">
      <c r="A102">
        <v>101</v>
      </c>
      <c r="B102" t="s">
        <v>43</v>
      </c>
      <c r="C102">
        <v>2000</v>
      </c>
      <c r="D102">
        <v>4.8</v>
      </c>
      <c r="E102" t="s">
        <v>27</v>
      </c>
      <c r="F102">
        <v>158818</v>
      </c>
      <c r="G102" t="s">
        <v>30</v>
      </c>
      <c r="H102">
        <v>54955.72</v>
      </c>
      <c r="I102" t="s">
        <v>44</v>
      </c>
      <c r="J102" t="s">
        <v>41</v>
      </c>
      <c r="K102" t="s">
        <v>26</v>
      </c>
      <c r="L102">
        <v>26</v>
      </c>
      <c r="M102">
        <v>0.35</v>
      </c>
      <c r="N102" t="s">
        <v>20</v>
      </c>
    </row>
    <row r="103" spans="1:14" x14ac:dyDescent="0.25">
      <c r="A103">
        <v>102</v>
      </c>
      <c r="B103" t="s">
        <v>14</v>
      </c>
      <c r="C103">
        <v>2011</v>
      </c>
      <c r="D103">
        <v>3</v>
      </c>
      <c r="E103" t="s">
        <v>15</v>
      </c>
      <c r="F103">
        <v>242721</v>
      </c>
      <c r="G103" t="s">
        <v>30</v>
      </c>
      <c r="H103">
        <v>80199.63</v>
      </c>
      <c r="I103" t="s">
        <v>58</v>
      </c>
      <c r="J103" t="s">
        <v>18</v>
      </c>
      <c r="K103" t="s">
        <v>26</v>
      </c>
      <c r="L103">
        <v>15</v>
      </c>
      <c r="M103">
        <v>0.33</v>
      </c>
      <c r="N103" t="s">
        <v>20</v>
      </c>
    </row>
    <row r="104" spans="1:14" x14ac:dyDescent="0.25">
      <c r="A104">
        <v>103</v>
      </c>
      <c r="B104" t="s">
        <v>21</v>
      </c>
      <c r="C104">
        <v>2006</v>
      </c>
      <c r="D104">
        <v>4.3</v>
      </c>
      <c r="E104" t="s">
        <v>27</v>
      </c>
      <c r="F104">
        <v>165229</v>
      </c>
      <c r="G104" t="s">
        <v>30</v>
      </c>
      <c r="H104">
        <v>15952.67</v>
      </c>
      <c r="I104" t="s">
        <v>47</v>
      </c>
      <c r="J104" t="s">
        <v>46</v>
      </c>
      <c r="K104" t="s">
        <v>26</v>
      </c>
      <c r="L104">
        <v>20</v>
      </c>
      <c r="M104">
        <v>0.1</v>
      </c>
      <c r="N104" t="s">
        <v>20</v>
      </c>
    </row>
    <row r="105" spans="1:14" x14ac:dyDescent="0.25">
      <c r="A105">
        <v>104</v>
      </c>
      <c r="B105" t="s">
        <v>52</v>
      </c>
      <c r="C105">
        <v>2014</v>
      </c>
      <c r="D105">
        <v>2.2999999999999998</v>
      </c>
      <c r="E105" t="s">
        <v>15</v>
      </c>
      <c r="F105">
        <v>142394</v>
      </c>
      <c r="G105" t="s">
        <v>22</v>
      </c>
      <c r="H105">
        <v>93126.06</v>
      </c>
      <c r="I105" t="s">
        <v>53</v>
      </c>
      <c r="J105" t="s">
        <v>32</v>
      </c>
      <c r="K105" t="s">
        <v>19</v>
      </c>
      <c r="L105">
        <v>12</v>
      </c>
      <c r="M105">
        <v>0.65</v>
      </c>
      <c r="N105" t="s">
        <v>33</v>
      </c>
    </row>
    <row r="106" spans="1:14" x14ac:dyDescent="0.25">
      <c r="A106">
        <v>105</v>
      </c>
      <c r="B106" t="s">
        <v>43</v>
      </c>
      <c r="C106">
        <v>2020</v>
      </c>
      <c r="D106">
        <v>1.8</v>
      </c>
      <c r="E106" t="s">
        <v>15</v>
      </c>
      <c r="F106">
        <v>69812</v>
      </c>
      <c r="G106" t="s">
        <v>22</v>
      </c>
      <c r="H106">
        <v>83008.5</v>
      </c>
      <c r="I106" t="s">
        <v>55</v>
      </c>
      <c r="J106" t="s">
        <v>41</v>
      </c>
      <c r="K106" t="s">
        <v>19</v>
      </c>
      <c r="L106">
        <v>6</v>
      </c>
      <c r="M106">
        <v>1.19</v>
      </c>
      <c r="N106" t="s">
        <v>20</v>
      </c>
    </row>
    <row r="107" spans="1:14" x14ac:dyDescent="0.25">
      <c r="A107">
        <v>106</v>
      </c>
      <c r="B107" t="s">
        <v>24</v>
      </c>
      <c r="C107">
        <v>2018</v>
      </c>
      <c r="D107">
        <v>1.8</v>
      </c>
      <c r="E107" t="s">
        <v>15</v>
      </c>
      <c r="F107">
        <v>296161</v>
      </c>
      <c r="G107" t="s">
        <v>22</v>
      </c>
      <c r="H107">
        <v>26352.59</v>
      </c>
      <c r="I107" t="s">
        <v>25</v>
      </c>
      <c r="J107" t="s">
        <v>46</v>
      </c>
      <c r="K107" t="s">
        <v>26</v>
      </c>
      <c r="L107">
        <v>8</v>
      </c>
      <c r="M107">
        <v>0.09</v>
      </c>
      <c r="N107" t="s">
        <v>20</v>
      </c>
    </row>
    <row r="108" spans="1:14" x14ac:dyDescent="0.25">
      <c r="A108">
        <v>107</v>
      </c>
      <c r="B108" t="s">
        <v>24</v>
      </c>
      <c r="C108">
        <v>2000</v>
      </c>
      <c r="D108">
        <v>1.4</v>
      </c>
      <c r="E108" t="s">
        <v>15</v>
      </c>
      <c r="F108">
        <v>228208</v>
      </c>
      <c r="G108" t="s">
        <v>22</v>
      </c>
      <c r="H108">
        <v>88047.31</v>
      </c>
      <c r="I108" t="s">
        <v>34</v>
      </c>
      <c r="J108" t="s">
        <v>18</v>
      </c>
      <c r="K108" t="s">
        <v>26</v>
      </c>
      <c r="L108">
        <v>26</v>
      </c>
      <c r="M108">
        <v>0.39</v>
      </c>
      <c r="N108" t="s">
        <v>20</v>
      </c>
    </row>
    <row r="109" spans="1:14" x14ac:dyDescent="0.25">
      <c r="A109">
        <v>108</v>
      </c>
      <c r="B109" t="s">
        <v>36</v>
      </c>
      <c r="C109">
        <v>2016</v>
      </c>
      <c r="D109">
        <v>1.9</v>
      </c>
      <c r="E109" t="s">
        <v>15</v>
      </c>
      <c r="F109">
        <v>279773</v>
      </c>
      <c r="G109" t="s">
        <v>16</v>
      </c>
      <c r="H109">
        <v>30027.06</v>
      </c>
      <c r="I109" t="s">
        <v>54</v>
      </c>
      <c r="J109" t="s">
        <v>32</v>
      </c>
      <c r="K109" t="s">
        <v>26</v>
      </c>
      <c r="L109">
        <v>10</v>
      </c>
      <c r="M109">
        <v>0.11</v>
      </c>
      <c r="N109" t="s">
        <v>33</v>
      </c>
    </row>
    <row r="110" spans="1:14" x14ac:dyDescent="0.25">
      <c r="A110">
        <v>109</v>
      </c>
      <c r="B110" t="s">
        <v>14</v>
      </c>
      <c r="C110">
        <v>2016</v>
      </c>
      <c r="D110">
        <v>4.3</v>
      </c>
      <c r="E110" t="s">
        <v>15</v>
      </c>
      <c r="F110">
        <v>128614</v>
      </c>
      <c r="G110" t="s">
        <v>22</v>
      </c>
      <c r="H110">
        <v>24507.29</v>
      </c>
      <c r="I110" t="s">
        <v>39</v>
      </c>
      <c r="J110" t="s">
        <v>18</v>
      </c>
      <c r="K110" t="s">
        <v>19</v>
      </c>
      <c r="L110">
        <v>10</v>
      </c>
      <c r="M110">
        <v>0.19</v>
      </c>
      <c r="N110" t="s">
        <v>20</v>
      </c>
    </row>
    <row r="111" spans="1:14" x14ac:dyDescent="0.25">
      <c r="A111">
        <v>110</v>
      </c>
      <c r="B111" t="s">
        <v>24</v>
      </c>
      <c r="C111">
        <v>2002</v>
      </c>
      <c r="D111">
        <v>5.4</v>
      </c>
      <c r="E111" t="s">
        <v>27</v>
      </c>
      <c r="F111">
        <v>96950</v>
      </c>
      <c r="G111" t="s">
        <v>16</v>
      </c>
      <c r="H111">
        <v>30103.17</v>
      </c>
      <c r="I111" t="s">
        <v>35</v>
      </c>
      <c r="J111" t="s">
        <v>41</v>
      </c>
      <c r="K111" t="s">
        <v>19</v>
      </c>
      <c r="L111">
        <v>24</v>
      </c>
      <c r="M111">
        <v>0.31</v>
      </c>
      <c r="N111" t="s">
        <v>20</v>
      </c>
    </row>
    <row r="112" spans="1:14" x14ac:dyDescent="0.25">
      <c r="A112">
        <v>111</v>
      </c>
      <c r="B112" t="s">
        <v>36</v>
      </c>
      <c r="C112">
        <v>2011</v>
      </c>
      <c r="D112">
        <v>5.0999999999999996</v>
      </c>
      <c r="E112" t="s">
        <v>27</v>
      </c>
      <c r="F112">
        <v>174942</v>
      </c>
      <c r="G112" t="s">
        <v>22</v>
      </c>
      <c r="H112">
        <v>91445.73</v>
      </c>
      <c r="I112" t="s">
        <v>54</v>
      </c>
      <c r="J112" t="s">
        <v>46</v>
      </c>
      <c r="K112" t="s">
        <v>26</v>
      </c>
      <c r="L112">
        <v>15</v>
      </c>
      <c r="M112">
        <v>0.52</v>
      </c>
      <c r="N112" t="s">
        <v>33</v>
      </c>
    </row>
    <row r="113" spans="1:14" x14ac:dyDescent="0.25">
      <c r="A113">
        <v>112</v>
      </c>
      <c r="B113" t="s">
        <v>52</v>
      </c>
      <c r="C113">
        <v>2005</v>
      </c>
      <c r="D113">
        <v>4.4000000000000004</v>
      </c>
      <c r="E113" t="s">
        <v>27</v>
      </c>
      <c r="F113">
        <v>64829</v>
      </c>
      <c r="G113" t="s">
        <v>30</v>
      </c>
      <c r="H113">
        <v>91981.24</v>
      </c>
      <c r="I113" t="s">
        <v>53</v>
      </c>
      <c r="J113" t="s">
        <v>46</v>
      </c>
      <c r="K113" t="s">
        <v>19</v>
      </c>
      <c r="L113">
        <v>21</v>
      </c>
      <c r="M113">
        <v>1.42</v>
      </c>
      <c r="N113" t="s">
        <v>33</v>
      </c>
    </row>
    <row r="114" spans="1:14" x14ac:dyDescent="0.25">
      <c r="A114">
        <v>113</v>
      </c>
      <c r="B114" t="s">
        <v>21</v>
      </c>
      <c r="C114">
        <v>2010</v>
      </c>
      <c r="D114">
        <v>1.6</v>
      </c>
      <c r="E114" t="s">
        <v>27</v>
      </c>
      <c r="F114">
        <v>245602</v>
      </c>
      <c r="G114" t="s">
        <v>30</v>
      </c>
      <c r="H114">
        <v>36254.6</v>
      </c>
      <c r="I114" t="s">
        <v>47</v>
      </c>
      <c r="J114" t="s">
        <v>46</v>
      </c>
      <c r="K114" t="s">
        <v>26</v>
      </c>
      <c r="L114">
        <v>16</v>
      </c>
      <c r="M114">
        <v>0.15</v>
      </c>
      <c r="N114" t="s">
        <v>20</v>
      </c>
    </row>
    <row r="115" spans="1:14" x14ac:dyDescent="0.25">
      <c r="A115">
        <v>114</v>
      </c>
      <c r="B115" t="s">
        <v>21</v>
      </c>
      <c r="C115">
        <v>2002</v>
      </c>
      <c r="D115">
        <v>2.4</v>
      </c>
      <c r="E115" t="s">
        <v>15</v>
      </c>
      <c r="F115">
        <v>10588</v>
      </c>
      <c r="G115" t="s">
        <v>30</v>
      </c>
      <c r="H115">
        <v>72016.25</v>
      </c>
      <c r="I115" t="s">
        <v>60</v>
      </c>
      <c r="J115" t="s">
        <v>46</v>
      </c>
      <c r="K115" t="s">
        <v>50</v>
      </c>
      <c r="L115">
        <v>24</v>
      </c>
      <c r="M115">
        <v>6.8</v>
      </c>
      <c r="N115" t="s">
        <v>20</v>
      </c>
    </row>
    <row r="116" spans="1:14" x14ac:dyDescent="0.25">
      <c r="A116">
        <v>115</v>
      </c>
      <c r="B116" t="s">
        <v>21</v>
      </c>
      <c r="C116">
        <v>2007</v>
      </c>
      <c r="D116">
        <v>2.5</v>
      </c>
      <c r="E116" t="s">
        <v>15</v>
      </c>
      <c r="F116">
        <v>168217</v>
      </c>
      <c r="G116" t="s">
        <v>16</v>
      </c>
      <c r="H116">
        <v>69195.8</v>
      </c>
      <c r="I116" t="s">
        <v>23</v>
      </c>
      <c r="J116" t="s">
        <v>32</v>
      </c>
      <c r="K116" t="s">
        <v>26</v>
      </c>
      <c r="L116">
        <v>19</v>
      </c>
      <c r="M116">
        <v>0.41</v>
      </c>
      <c r="N116" t="s">
        <v>20</v>
      </c>
    </row>
    <row r="117" spans="1:14" x14ac:dyDescent="0.25">
      <c r="A117">
        <v>116</v>
      </c>
      <c r="B117" t="s">
        <v>24</v>
      </c>
      <c r="C117">
        <v>2013</v>
      </c>
      <c r="D117">
        <v>2.2000000000000002</v>
      </c>
      <c r="E117" t="s">
        <v>27</v>
      </c>
      <c r="F117">
        <v>272743</v>
      </c>
      <c r="G117" t="s">
        <v>22</v>
      </c>
      <c r="H117">
        <v>81623.45</v>
      </c>
      <c r="I117" t="s">
        <v>45</v>
      </c>
      <c r="J117" t="s">
        <v>32</v>
      </c>
      <c r="K117" t="s">
        <v>26</v>
      </c>
      <c r="L117">
        <v>13</v>
      </c>
      <c r="M117">
        <v>0.3</v>
      </c>
      <c r="N117" t="s">
        <v>20</v>
      </c>
    </row>
    <row r="118" spans="1:14" x14ac:dyDescent="0.25">
      <c r="A118">
        <v>117</v>
      </c>
      <c r="B118" t="s">
        <v>52</v>
      </c>
      <c r="C118">
        <v>2013</v>
      </c>
      <c r="D118">
        <v>3.6</v>
      </c>
      <c r="E118" t="s">
        <v>27</v>
      </c>
      <c r="F118">
        <v>208502</v>
      </c>
      <c r="G118" t="s">
        <v>22</v>
      </c>
      <c r="H118">
        <v>33168.400000000001</v>
      </c>
      <c r="I118" t="s">
        <v>53</v>
      </c>
      <c r="J118" t="s">
        <v>18</v>
      </c>
      <c r="K118" t="s">
        <v>26</v>
      </c>
      <c r="L118">
        <v>13</v>
      </c>
      <c r="M118">
        <v>0.16</v>
      </c>
      <c r="N118" t="s">
        <v>33</v>
      </c>
    </row>
    <row r="119" spans="1:14" x14ac:dyDescent="0.25">
      <c r="A119">
        <v>118</v>
      </c>
      <c r="B119" t="s">
        <v>24</v>
      </c>
      <c r="C119">
        <v>2009</v>
      </c>
      <c r="D119">
        <v>3.7</v>
      </c>
      <c r="E119" t="s">
        <v>27</v>
      </c>
      <c r="F119">
        <v>134011</v>
      </c>
      <c r="G119" t="s">
        <v>16</v>
      </c>
      <c r="H119">
        <v>53463.16</v>
      </c>
      <c r="I119" t="s">
        <v>35</v>
      </c>
      <c r="J119" t="s">
        <v>32</v>
      </c>
      <c r="K119" t="s">
        <v>19</v>
      </c>
      <c r="L119">
        <v>17</v>
      </c>
      <c r="M119">
        <v>0.4</v>
      </c>
      <c r="N119" t="s">
        <v>20</v>
      </c>
    </row>
    <row r="120" spans="1:14" x14ac:dyDescent="0.25">
      <c r="A120">
        <v>119</v>
      </c>
      <c r="B120" t="s">
        <v>14</v>
      </c>
      <c r="C120">
        <v>2001</v>
      </c>
      <c r="D120">
        <v>2.8</v>
      </c>
      <c r="E120" t="s">
        <v>27</v>
      </c>
      <c r="F120">
        <v>252856</v>
      </c>
      <c r="G120" t="s">
        <v>16</v>
      </c>
      <c r="H120">
        <v>68429.03</v>
      </c>
      <c r="I120" t="s">
        <v>39</v>
      </c>
      <c r="J120" t="s">
        <v>18</v>
      </c>
      <c r="K120" t="s">
        <v>26</v>
      </c>
      <c r="L120">
        <v>25</v>
      </c>
      <c r="M120">
        <v>0.27</v>
      </c>
      <c r="N120" t="s">
        <v>20</v>
      </c>
    </row>
    <row r="121" spans="1:14" x14ac:dyDescent="0.25">
      <c r="A121">
        <v>120</v>
      </c>
      <c r="B121" t="s">
        <v>24</v>
      </c>
      <c r="C121">
        <v>2013</v>
      </c>
      <c r="D121">
        <v>2.8</v>
      </c>
      <c r="E121" t="s">
        <v>27</v>
      </c>
      <c r="F121">
        <v>284293</v>
      </c>
      <c r="G121" t="s">
        <v>16</v>
      </c>
      <c r="H121">
        <v>7494.4</v>
      </c>
      <c r="I121" t="s">
        <v>35</v>
      </c>
      <c r="J121" t="s">
        <v>41</v>
      </c>
      <c r="K121" t="s">
        <v>26</v>
      </c>
      <c r="L121">
        <v>13</v>
      </c>
      <c r="M121">
        <v>0.03</v>
      </c>
      <c r="N121" t="s">
        <v>20</v>
      </c>
    </row>
    <row r="122" spans="1:14" x14ac:dyDescent="0.25">
      <c r="A122">
        <v>121</v>
      </c>
      <c r="B122" t="s">
        <v>52</v>
      </c>
      <c r="C122">
        <v>2008</v>
      </c>
      <c r="D122">
        <v>5.0999999999999996</v>
      </c>
      <c r="E122" t="s">
        <v>27</v>
      </c>
      <c r="F122">
        <v>197639</v>
      </c>
      <c r="G122" t="s">
        <v>16</v>
      </c>
      <c r="H122">
        <v>40790.18</v>
      </c>
      <c r="I122" t="s">
        <v>53</v>
      </c>
      <c r="J122" t="s">
        <v>46</v>
      </c>
      <c r="K122" t="s">
        <v>26</v>
      </c>
      <c r="L122">
        <v>18</v>
      </c>
      <c r="M122">
        <v>0.21</v>
      </c>
      <c r="N122" t="s">
        <v>33</v>
      </c>
    </row>
    <row r="123" spans="1:14" x14ac:dyDescent="0.25">
      <c r="A123">
        <v>122</v>
      </c>
      <c r="B123" t="s">
        <v>52</v>
      </c>
      <c r="C123">
        <v>2002</v>
      </c>
      <c r="D123">
        <v>4.9000000000000004</v>
      </c>
      <c r="E123" t="s">
        <v>27</v>
      </c>
      <c r="F123">
        <v>141280</v>
      </c>
      <c r="G123" t="s">
        <v>16</v>
      </c>
      <c r="H123">
        <v>71109.39</v>
      </c>
      <c r="I123" t="s">
        <v>59</v>
      </c>
      <c r="J123" t="s">
        <v>41</v>
      </c>
      <c r="K123" t="s">
        <v>19</v>
      </c>
      <c r="L123">
        <v>24</v>
      </c>
      <c r="M123">
        <v>0.5</v>
      </c>
      <c r="N123" t="s">
        <v>33</v>
      </c>
    </row>
    <row r="124" spans="1:14" x14ac:dyDescent="0.25">
      <c r="A124">
        <v>123</v>
      </c>
      <c r="B124" t="s">
        <v>14</v>
      </c>
      <c r="C124">
        <v>2020</v>
      </c>
      <c r="D124">
        <v>2.5</v>
      </c>
      <c r="E124" t="s">
        <v>27</v>
      </c>
      <c r="F124">
        <v>197170</v>
      </c>
      <c r="G124" t="s">
        <v>30</v>
      </c>
      <c r="H124">
        <v>28996.53</v>
      </c>
      <c r="I124" t="s">
        <v>58</v>
      </c>
      <c r="J124" t="s">
        <v>18</v>
      </c>
      <c r="K124" t="s">
        <v>26</v>
      </c>
      <c r="L124">
        <v>6</v>
      </c>
      <c r="M124">
        <v>0.15</v>
      </c>
      <c r="N124" t="s">
        <v>20</v>
      </c>
    </row>
    <row r="125" spans="1:14" x14ac:dyDescent="0.25">
      <c r="A125">
        <v>124</v>
      </c>
      <c r="B125" t="s">
        <v>52</v>
      </c>
      <c r="C125">
        <v>2007</v>
      </c>
      <c r="D125">
        <v>5.6</v>
      </c>
      <c r="E125" t="s">
        <v>15</v>
      </c>
      <c r="F125">
        <v>180564</v>
      </c>
      <c r="G125" t="s">
        <v>22</v>
      </c>
      <c r="H125">
        <v>95981.89</v>
      </c>
      <c r="I125" t="s">
        <v>56</v>
      </c>
      <c r="J125" t="s">
        <v>32</v>
      </c>
      <c r="K125" t="s">
        <v>26</v>
      </c>
      <c r="L125">
        <v>19</v>
      </c>
      <c r="M125">
        <v>0.53</v>
      </c>
      <c r="N125" t="s">
        <v>33</v>
      </c>
    </row>
    <row r="126" spans="1:14" x14ac:dyDescent="0.25">
      <c r="A126">
        <v>125</v>
      </c>
      <c r="B126" t="s">
        <v>52</v>
      </c>
      <c r="C126">
        <v>2015</v>
      </c>
      <c r="D126">
        <v>5.8</v>
      </c>
      <c r="E126" t="s">
        <v>15</v>
      </c>
      <c r="F126">
        <v>20951</v>
      </c>
      <c r="G126" t="s">
        <v>16</v>
      </c>
      <c r="H126">
        <v>7865.33</v>
      </c>
      <c r="I126" t="s">
        <v>56</v>
      </c>
      <c r="J126" t="s">
        <v>32</v>
      </c>
      <c r="K126" t="s">
        <v>50</v>
      </c>
      <c r="L126">
        <v>11</v>
      </c>
      <c r="M126">
        <v>0.38</v>
      </c>
      <c r="N126" t="s">
        <v>33</v>
      </c>
    </row>
    <row r="127" spans="1:14" x14ac:dyDescent="0.25">
      <c r="A127">
        <v>126</v>
      </c>
      <c r="B127" t="s">
        <v>21</v>
      </c>
      <c r="C127">
        <v>2001</v>
      </c>
      <c r="D127">
        <v>2.6</v>
      </c>
      <c r="E127" t="s">
        <v>15</v>
      </c>
      <c r="F127">
        <v>179992</v>
      </c>
      <c r="G127" t="s">
        <v>30</v>
      </c>
      <c r="H127">
        <v>96018.28</v>
      </c>
      <c r="I127" t="s">
        <v>42</v>
      </c>
      <c r="J127" t="s">
        <v>32</v>
      </c>
      <c r="K127" t="s">
        <v>26</v>
      </c>
      <c r="L127">
        <v>25</v>
      </c>
      <c r="M127">
        <v>0.53</v>
      </c>
      <c r="N127" t="s">
        <v>20</v>
      </c>
    </row>
    <row r="128" spans="1:14" x14ac:dyDescent="0.25">
      <c r="A128">
        <v>127</v>
      </c>
      <c r="B128" t="s">
        <v>14</v>
      </c>
      <c r="C128">
        <v>2005</v>
      </c>
      <c r="D128">
        <v>2.8</v>
      </c>
      <c r="E128" t="s">
        <v>15</v>
      </c>
      <c r="F128">
        <v>46766</v>
      </c>
      <c r="G128" t="s">
        <v>16</v>
      </c>
      <c r="H128">
        <v>25592.57</v>
      </c>
      <c r="I128" t="s">
        <v>17</v>
      </c>
      <c r="J128" t="s">
        <v>18</v>
      </c>
      <c r="K128" t="s">
        <v>50</v>
      </c>
      <c r="L128">
        <v>21</v>
      </c>
      <c r="M128">
        <v>0.55000000000000004</v>
      </c>
      <c r="N128" t="s">
        <v>20</v>
      </c>
    </row>
    <row r="129" spans="1:14" x14ac:dyDescent="0.25">
      <c r="A129">
        <v>128</v>
      </c>
      <c r="B129" t="s">
        <v>29</v>
      </c>
      <c r="C129">
        <v>2020</v>
      </c>
      <c r="D129">
        <v>3.5</v>
      </c>
      <c r="E129" t="s">
        <v>27</v>
      </c>
      <c r="F129">
        <v>159423</v>
      </c>
      <c r="G129" t="s">
        <v>30</v>
      </c>
      <c r="H129">
        <v>9638.09</v>
      </c>
      <c r="I129" t="s">
        <v>31</v>
      </c>
      <c r="J129" t="s">
        <v>32</v>
      </c>
      <c r="K129" t="s">
        <v>26</v>
      </c>
      <c r="L129">
        <v>6</v>
      </c>
      <c r="M129">
        <v>0.06</v>
      </c>
      <c r="N129" t="s">
        <v>33</v>
      </c>
    </row>
    <row r="130" spans="1:14" x14ac:dyDescent="0.25">
      <c r="A130">
        <v>129</v>
      </c>
      <c r="B130" t="s">
        <v>29</v>
      </c>
      <c r="C130">
        <v>2011</v>
      </c>
      <c r="D130">
        <v>5.7</v>
      </c>
      <c r="E130" t="s">
        <v>15</v>
      </c>
      <c r="F130">
        <v>87122</v>
      </c>
      <c r="G130" t="s">
        <v>16</v>
      </c>
      <c r="H130">
        <v>32785.03</v>
      </c>
      <c r="I130" t="s">
        <v>38</v>
      </c>
      <c r="J130" t="s">
        <v>46</v>
      </c>
      <c r="K130" t="s">
        <v>19</v>
      </c>
      <c r="L130">
        <v>15</v>
      </c>
      <c r="M130">
        <v>0.38</v>
      </c>
      <c r="N130" t="s">
        <v>33</v>
      </c>
    </row>
    <row r="131" spans="1:14" x14ac:dyDescent="0.25">
      <c r="A131">
        <v>130</v>
      </c>
      <c r="B131" t="s">
        <v>52</v>
      </c>
      <c r="C131">
        <v>2004</v>
      </c>
      <c r="D131">
        <v>5.4</v>
      </c>
      <c r="E131" t="s">
        <v>27</v>
      </c>
      <c r="F131">
        <v>271452</v>
      </c>
      <c r="G131" t="s">
        <v>22</v>
      </c>
      <c r="H131">
        <v>79696.820000000007</v>
      </c>
      <c r="I131" t="s">
        <v>56</v>
      </c>
      <c r="J131" t="s">
        <v>46</v>
      </c>
      <c r="K131" t="s">
        <v>26</v>
      </c>
      <c r="L131">
        <v>22</v>
      </c>
      <c r="M131">
        <v>0.28999999999999998</v>
      </c>
      <c r="N131" t="s">
        <v>33</v>
      </c>
    </row>
    <row r="132" spans="1:14" x14ac:dyDescent="0.25">
      <c r="A132">
        <v>131</v>
      </c>
      <c r="B132" t="s">
        <v>29</v>
      </c>
      <c r="C132">
        <v>2001</v>
      </c>
      <c r="D132">
        <v>1.5</v>
      </c>
      <c r="E132" t="s">
        <v>15</v>
      </c>
      <c r="F132">
        <v>83211</v>
      </c>
      <c r="G132" t="s">
        <v>16</v>
      </c>
      <c r="H132">
        <v>76481.990000000005</v>
      </c>
      <c r="I132" t="s">
        <v>38</v>
      </c>
      <c r="J132" t="s">
        <v>46</v>
      </c>
      <c r="K132" t="s">
        <v>19</v>
      </c>
      <c r="L132">
        <v>25</v>
      </c>
      <c r="M132">
        <v>0.92</v>
      </c>
      <c r="N132" t="s">
        <v>33</v>
      </c>
    </row>
    <row r="133" spans="1:14" x14ac:dyDescent="0.25">
      <c r="A133">
        <v>132</v>
      </c>
      <c r="B133" t="s">
        <v>29</v>
      </c>
      <c r="C133">
        <v>2015</v>
      </c>
      <c r="D133">
        <v>3</v>
      </c>
      <c r="E133" t="s">
        <v>27</v>
      </c>
      <c r="F133">
        <v>126534</v>
      </c>
      <c r="G133" t="s">
        <v>16</v>
      </c>
      <c r="H133">
        <v>24839.84</v>
      </c>
      <c r="I133" t="s">
        <v>62</v>
      </c>
      <c r="J133" t="s">
        <v>41</v>
      </c>
      <c r="K133" t="s">
        <v>19</v>
      </c>
      <c r="L133">
        <v>11</v>
      </c>
      <c r="M133">
        <v>0.2</v>
      </c>
      <c r="N133" t="s">
        <v>33</v>
      </c>
    </row>
    <row r="134" spans="1:14" x14ac:dyDescent="0.25">
      <c r="A134">
        <v>133</v>
      </c>
      <c r="B134" t="s">
        <v>52</v>
      </c>
      <c r="C134">
        <v>2004</v>
      </c>
      <c r="D134">
        <v>3.8</v>
      </c>
      <c r="E134" t="s">
        <v>27</v>
      </c>
      <c r="F134">
        <v>8720</v>
      </c>
      <c r="G134" t="s">
        <v>22</v>
      </c>
      <c r="H134">
        <v>23695.06</v>
      </c>
      <c r="I134" t="s">
        <v>61</v>
      </c>
      <c r="J134" t="s">
        <v>32</v>
      </c>
      <c r="K134" t="s">
        <v>50</v>
      </c>
      <c r="L134">
        <v>22</v>
      </c>
      <c r="M134">
        <v>2.72</v>
      </c>
      <c r="N134" t="s">
        <v>33</v>
      </c>
    </row>
    <row r="135" spans="1:14" x14ac:dyDescent="0.25">
      <c r="A135">
        <v>134</v>
      </c>
      <c r="B135" t="s">
        <v>29</v>
      </c>
      <c r="C135">
        <v>2014</v>
      </c>
      <c r="D135">
        <v>3.5</v>
      </c>
      <c r="E135" t="s">
        <v>15</v>
      </c>
      <c r="F135">
        <v>79993</v>
      </c>
      <c r="G135" t="s">
        <v>22</v>
      </c>
      <c r="H135">
        <v>66045.09</v>
      </c>
      <c r="I135" t="s">
        <v>62</v>
      </c>
      <c r="J135" t="s">
        <v>41</v>
      </c>
      <c r="K135" t="s">
        <v>19</v>
      </c>
      <c r="L135">
        <v>12</v>
      </c>
      <c r="M135">
        <v>0.83</v>
      </c>
      <c r="N135" t="s">
        <v>33</v>
      </c>
    </row>
    <row r="136" spans="1:14" x14ac:dyDescent="0.25">
      <c r="A136">
        <v>135</v>
      </c>
      <c r="B136" t="s">
        <v>24</v>
      </c>
      <c r="C136">
        <v>2011</v>
      </c>
      <c r="D136">
        <v>2</v>
      </c>
      <c r="E136" t="s">
        <v>15</v>
      </c>
      <c r="F136">
        <v>219973</v>
      </c>
      <c r="G136" t="s">
        <v>16</v>
      </c>
      <c r="H136">
        <v>48517.86</v>
      </c>
      <c r="I136" t="s">
        <v>35</v>
      </c>
      <c r="J136" t="s">
        <v>32</v>
      </c>
      <c r="K136" t="s">
        <v>26</v>
      </c>
      <c r="L136">
        <v>15</v>
      </c>
      <c r="M136">
        <v>0.22</v>
      </c>
      <c r="N136" t="s">
        <v>20</v>
      </c>
    </row>
    <row r="137" spans="1:14" x14ac:dyDescent="0.25">
      <c r="A137">
        <v>136</v>
      </c>
      <c r="B137" t="s">
        <v>36</v>
      </c>
      <c r="C137">
        <v>2003</v>
      </c>
      <c r="D137">
        <v>5.3</v>
      </c>
      <c r="E137" t="s">
        <v>27</v>
      </c>
      <c r="F137">
        <v>25905</v>
      </c>
      <c r="G137" t="s">
        <v>22</v>
      </c>
      <c r="H137">
        <v>80267.55</v>
      </c>
      <c r="I137" t="s">
        <v>54</v>
      </c>
      <c r="J137" t="s">
        <v>18</v>
      </c>
      <c r="K137" t="s">
        <v>50</v>
      </c>
      <c r="L137">
        <v>23</v>
      </c>
      <c r="M137">
        <v>3.1</v>
      </c>
      <c r="N137" t="s">
        <v>33</v>
      </c>
    </row>
    <row r="138" spans="1:14" x14ac:dyDescent="0.25">
      <c r="A138">
        <v>137</v>
      </c>
      <c r="B138" t="s">
        <v>14</v>
      </c>
      <c r="C138">
        <v>2014</v>
      </c>
      <c r="D138">
        <v>4.4000000000000004</v>
      </c>
      <c r="E138" t="s">
        <v>27</v>
      </c>
      <c r="F138">
        <v>204580</v>
      </c>
      <c r="G138" t="s">
        <v>22</v>
      </c>
      <c r="H138">
        <v>7292.61</v>
      </c>
      <c r="I138" t="s">
        <v>39</v>
      </c>
      <c r="J138" t="s">
        <v>18</v>
      </c>
      <c r="K138" t="s">
        <v>26</v>
      </c>
      <c r="L138">
        <v>12</v>
      </c>
      <c r="M138">
        <v>0.04</v>
      </c>
      <c r="N138" t="s">
        <v>20</v>
      </c>
    </row>
    <row r="139" spans="1:14" x14ac:dyDescent="0.25">
      <c r="A139">
        <v>138</v>
      </c>
      <c r="B139" t="s">
        <v>36</v>
      </c>
      <c r="C139">
        <v>2010</v>
      </c>
      <c r="D139">
        <v>5.2</v>
      </c>
      <c r="E139" t="s">
        <v>27</v>
      </c>
      <c r="F139">
        <v>50385</v>
      </c>
      <c r="G139" t="s">
        <v>30</v>
      </c>
      <c r="H139">
        <v>62989.13</v>
      </c>
      <c r="I139" t="s">
        <v>54</v>
      </c>
      <c r="J139" t="s">
        <v>41</v>
      </c>
      <c r="K139" t="s">
        <v>19</v>
      </c>
      <c r="L139">
        <v>16</v>
      </c>
      <c r="M139">
        <v>1.25</v>
      </c>
      <c r="N139" t="s">
        <v>33</v>
      </c>
    </row>
    <row r="140" spans="1:14" x14ac:dyDescent="0.25">
      <c r="A140">
        <v>139</v>
      </c>
      <c r="B140" t="s">
        <v>52</v>
      </c>
      <c r="C140">
        <v>2015</v>
      </c>
      <c r="D140">
        <v>5.3</v>
      </c>
      <c r="E140" t="s">
        <v>15</v>
      </c>
      <c r="F140">
        <v>30653</v>
      </c>
      <c r="G140" t="s">
        <v>22</v>
      </c>
      <c r="H140">
        <v>74413.84</v>
      </c>
      <c r="I140" t="s">
        <v>56</v>
      </c>
      <c r="J140" t="s">
        <v>46</v>
      </c>
      <c r="K140" t="s">
        <v>50</v>
      </c>
      <c r="L140">
        <v>11</v>
      </c>
      <c r="M140">
        <v>2.4300000000000002</v>
      </c>
      <c r="N140" t="s">
        <v>33</v>
      </c>
    </row>
    <row r="141" spans="1:14" x14ac:dyDescent="0.25">
      <c r="A141">
        <v>140</v>
      </c>
      <c r="B141" t="s">
        <v>21</v>
      </c>
      <c r="C141">
        <v>2022</v>
      </c>
      <c r="D141">
        <v>4.7</v>
      </c>
      <c r="E141" t="s">
        <v>15</v>
      </c>
      <c r="F141">
        <v>91865</v>
      </c>
      <c r="G141" t="s">
        <v>22</v>
      </c>
      <c r="H141">
        <v>99371.68</v>
      </c>
      <c r="I141" t="s">
        <v>60</v>
      </c>
      <c r="J141" t="s">
        <v>41</v>
      </c>
      <c r="K141" t="s">
        <v>19</v>
      </c>
      <c r="L141">
        <v>4</v>
      </c>
      <c r="M141">
        <v>1.08</v>
      </c>
      <c r="N141" t="s">
        <v>20</v>
      </c>
    </row>
    <row r="142" spans="1:14" x14ac:dyDescent="0.25">
      <c r="A142">
        <v>141</v>
      </c>
      <c r="B142" t="s">
        <v>14</v>
      </c>
      <c r="C142">
        <v>2005</v>
      </c>
      <c r="D142">
        <v>3.2</v>
      </c>
      <c r="E142" t="s">
        <v>27</v>
      </c>
      <c r="F142">
        <v>125813</v>
      </c>
      <c r="G142" t="s">
        <v>16</v>
      </c>
      <c r="H142">
        <v>69484.259999999995</v>
      </c>
      <c r="I142" t="s">
        <v>39</v>
      </c>
      <c r="J142" t="s">
        <v>18</v>
      </c>
      <c r="K142" t="s">
        <v>19</v>
      </c>
      <c r="L142">
        <v>21</v>
      </c>
      <c r="M142">
        <v>0.55000000000000004</v>
      </c>
      <c r="N142" t="s">
        <v>20</v>
      </c>
    </row>
    <row r="143" spans="1:14" x14ac:dyDescent="0.25">
      <c r="A143">
        <v>142</v>
      </c>
      <c r="B143" t="s">
        <v>52</v>
      </c>
      <c r="C143">
        <v>2013</v>
      </c>
      <c r="D143">
        <v>4.0999999999999996</v>
      </c>
      <c r="E143" t="s">
        <v>15</v>
      </c>
      <c r="F143">
        <v>145871</v>
      </c>
      <c r="G143" t="s">
        <v>16</v>
      </c>
      <c r="H143">
        <v>27025.29</v>
      </c>
      <c r="I143" t="s">
        <v>59</v>
      </c>
      <c r="J143" t="s">
        <v>32</v>
      </c>
      <c r="K143" t="s">
        <v>19</v>
      </c>
      <c r="L143">
        <v>13</v>
      </c>
      <c r="M143">
        <v>0.19</v>
      </c>
      <c r="N143" t="s">
        <v>33</v>
      </c>
    </row>
    <row r="144" spans="1:14" x14ac:dyDescent="0.25">
      <c r="A144">
        <v>143</v>
      </c>
      <c r="B144" t="s">
        <v>21</v>
      </c>
      <c r="C144">
        <v>2017</v>
      </c>
      <c r="D144">
        <v>1.8</v>
      </c>
      <c r="E144" t="s">
        <v>27</v>
      </c>
      <c r="F144">
        <v>191175</v>
      </c>
      <c r="G144" t="s">
        <v>30</v>
      </c>
      <c r="H144">
        <v>15277.69</v>
      </c>
      <c r="I144" t="s">
        <v>23</v>
      </c>
      <c r="J144" t="s">
        <v>46</v>
      </c>
      <c r="K144" t="s">
        <v>26</v>
      </c>
      <c r="L144">
        <v>9</v>
      </c>
      <c r="M144">
        <v>0.08</v>
      </c>
      <c r="N144" t="s">
        <v>20</v>
      </c>
    </row>
    <row r="145" spans="1:14" x14ac:dyDescent="0.25">
      <c r="A145">
        <v>144</v>
      </c>
      <c r="B145" t="s">
        <v>36</v>
      </c>
      <c r="C145">
        <v>2011</v>
      </c>
      <c r="D145">
        <v>4.4000000000000004</v>
      </c>
      <c r="E145" t="s">
        <v>15</v>
      </c>
      <c r="F145">
        <v>248535</v>
      </c>
      <c r="G145" t="s">
        <v>16</v>
      </c>
      <c r="H145">
        <v>65887.09</v>
      </c>
      <c r="I145" t="s">
        <v>57</v>
      </c>
      <c r="J145" t="s">
        <v>46</v>
      </c>
      <c r="K145" t="s">
        <v>26</v>
      </c>
      <c r="L145">
        <v>15</v>
      </c>
      <c r="M145">
        <v>0.27</v>
      </c>
      <c r="N145" t="s">
        <v>33</v>
      </c>
    </row>
    <row r="146" spans="1:14" x14ac:dyDescent="0.25">
      <c r="A146">
        <v>145</v>
      </c>
      <c r="B146" t="s">
        <v>52</v>
      </c>
      <c r="C146">
        <v>2010</v>
      </c>
      <c r="D146">
        <v>1.9</v>
      </c>
      <c r="E146" t="s">
        <v>15</v>
      </c>
      <c r="F146">
        <v>15052</v>
      </c>
      <c r="G146" t="s">
        <v>22</v>
      </c>
      <c r="H146">
        <v>54702.39</v>
      </c>
      <c r="I146" t="s">
        <v>53</v>
      </c>
      <c r="J146" t="s">
        <v>32</v>
      </c>
      <c r="K146" t="s">
        <v>50</v>
      </c>
      <c r="L146">
        <v>16</v>
      </c>
      <c r="M146">
        <v>3.63</v>
      </c>
      <c r="N146" t="s">
        <v>33</v>
      </c>
    </row>
    <row r="147" spans="1:14" x14ac:dyDescent="0.25">
      <c r="A147">
        <v>146</v>
      </c>
      <c r="B147" t="s">
        <v>14</v>
      </c>
      <c r="C147">
        <v>2012</v>
      </c>
      <c r="D147">
        <v>4.5</v>
      </c>
      <c r="E147" t="s">
        <v>15</v>
      </c>
      <c r="F147">
        <v>137116</v>
      </c>
      <c r="G147" t="s">
        <v>22</v>
      </c>
      <c r="H147">
        <v>90418.8</v>
      </c>
      <c r="I147" t="s">
        <v>28</v>
      </c>
      <c r="J147" t="s">
        <v>18</v>
      </c>
      <c r="K147" t="s">
        <v>19</v>
      </c>
      <c r="L147">
        <v>14</v>
      </c>
      <c r="M147">
        <v>0.66</v>
      </c>
      <c r="N147" t="s">
        <v>20</v>
      </c>
    </row>
    <row r="148" spans="1:14" x14ac:dyDescent="0.25">
      <c r="A148">
        <v>147</v>
      </c>
      <c r="B148" t="s">
        <v>14</v>
      </c>
      <c r="C148">
        <v>2020</v>
      </c>
      <c r="D148">
        <v>2.1</v>
      </c>
      <c r="E148" t="s">
        <v>15</v>
      </c>
      <c r="F148">
        <v>150943</v>
      </c>
      <c r="G148" t="s">
        <v>22</v>
      </c>
      <c r="H148">
        <v>74027.759999999995</v>
      </c>
      <c r="I148" t="s">
        <v>39</v>
      </c>
      <c r="J148" t="s">
        <v>18</v>
      </c>
      <c r="K148" t="s">
        <v>26</v>
      </c>
      <c r="L148">
        <v>6</v>
      </c>
      <c r="M148">
        <v>0.49</v>
      </c>
      <c r="N148" t="s">
        <v>20</v>
      </c>
    </row>
    <row r="149" spans="1:14" x14ac:dyDescent="0.25">
      <c r="A149">
        <v>148</v>
      </c>
      <c r="B149" t="s">
        <v>43</v>
      </c>
      <c r="C149">
        <v>2022</v>
      </c>
      <c r="D149">
        <v>1.6</v>
      </c>
      <c r="E149" t="s">
        <v>15</v>
      </c>
      <c r="F149">
        <v>220375</v>
      </c>
      <c r="G149" t="s">
        <v>16</v>
      </c>
      <c r="H149">
        <v>53425.53</v>
      </c>
      <c r="I149" t="s">
        <v>49</v>
      </c>
      <c r="J149" t="s">
        <v>41</v>
      </c>
      <c r="K149" t="s">
        <v>26</v>
      </c>
      <c r="L149">
        <v>4</v>
      </c>
      <c r="M149">
        <v>0.24</v>
      </c>
      <c r="N149" t="s">
        <v>20</v>
      </c>
    </row>
    <row r="150" spans="1:14" x14ac:dyDescent="0.25">
      <c r="A150">
        <v>149</v>
      </c>
      <c r="B150" t="s">
        <v>24</v>
      </c>
      <c r="C150">
        <v>2010</v>
      </c>
      <c r="D150">
        <v>1.8</v>
      </c>
      <c r="E150" t="s">
        <v>27</v>
      </c>
      <c r="F150">
        <v>21381</v>
      </c>
      <c r="G150" t="s">
        <v>22</v>
      </c>
      <c r="H150">
        <v>43341</v>
      </c>
      <c r="I150" t="s">
        <v>34</v>
      </c>
      <c r="J150" t="s">
        <v>41</v>
      </c>
      <c r="K150" t="s">
        <v>50</v>
      </c>
      <c r="L150">
        <v>16</v>
      </c>
      <c r="M150">
        <v>2.0299999999999998</v>
      </c>
      <c r="N150" t="s">
        <v>20</v>
      </c>
    </row>
    <row r="151" spans="1:14" x14ac:dyDescent="0.25">
      <c r="A151">
        <v>150</v>
      </c>
      <c r="B151" t="s">
        <v>29</v>
      </c>
      <c r="C151">
        <v>2022</v>
      </c>
      <c r="D151">
        <v>1</v>
      </c>
      <c r="E151" t="s">
        <v>27</v>
      </c>
      <c r="F151">
        <v>148346</v>
      </c>
      <c r="G151" t="s">
        <v>22</v>
      </c>
      <c r="H151">
        <v>43415.6</v>
      </c>
      <c r="I151" t="s">
        <v>62</v>
      </c>
      <c r="J151" t="s">
        <v>41</v>
      </c>
      <c r="K151" t="s">
        <v>19</v>
      </c>
      <c r="L151">
        <v>4</v>
      </c>
      <c r="M151">
        <v>0.28999999999999998</v>
      </c>
      <c r="N151" t="s">
        <v>33</v>
      </c>
    </row>
    <row r="152" spans="1:14" x14ac:dyDescent="0.25">
      <c r="A152">
        <v>151</v>
      </c>
      <c r="B152" t="s">
        <v>21</v>
      </c>
      <c r="C152">
        <v>2015</v>
      </c>
      <c r="D152">
        <v>4.5999999999999996</v>
      </c>
      <c r="E152" t="s">
        <v>15</v>
      </c>
      <c r="F152">
        <v>243234</v>
      </c>
      <c r="G152" t="s">
        <v>30</v>
      </c>
      <c r="H152">
        <v>26498.91</v>
      </c>
      <c r="I152" t="s">
        <v>60</v>
      </c>
      <c r="J152" t="s">
        <v>41</v>
      </c>
      <c r="K152" t="s">
        <v>26</v>
      </c>
      <c r="L152">
        <v>11</v>
      </c>
      <c r="M152">
        <v>0.11</v>
      </c>
      <c r="N152" t="s">
        <v>20</v>
      </c>
    </row>
    <row r="153" spans="1:14" x14ac:dyDescent="0.25">
      <c r="A153">
        <v>152</v>
      </c>
      <c r="B153" t="s">
        <v>43</v>
      </c>
      <c r="C153">
        <v>2014</v>
      </c>
      <c r="D153">
        <v>4.7</v>
      </c>
      <c r="E153" t="s">
        <v>27</v>
      </c>
      <c r="F153">
        <v>256017</v>
      </c>
      <c r="G153" t="s">
        <v>30</v>
      </c>
      <c r="H153">
        <v>6645.97</v>
      </c>
      <c r="I153" t="s">
        <v>44</v>
      </c>
      <c r="J153" t="s">
        <v>41</v>
      </c>
      <c r="K153" t="s">
        <v>26</v>
      </c>
      <c r="L153">
        <v>12</v>
      </c>
      <c r="M153">
        <v>0.03</v>
      </c>
      <c r="N153" t="s">
        <v>20</v>
      </c>
    </row>
    <row r="154" spans="1:14" x14ac:dyDescent="0.25">
      <c r="A154">
        <v>153</v>
      </c>
      <c r="B154" t="s">
        <v>29</v>
      </c>
      <c r="C154">
        <v>2020</v>
      </c>
      <c r="D154">
        <v>3.6</v>
      </c>
      <c r="E154" t="s">
        <v>27</v>
      </c>
      <c r="F154">
        <v>235020</v>
      </c>
      <c r="G154" t="s">
        <v>30</v>
      </c>
      <c r="H154">
        <v>59616.51</v>
      </c>
      <c r="I154" t="s">
        <v>31</v>
      </c>
      <c r="J154" t="s">
        <v>18</v>
      </c>
      <c r="K154" t="s">
        <v>26</v>
      </c>
      <c r="L154">
        <v>6</v>
      </c>
      <c r="M154">
        <v>0.25</v>
      </c>
      <c r="N154" t="s">
        <v>33</v>
      </c>
    </row>
    <row r="155" spans="1:14" x14ac:dyDescent="0.25">
      <c r="A155">
        <v>154</v>
      </c>
      <c r="B155" t="s">
        <v>29</v>
      </c>
      <c r="C155">
        <v>2014</v>
      </c>
      <c r="D155">
        <v>1.8</v>
      </c>
      <c r="E155" t="s">
        <v>15</v>
      </c>
      <c r="F155">
        <v>49892</v>
      </c>
      <c r="G155" t="s">
        <v>16</v>
      </c>
      <c r="H155">
        <v>25179.4</v>
      </c>
      <c r="I155" t="s">
        <v>31</v>
      </c>
      <c r="J155" t="s">
        <v>18</v>
      </c>
      <c r="K155" t="s">
        <v>50</v>
      </c>
      <c r="L155">
        <v>12</v>
      </c>
      <c r="M155">
        <v>0.5</v>
      </c>
      <c r="N155" t="s">
        <v>33</v>
      </c>
    </row>
    <row r="156" spans="1:14" x14ac:dyDescent="0.25">
      <c r="A156">
        <v>155</v>
      </c>
      <c r="B156" t="s">
        <v>52</v>
      </c>
      <c r="C156">
        <v>2003</v>
      </c>
      <c r="D156">
        <v>1.4</v>
      </c>
      <c r="E156" t="s">
        <v>27</v>
      </c>
      <c r="F156">
        <v>181593</v>
      </c>
      <c r="G156" t="s">
        <v>22</v>
      </c>
      <c r="H156">
        <v>24791.06</v>
      </c>
      <c r="I156" t="s">
        <v>53</v>
      </c>
      <c r="J156" t="s">
        <v>46</v>
      </c>
      <c r="K156" t="s">
        <v>26</v>
      </c>
      <c r="L156">
        <v>23</v>
      </c>
      <c r="M156">
        <v>0.14000000000000001</v>
      </c>
      <c r="N156" t="s">
        <v>33</v>
      </c>
    </row>
    <row r="157" spans="1:14" x14ac:dyDescent="0.25">
      <c r="A157">
        <v>156</v>
      </c>
      <c r="B157" t="s">
        <v>29</v>
      </c>
      <c r="C157">
        <v>2010</v>
      </c>
      <c r="D157">
        <v>1.1000000000000001</v>
      </c>
      <c r="E157" t="s">
        <v>15</v>
      </c>
      <c r="F157">
        <v>214992</v>
      </c>
      <c r="G157" t="s">
        <v>22</v>
      </c>
      <c r="H157">
        <v>16911.22</v>
      </c>
      <c r="I157" t="s">
        <v>31</v>
      </c>
      <c r="J157" t="s">
        <v>41</v>
      </c>
      <c r="K157" t="s">
        <v>26</v>
      </c>
      <c r="L157">
        <v>16</v>
      </c>
      <c r="M157">
        <v>0.08</v>
      </c>
      <c r="N157" t="s">
        <v>33</v>
      </c>
    </row>
    <row r="158" spans="1:14" x14ac:dyDescent="0.25">
      <c r="A158">
        <v>157</v>
      </c>
      <c r="B158" t="s">
        <v>24</v>
      </c>
      <c r="C158">
        <v>2018</v>
      </c>
      <c r="D158">
        <v>1.8</v>
      </c>
      <c r="E158" t="s">
        <v>27</v>
      </c>
      <c r="F158">
        <v>280064</v>
      </c>
      <c r="G158" t="s">
        <v>22</v>
      </c>
      <c r="H158">
        <v>23011.57</v>
      </c>
      <c r="I158" t="s">
        <v>45</v>
      </c>
      <c r="J158" t="s">
        <v>32</v>
      </c>
      <c r="K158" t="s">
        <v>26</v>
      </c>
      <c r="L158">
        <v>8</v>
      </c>
      <c r="M158">
        <v>0.08</v>
      </c>
      <c r="N158" t="s">
        <v>20</v>
      </c>
    </row>
    <row r="159" spans="1:14" x14ac:dyDescent="0.25">
      <c r="A159">
        <v>158</v>
      </c>
      <c r="B159" t="s">
        <v>14</v>
      </c>
      <c r="C159">
        <v>2014</v>
      </c>
      <c r="D159">
        <v>5.5</v>
      </c>
      <c r="E159" t="s">
        <v>27</v>
      </c>
      <c r="F159">
        <v>278846</v>
      </c>
      <c r="G159" t="s">
        <v>30</v>
      </c>
      <c r="H159">
        <v>8019.97</v>
      </c>
      <c r="I159" t="s">
        <v>39</v>
      </c>
      <c r="J159" t="s">
        <v>18</v>
      </c>
      <c r="K159" t="s">
        <v>26</v>
      </c>
      <c r="L159">
        <v>12</v>
      </c>
      <c r="M159">
        <v>0.03</v>
      </c>
      <c r="N159" t="s">
        <v>20</v>
      </c>
    </row>
    <row r="160" spans="1:14" x14ac:dyDescent="0.25">
      <c r="A160">
        <v>159</v>
      </c>
      <c r="B160" t="s">
        <v>43</v>
      </c>
      <c r="C160">
        <v>2003</v>
      </c>
      <c r="D160">
        <v>2.2000000000000002</v>
      </c>
      <c r="E160" t="s">
        <v>27</v>
      </c>
      <c r="F160">
        <v>256216</v>
      </c>
      <c r="G160" t="s">
        <v>22</v>
      </c>
      <c r="H160">
        <v>69051.990000000005</v>
      </c>
      <c r="I160" t="s">
        <v>48</v>
      </c>
      <c r="J160" t="s">
        <v>18</v>
      </c>
      <c r="K160" t="s">
        <v>26</v>
      </c>
      <c r="L160">
        <v>23</v>
      </c>
      <c r="M160">
        <v>0.27</v>
      </c>
      <c r="N160" t="s">
        <v>20</v>
      </c>
    </row>
    <row r="161" spans="1:14" x14ac:dyDescent="0.25">
      <c r="A161">
        <v>160</v>
      </c>
      <c r="B161" t="s">
        <v>29</v>
      </c>
      <c r="C161">
        <v>2020</v>
      </c>
      <c r="D161">
        <v>2.8</v>
      </c>
      <c r="E161" t="s">
        <v>27</v>
      </c>
      <c r="F161">
        <v>264038</v>
      </c>
      <c r="G161" t="s">
        <v>22</v>
      </c>
      <c r="H161">
        <v>43132.73</v>
      </c>
      <c r="I161" t="s">
        <v>40</v>
      </c>
      <c r="J161" t="s">
        <v>41</v>
      </c>
      <c r="K161" t="s">
        <v>26</v>
      </c>
      <c r="L161">
        <v>6</v>
      </c>
      <c r="M161">
        <v>0.16</v>
      </c>
      <c r="N161" t="s">
        <v>33</v>
      </c>
    </row>
    <row r="162" spans="1:14" x14ac:dyDescent="0.25">
      <c r="A162">
        <v>161</v>
      </c>
      <c r="B162" t="s">
        <v>52</v>
      </c>
      <c r="C162">
        <v>2012</v>
      </c>
      <c r="D162">
        <v>1.5</v>
      </c>
      <c r="E162" t="s">
        <v>27</v>
      </c>
      <c r="F162">
        <v>293129</v>
      </c>
      <c r="G162" t="s">
        <v>22</v>
      </c>
      <c r="H162">
        <v>58344.84</v>
      </c>
      <c r="I162" t="s">
        <v>53</v>
      </c>
      <c r="J162" t="s">
        <v>18</v>
      </c>
      <c r="K162" t="s">
        <v>26</v>
      </c>
      <c r="L162">
        <v>14</v>
      </c>
      <c r="M162">
        <v>0.2</v>
      </c>
      <c r="N162" t="s">
        <v>33</v>
      </c>
    </row>
    <row r="163" spans="1:14" x14ac:dyDescent="0.25">
      <c r="A163">
        <v>162</v>
      </c>
      <c r="B163" t="s">
        <v>24</v>
      </c>
      <c r="C163">
        <v>2021</v>
      </c>
      <c r="D163">
        <v>2.1</v>
      </c>
      <c r="E163" t="s">
        <v>27</v>
      </c>
      <c r="F163">
        <v>159359</v>
      </c>
      <c r="G163" t="s">
        <v>22</v>
      </c>
      <c r="H163">
        <v>65510.97</v>
      </c>
      <c r="I163" t="s">
        <v>25</v>
      </c>
      <c r="J163" t="s">
        <v>46</v>
      </c>
      <c r="K163" t="s">
        <v>26</v>
      </c>
      <c r="L163">
        <v>5</v>
      </c>
      <c r="M163">
        <v>0.41</v>
      </c>
      <c r="N163" t="s">
        <v>20</v>
      </c>
    </row>
    <row r="164" spans="1:14" x14ac:dyDescent="0.25">
      <c r="A164">
        <v>163</v>
      </c>
      <c r="B164" t="s">
        <v>36</v>
      </c>
      <c r="C164">
        <v>2018</v>
      </c>
      <c r="D164">
        <v>3.6</v>
      </c>
      <c r="E164" t="s">
        <v>27</v>
      </c>
      <c r="F164">
        <v>258771</v>
      </c>
      <c r="G164" t="s">
        <v>22</v>
      </c>
      <c r="H164">
        <v>97386.03</v>
      </c>
      <c r="I164" t="s">
        <v>37</v>
      </c>
      <c r="J164" t="s">
        <v>46</v>
      </c>
      <c r="K164" t="s">
        <v>26</v>
      </c>
      <c r="L164">
        <v>8</v>
      </c>
      <c r="M164">
        <v>0.38</v>
      </c>
      <c r="N164" t="s">
        <v>33</v>
      </c>
    </row>
    <row r="165" spans="1:14" x14ac:dyDescent="0.25">
      <c r="A165">
        <v>164</v>
      </c>
      <c r="B165" t="s">
        <v>14</v>
      </c>
      <c r="C165">
        <v>2001</v>
      </c>
      <c r="D165">
        <v>4</v>
      </c>
      <c r="E165" t="s">
        <v>15</v>
      </c>
      <c r="F165">
        <v>125702</v>
      </c>
      <c r="G165" t="s">
        <v>16</v>
      </c>
      <c r="H165">
        <v>11485.26</v>
      </c>
      <c r="I165" t="s">
        <v>28</v>
      </c>
      <c r="J165" t="s">
        <v>18</v>
      </c>
      <c r="K165" t="s">
        <v>19</v>
      </c>
      <c r="L165">
        <v>25</v>
      </c>
      <c r="M165">
        <v>0.09</v>
      </c>
      <c r="N165" t="s">
        <v>20</v>
      </c>
    </row>
    <row r="166" spans="1:14" x14ac:dyDescent="0.25">
      <c r="A166">
        <v>165</v>
      </c>
      <c r="B166" t="s">
        <v>14</v>
      </c>
      <c r="C166">
        <v>2013</v>
      </c>
      <c r="D166">
        <v>2.2000000000000002</v>
      </c>
      <c r="E166" t="s">
        <v>15</v>
      </c>
      <c r="F166">
        <v>73527</v>
      </c>
      <c r="G166" t="s">
        <v>22</v>
      </c>
      <c r="H166">
        <v>44702.18</v>
      </c>
      <c r="I166" t="s">
        <v>39</v>
      </c>
      <c r="J166" t="s">
        <v>18</v>
      </c>
      <c r="K166" t="s">
        <v>19</v>
      </c>
      <c r="L166">
        <v>13</v>
      </c>
      <c r="M166">
        <v>0.61</v>
      </c>
      <c r="N166" t="s">
        <v>20</v>
      </c>
    </row>
    <row r="167" spans="1:14" x14ac:dyDescent="0.25">
      <c r="A167">
        <v>166</v>
      </c>
      <c r="B167" t="s">
        <v>43</v>
      </c>
      <c r="C167">
        <v>2003</v>
      </c>
      <c r="D167">
        <v>1.3</v>
      </c>
      <c r="E167" t="s">
        <v>15</v>
      </c>
      <c r="F167">
        <v>146511</v>
      </c>
      <c r="G167" t="s">
        <v>16</v>
      </c>
      <c r="H167">
        <v>28360.3</v>
      </c>
      <c r="I167" t="s">
        <v>49</v>
      </c>
      <c r="J167" t="s">
        <v>41</v>
      </c>
      <c r="K167" t="s">
        <v>19</v>
      </c>
      <c r="L167">
        <v>23</v>
      </c>
      <c r="M167">
        <v>0.19</v>
      </c>
      <c r="N167" t="s">
        <v>20</v>
      </c>
    </row>
    <row r="168" spans="1:14" x14ac:dyDescent="0.25">
      <c r="A168">
        <v>167</v>
      </c>
      <c r="B168" t="s">
        <v>14</v>
      </c>
      <c r="C168">
        <v>2015</v>
      </c>
      <c r="D168">
        <v>3</v>
      </c>
      <c r="E168" t="s">
        <v>15</v>
      </c>
      <c r="F168">
        <v>225692</v>
      </c>
      <c r="G168" t="s">
        <v>22</v>
      </c>
      <c r="H168">
        <v>50287.63</v>
      </c>
      <c r="I168" t="s">
        <v>28</v>
      </c>
      <c r="J168" t="s">
        <v>18</v>
      </c>
      <c r="K168" t="s">
        <v>26</v>
      </c>
      <c r="L168">
        <v>11</v>
      </c>
      <c r="M168">
        <v>0.22</v>
      </c>
      <c r="N168" t="s">
        <v>20</v>
      </c>
    </row>
    <row r="169" spans="1:14" x14ac:dyDescent="0.25">
      <c r="A169">
        <v>168</v>
      </c>
      <c r="B169" t="s">
        <v>29</v>
      </c>
      <c r="C169">
        <v>2020</v>
      </c>
      <c r="D169">
        <v>2.2000000000000002</v>
      </c>
      <c r="E169" t="s">
        <v>27</v>
      </c>
      <c r="F169">
        <v>158731</v>
      </c>
      <c r="G169" t="s">
        <v>16</v>
      </c>
      <c r="H169">
        <v>92444.87</v>
      </c>
      <c r="I169" t="s">
        <v>38</v>
      </c>
      <c r="J169" t="s">
        <v>32</v>
      </c>
      <c r="K169" t="s">
        <v>26</v>
      </c>
      <c r="L169">
        <v>6</v>
      </c>
      <c r="M169">
        <v>0.57999999999999996</v>
      </c>
      <c r="N169" t="s">
        <v>33</v>
      </c>
    </row>
    <row r="170" spans="1:14" x14ac:dyDescent="0.25">
      <c r="A170">
        <v>169</v>
      </c>
      <c r="B170" t="s">
        <v>52</v>
      </c>
      <c r="C170">
        <v>2019</v>
      </c>
      <c r="D170">
        <v>2.1</v>
      </c>
      <c r="E170" t="s">
        <v>27</v>
      </c>
      <c r="F170">
        <v>287120</v>
      </c>
      <c r="G170" t="s">
        <v>22</v>
      </c>
      <c r="H170">
        <v>73778.509999999995</v>
      </c>
      <c r="I170" t="s">
        <v>56</v>
      </c>
      <c r="J170" t="s">
        <v>18</v>
      </c>
      <c r="K170" t="s">
        <v>26</v>
      </c>
      <c r="L170">
        <v>7</v>
      </c>
      <c r="M170">
        <v>0.26</v>
      </c>
      <c r="N170" t="s">
        <v>33</v>
      </c>
    </row>
    <row r="171" spans="1:14" x14ac:dyDescent="0.25">
      <c r="A171">
        <v>170</v>
      </c>
      <c r="B171" t="s">
        <v>14</v>
      </c>
      <c r="C171">
        <v>2013</v>
      </c>
      <c r="D171">
        <v>5.8</v>
      </c>
      <c r="E171" t="s">
        <v>27</v>
      </c>
      <c r="F171">
        <v>235311</v>
      </c>
      <c r="G171" t="s">
        <v>22</v>
      </c>
      <c r="H171">
        <v>67885.210000000006</v>
      </c>
      <c r="I171" t="s">
        <v>28</v>
      </c>
      <c r="J171" t="s">
        <v>18</v>
      </c>
      <c r="K171" t="s">
        <v>26</v>
      </c>
      <c r="L171">
        <v>13</v>
      </c>
      <c r="M171">
        <v>0.28999999999999998</v>
      </c>
      <c r="N171" t="s">
        <v>20</v>
      </c>
    </row>
    <row r="172" spans="1:14" x14ac:dyDescent="0.25">
      <c r="A172">
        <v>171</v>
      </c>
      <c r="B172" t="s">
        <v>14</v>
      </c>
      <c r="C172">
        <v>2014</v>
      </c>
      <c r="D172">
        <v>4.0999999999999996</v>
      </c>
      <c r="E172" t="s">
        <v>15</v>
      </c>
      <c r="F172">
        <v>198937</v>
      </c>
      <c r="G172" t="s">
        <v>22</v>
      </c>
      <c r="H172">
        <v>46918.36</v>
      </c>
      <c r="I172" t="s">
        <v>58</v>
      </c>
      <c r="J172" t="s">
        <v>18</v>
      </c>
      <c r="K172" t="s">
        <v>26</v>
      </c>
      <c r="L172">
        <v>12</v>
      </c>
      <c r="M172">
        <v>0.24</v>
      </c>
      <c r="N172" t="s">
        <v>20</v>
      </c>
    </row>
    <row r="173" spans="1:14" x14ac:dyDescent="0.25">
      <c r="A173">
        <v>172</v>
      </c>
      <c r="B173" t="s">
        <v>36</v>
      </c>
      <c r="C173">
        <v>2002</v>
      </c>
      <c r="D173">
        <v>3.8</v>
      </c>
      <c r="E173" t="s">
        <v>15</v>
      </c>
      <c r="F173">
        <v>199378</v>
      </c>
      <c r="G173" t="s">
        <v>22</v>
      </c>
      <c r="H173">
        <v>68755.69</v>
      </c>
      <c r="I173" t="s">
        <v>51</v>
      </c>
      <c r="J173" t="s">
        <v>41</v>
      </c>
      <c r="K173" t="s">
        <v>26</v>
      </c>
      <c r="L173">
        <v>24</v>
      </c>
      <c r="M173">
        <v>0.34</v>
      </c>
      <c r="N173" t="s">
        <v>33</v>
      </c>
    </row>
    <row r="174" spans="1:14" x14ac:dyDescent="0.25">
      <c r="A174">
        <v>173</v>
      </c>
      <c r="B174" t="s">
        <v>36</v>
      </c>
      <c r="C174">
        <v>2007</v>
      </c>
      <c r="D174">
        <v>3.1</v>
      </c>
      <c r="E174" t="s">
        <v>15</v>
      </c>
      <c r="F174">
        <v>56697</v>
      </c>
      <c r="G174" t="s">
        <v>30</v>
      </c>
      <c r="H174">
        <v>8075.66</v>
      </c>
      <c r="I174" t="s">
        <v>51</v>
      </c>
      <c r="J174" t="s">
        <v>18</v>
      </c>
      <c r="K174" t="s">
        <v>19</v>
      </c>
      <c r="L174">
        <v>19</v>
      </c>
      <c r="M174">
        <v>0.14000000000000001</v>
      </c>
      <c r="N174" t="s">
        <v>33</v>
      </c>
    </row>
    <row r="175" spans="1:14" x14ac:dyDescent="0.25">
      <c r="A175">
        <v>174</v>
      </c>
      <c r="B175" t="s">
        <v>21</v>
      </c>
      <c r="C175">
        <v>2015</v>
      </c>
      <c r="D175">
        <v>3.1</v>
      </c>
      <c r="E175" t="s">
        <v>27</v>
      </c>
      <c r="F175">
        <v>70382</v>
      </c>
      <c r="G175" t="s">
        <v>22</v>
      </c>
      <c r="H175">
        <v>60692.67</v>
      </c>
      <c r="I175" t="s">
        <v>42</v>
      </c>
      <c r="J175" t="s">
        <v>32</v>
      </c>
      <c r="K175" t="s">
        <v>19</v>
      </c>
      <c r="L175">
        <v>11</v>
      </c>
      <c r="M175">
        <v>0.86</v>
      </c>
      <c r="N175" t="s">
        <v>20</v>
      </c>
    </row>
    <row r="176" spans="1:14" x14ac:dyDescent="0.25">
      <c r="A176">
        <v>175</v>
      </c>
      <c r="B176" t="s">
        <v>24</v>
      </c>
      <c r="C176">
        <v>2009</v>
      </c>
      <c r="D176">
        <v>3.7</v>
      </c>
      <c r="E176" t="s">
        <v>15</v>
      </c>
      <c r="F176">
        <v>278795</v>
      </c>
      <c r="G176" t="s">
        <v>16</v>
      </c>
      <c r="H176">
        <v>57608.77</v>
      </c>
      <c r="I176" t="s">
        <v>45</v>
      </c>
      <c r="J176" t="s">
        <v>32</v>
      </c>
      <c r="K176" t="s">
        <v>26</v>
      </c>
      <c r="L176">
        <v>17</v>
      </c>
      <c r="M176">
        <v>0.21</v>
      </c>
      <c r="N176" t="s">
        <v>20</v>
      </c>
    </row>
    <row r="177" spans="1:14" x14ac:dyDescent="0.25">
      <c r="A177">
        <v>176</v>
      </c>
      <c r="B177" t="s">
        <v>29</v>
      </c>
      <c r="C177">
        <v>2003</v>
      </c>
      <c r="D177">
        <v>4.5</v>
      </c>
      <c r="E177" t="s">
        <v>27</v>
      </c>
      <c r="F177">
        <v>180116</v>
      </c>
      <c r="G177" t="s">
        <v>30</v>
      </c>
      <c r="H177">
        <v>37930.839999999997</v>
      </c>
      <c r="I177" t="s">
        <v>40</v>
      </c>
      <c r="J177" t="s">
        <v>32</v>
      </c>
      <c r="K177" t="s">
        <v>26</v>
      </c>
      <c r="L177">
        <v>23</v>
      </c>
      <c r="M177">
        <v>0.21</v>
      </c>
      <c r="N177" t="s">
        <v>33</v>
      </c>
    </row>
    <row r="178" spans="1:14" x14ac:dyDescent="0.25">
      <c r="A178">
        <v>177</v>
      </c>
      <c r="B178" t="s">
        <v>14</v>
      </c>
      <c r="C178">
        <v>2017</v>
      </c>
      <c r="D178">
        <v>4.5</v>
      </c>
      <c r="E178" t="s">
        <v>15</v>
      </c>
      <c r="F178">
        <v>14633</v>
      </c>
      <c r="G178" t="s">
        <v>30</v>
      </c>
      <c r="H178">
        <v>24143.84</v>
      </c>
      <c r="I178" t="s">
        <v>39</v>
      </c>
      <c r="J178" t="s">
        <v>18</v>
      </c>
      <c r="K178" t="s">
        <v>50</v>
      </c>
      <c r="L178">
        <v>9</v>
      </c>
      <c r="M178">
        <v>1.65</v>
      </c>
      <c r="N178" t="s">
        <v>20</v>
      </c>
    </row>
    <row r="179" spans="1:14" x14ac:dyDescent="0.25">
      <c r="A179">
        <v>178</v>
      </c>
      <c r="B179" t="s">
        <v>14</v>
      </c>
      <c r="C179">
        <v>2001</v>
      </c>
      <c r="D179">
        <v>1.9</v>
      </c>
      <c r="E179" t="s">
        <v>27</v>
      </c>
      <c r="F179">
        <v>79164</v>
      </c>
      <c r="G179" t="s">
        <v>22</v>
      </c>
      <c r="H179">
        <v>81717.78</v>
      </c>
      <c r="I179" t="s">
        <v>58</v>
      </c>
      <c r="J179" t="s">
        <v>18</v>
      </c>
      <c r="K179" t="s">
        <v>19</v>
      </c>
      <c r="L179">
        <v>25</v>
      </c>
      <c r="M179">
        <v>1.03</v>
      </c>
      <c r="N179" t="s">
        <v>20</v>
      </c>
    </row>
    <row r="180" spans="1:14" x14ac:dyDescent="0.25">
      <c r="A180">
        <v>179</v>
      </c>
      <c r="B180" t="s">
        <v>52</v>
      </c>
      <c r="C180">
        <v>2016</v>
      </c>
      <c r="D180">
        <v>3.5</v>
      </c>
      <c r="E180" t="s">
        <v>15</v>
      </c>
      <c r="F180">
        <v>262713</v>
      </c>
      <c r="G180" t="s">
        <v>16</v>
      </c>
      <c r="H180">
        <v>10116.9</v>
      </c>
      <c r="I180" t="s">
        <v>59</v>
      </c>
      <c r="J180" t="s">
        <v>41</v>
      </c>
      <c r="K180" t="s">
        <v>26</v>
      </c>
      <c r="L180">
        <v>10</v>
      </c>
      <c r="M180">
        <v>0.04</v>
      </c>
      <c r="N180" t="s">
        <v>33</v>
      </c>
    </row>
    <row r="181" spans="1:14" x14ac:dyDescent="0.25">
      <c r="A181">
        <v>180</v>
      </c>
      <c r="B181" t="s">
        <v>21</v>
      </c>
      <c r="C181">
        <v>2012</v>
      </c>
      <c r="D181">
        <v>3.1</v>
      </c>
      <c r="E181" t="s">
        <v>27</v>
      </c>
      <c r="F181">
        <v>123425</v>
      </c>
      <c r="G181" t="s">
        <v>16</v>
      </c>
      <c r="H181">
        <v>11618.92</v>
      </c>
      <c r="I181" t="s">
        <v>47</v>
      </c>
      <c r="J181" t="s">
        <v>18</v>
      </c>
      <c r="K181" t="s">
        <v>19</v>
      </c>
      <c r="L181">
        <v>14</v>
      </c>
      <c r="M181">
        <v>0.09</v>
      </c>
      <c r="N181" t="s">
        <v>20</v>
      </c>
    </row>
    <row r="182" spans="1:14" x14ac:dyDescent="0.25">
      <c r="A182">
        <v>181</v>
      </c>
      <c r="B182" t="s">
        <v>24</v>
      </c>
      <c r="C182">
        <v>2003</v>
      </c>
      <c r="D182">
        <v>5.4</v>
      </c>
      <c r="E182" t="s">
        <v>15</v>
      </c>
      <c r="F182">
        <v>250220</v>
      </c>
      <c r="G182" t="s">
        <v>30</v>
      </c>
      <c r="H182">
        <v>46849.57</v>
      </c>
      <c r="I182" t="s">
        <v>34</v>
      </c>
      <c r="J182" t="s">
        <v>41</v>
      </c>
      <c r="K182" t="s">
        <v>26</v>
      </c>
      <c r="L182">
        <v>23</v>
      </c>
      <c r="M182">
        <v>0.19</v>
      </c>
      <c r="N182" t="s">
        <v>20</v>
      </c>
    </row>
    <row r="183" spans="1:14" x14ac:dyDescent="0.25">
      <c r="A183">
        <v>182</v>
      </c>
      <c r="B183" t="s">
        <v>21</v>
      </c>
      <c r="C183">
        <v>2010</v>
      </c>
      <c r="D183">
        <v>4.2</v>
      </c>
      <c r="E183" t="s">
        <v>15</v>
      </c>
      <c r="F183">
        <v>295182</v>
      </c>
      <c r="G183" t="s">
        <v>16</v>
      </c>
      <c r="H183">
        <v>28992.68</v>
      </c>
      <c r="I183" t="s">
        <v>23</v>
      </c>
      <c r="J183" t="s">
        <v>18</v>
      </c>
      <c r="K183" t="s">
        <v>26</v>
      </c>
      <c r="L183">
        <v>16</v>
      </c>
      <c r="M183">
        <v>0.1</v>
      </c>
      <c r="N183" t="s">
        <v>20</v>
      </c>
    </row>
    <row r="184" spans="1:14" x14ac:dyDescent="0.25">
      <c r="A184">
        <v>183</v>
      </c>
      <c r="B184" t="s">
        <v>43</v>
      </c>
      <c r="C184">
        <v>2006</v>
      </c>
      <c r="D184">
        <v>3.7</v>
      </c>
      <c r="E184" t="s">
        <v>27</v>
      </c>
      <c r="F184">
        <v>180160</v>
      </c>
      <c r="G184" t="s">
        <v>22</v>
      </c>
      <c r="H184">
        <v>75817.98</v>
      </c>
      <c r="I184" t="s">
        <v>44</v>
      </c>
      <c r="J184" t="s">
        <v>32</v>
      </c>
      <c r="K184" t="s">
        <v>26</v>
      </c>
      <c r="L184">
        <v>20</v>
      </c>
      <c r="M184">
        <v>0.42</v>
      </c>
      <c r="N184" t="s">
        <v>20</v>
      </c>
    </row>
    <row r="185" spans="1:14" x14ac:dyDescent="0.25">
      <c r="A185">
        <v>184</v>
      </c>
      <c r="B185" t="s">
        <v>24</v>
      </c>
      <c r="C185">
        <v>2011</v>
      </c>
      <c r="D185">
        <v>1.6</v>
      </c>
      <c r="E185" t="s">
        <v>27</v>
      </c>
      <c r="F185">
        <v>204249</v>
      </c>
      <c r="G185" t="s">
        <v>22</v>
      </c>
      <c r="H185">
        <v>65248.06</v>
      </c>
      <c r="I185" t="s">
        <v>34</v>
      </c>
      <c r="J185" t="s">
        <v>32</v>
      </c>
      <c r="K185" t="s">
        <v>26</v>
      </c>
      <c r="L185">
        <v>15</v>
      </c>
      <c r="M185">
        <v>0.32</v>
      </c>
      <c r="N185" t="s">
        <v>20</v>
      </c>
    </row>
    <row r="186" spans="1:14" x14ac:dyDescent="0.25">
      <c r="A186">
        <v>185</v>
      </c>
      <c r="B186" t="s">
        <v>14</v>
      </c>
      <c r="C186">
        <v>2009</v>
      </c>
      <c r="D186">
        <v>4</v>
      </c>
      <c r="E186" t="s">
        <v>15</v>
      </c>
      <c r="F186">
        <v>205538</v>
      </c>
      <c r="G186" t="s">
        <v>22</v>
      </c>
      <c r="H186">
        <v>78390.81</v>
      </c>
      <c r="I186" t="s">
        <v>28</v>
      </c>
      <c r="J186" t="s">
        <v>18</v>
      </c>
      <c r="K186" t="s">
        <v>26</v>
      </c>
      <c r="L186">
        <v>17</v>
      </c>
      <c r="M186">
        <v>0.38</v>
      </c>
      <c r="N186" t="s">
        <v>20</v>
      </c>
    </row>
    <row r="187" spans="1:14" x14ac:dyDescent="0.25">
      <c r="A187">
        <v>186</v>
      </c>
      <c r="B187" t="s">
        <v>14</v>
      </c>
      <c r="C187">
        <v>2006</v>
      </c>
      <c r="D187">
        <v>1.6</v>
      </c>
      <c r="E187" t="s">
        <v>27</v>
      </c>
      <c r="F187">
        <v>197865</v>
      </c>
      <c r="G187" t="s">
        <v>22</v>
      </c>
      <c r="H187">
        <v>35844.5</v>
      </c>
      <c r="I187" t="s">
        <v>17</v>
      </c>
      <c r="J187" t="s">
        <v>18</v>
      </c>
      <c r="K187" t="s">
        <v>26</v>
      </c>
      <c r="L187">
        <v>20</v>
      </c>
      <c r="M187">
        <v>0.18</v>
      </c>
      <c r="N187" t="s">
        <v>20</v>
      </c>
    </row>
    <row r="188" spans="1:14" x14ac:dyDescent="0.25">
      <c r="A188">
        <v>187</v>
      </c>
      <c r="B188" t="s">
        <v>24</v>
      </c>
      <c r="C188">
        <v>2012</v>
      </c>
      <c r="D188">
        <v>2.7</v>
      </c>
      <c r="E188" t="s">
        <v>15</v>
      </c>
      <c r="F188">
        <v>201466</v>
      </c>
      <c r="G188" t="s">
        <v>22</v>
      </c>
      <c r="H188">
        <v>75349.3</v>
      </c>
      <c r="I188" t="s">
        <v>25</v>
      </c>
      <c r="J188" t="s">
        <v>32</v>
      </c>
      <c r="K188" t="s">
        <v>26</v>
      </c>
      <c r="L188">
        <v>14</v>
      </c>
      <c r="M188">
        <v>0.37</v>
      </c>
      <c r="N188" t="s">
        <v>20</v>
      </c>
    </row>
    <row r="189" spans="1:14" x14ac:dyDescent="0.25">
      <c r="A189">
        <v>188</v>
      </c>
      <c r="B189" t="s">
        <v>14</v>
      </c>
      <c r="C189">
        <v>2006</v>
      </c>
      <c r="D189">
        <v>1.7</v>
      </c>
      <c r="E189" t="s">
        <v>27</v>
      </c>
      <c r="F189">
        <v>187223</v>
      </c>
      <c r="G189" t="s">
        <v>30</v>
      </c>
      <c r="H189">
        <v>86918.81</v>
      </c>
      <c r="I189" t="s">
        <v>28</v>
      </c>
      <c r="J189" t="s">
        <v>18</v>
      </c>
      <c r="K189" t="s">
        <v>26</v>
      </c>
      <c r="L189">
        <v>20</v>
      </c>
      <c r="M189">
        <v>0.46</v>
      </c>
      <c r="N189" t="s">
        <v>20</v>
      </c>
    </row>
    <row r="190" spans="1:14" x14ac:dyDescent="0.25">
      <c r="A190">
        <v>189</v>
      </c>
      <c r="B190" t="s">
        <v>29</v>
      </c>
      <c r="C190">
        <v>2023</v>
      </c>
      <c r="D190">
        <v>4.5</v>
      </c>
      <c r="E190" t="s">
        <v>15</v>
      </c>
      <c r="F190">
        <v>111174</v>
      </c>
      <c r="G190" t="s">
        <v>22</v>
      </c>
      <c r="H190">
        <v>37801.08</v>
      </c>
      <c r="I190" t="s">
        <v>40</v>
      </c>
      <c r="J190" t="s">
        <v>18</v>
      </c>
      <c r="K190" t="s">
        <v>19</v>
      </c>
      <c r="L190">
        <v>3</v>
      </c>
      <c r="M190">
        <v>0.34</v>
      </c>
      <c r="N190" t="s">
        <v>33</v>
      </c>
    </row>
    <row r="191" spans="1:14" x14ac:dyDescent="0.25">
      <c r="A191">
        <v>190</v>
      </c>
      <c r="B191" t="s">
        <v>24</v>
      </c>
      <c r="C191">
        <v>2016</v>
      </c>
      <c r="D191">
        <v>2</v>
      </c>
      <c r="E191" t="s">
        <v>27</v>
      </c>
      <c r="F191">
        <v>137980</v>
      </c>
      <c r="G191" t="s">
        <v>22</v>
      </c>
      <c r="H191">
        <v>37290.1</v>
      </c>
      <c r="I191" t="s">
        <v>35</v>
      </c>
      <c r="J191" t="s">
        <v>32</v>
      </c>
      <c r="K191" t="s">
        <v>19</v>
      </c>
      <c r="L191">
        <v>10</v>
      </c>
      <c r="M191">
        <v>0.27</v>
      </c>
      <c r="N191" t="s">
        <v>20</v>
      </c>
    </row>
    <row r="192" spans="1:14" x14ac:dyDescent="0.25">
      <c r="A192">
        <v>191</v>
      </c>
      <c r="B192" t="s">
        <v>21</v>
      </c>
      <c r="C192">
        <v>2009</v>
      </c>
      <c r="D192">
        <v>3</v>
      </c>
      <c r="E192" t="s">
        <v>15</v>
      </c>
      <c r="F192">
        <v>68447</v>
      </c>
      <c r="G192" t="s">
        <v>30</v>
      </c>
      <c r="H192">
        <v>90495.38</v>
      </c>
      <c r="I192" t="s">
        <v>42</v>
      </c>
      <c r="J192" t="s">
        <v>41</v>
      </c>
      <c r="K192" t="s">
        <v>19</v>
      </c>
      <c r="L192">
        <v>17</v>
      </c>
      <c r="M192">
        <v>1.32</v>
      </c>
      <c r="N192" t="s">
        <v>20</v>
      </c>
    </row>
    <row r="193" spans="1:14" x14ac:dyDescent="0.25">
      <c r="A193">
        <v>192</v>
      </c>
      <c r="B193" t="s">
        <v>24</v>
      </c>
      <c r="C193">
        <v>2009</v>
      </c>
      <c r="D193">
        <v>5.5</v>
      </c>
      <c r="E193" t="s">
        <v>15</v>
      </c>
      <c r="F193">
        <v>205599</v>
      </c>
      <c r="G193" t="s">
        <v>30</v>
      </c>
      <c r="H193">
        <v>9730.07</v>
      </c>
      <c r="I193" t="s">
        <v>35</v>
      </c>
      <c r="J193" t="s">
        <v>32</v>
      </c>
      <c r="K193" t="s">
        <v>26</v>
      </c>
      <c r="L193">
        <v>17</v>
      </c>
      <c r="M193">
        <v>0.05</v>
      </c>
      <c r="N193" t="s">
        <v>20</v>
      </c>
    </row>
    <row r="194" spans="1:14" x14ac:dyDescent="0.25">
      <c r="A194">
        <v>193</v>
      </c>
      <c r="B194" t="s">
        <v>14</v>
      </c>
      <c r="C194">
        <v>2023</v>
      </c>
      <c r="D194">
        <v>2</v>
      </c>
      <c r="E194" t="s">
        <v>15</v>
      </c>
      <c r="F194">
        <v>226301</v>
      </c>
      <c r="G194" t="s">
        <v>30</v>
      </c>
      <c r="H194">
        <v>38267.99</v>
      </c>
      <c r="I194" t="s">
        <v>17</v>
      </c>
      <c r="J194" t="s">
        <v>18</v>
      </c>
      <c r="K194" t="s">
        <v>26</v>
      </c>
      <c r="L194">
        <v>3</v>
      </c>
      <c r="M194">
        <v>0.17</v>
      </c>
      <c r="N194" t="s">
        <v>20</v>
      </c>
    </row>
    <row r="195" spans="1:14" x14ac:dyDescent="0.25">
      <c r="A195">
        <v>194</v>
      </c>
      <c r="B195" t="s">
        <v>29</v>
      </c>
      <c r="C195">
        <v>2003</v>
      </c>
      <c r="D195">
        <v>3.5</v>
      </c>
      <c r="E195" t="s">
        <v>27</v>
      </c>
      <c r="F195">
        <v>279778</v>
      </c>
      <c r="G195" t="s">
        <v>16</v>
      </c>
      <c r="H195">
        <v>16273.89</v>
      </c>
      <c r="I195" t="s">
        <v>40</v>
      </c>
      <c r="J195" t="s">
        <v>41</v>
      </c>
      <c r="K195" t="s">
        <v>26</v>
      </c>
      <c r="L195">
        <v>23</v>
      </c>
      <c r="M195">
        <v>0.06</v>
      </c>
      <c r="N195" t="s">
        <v>33</v>
      </c>
    </row>
    <row r="196" spans="1:14" x14ac:dyDescent="0.25">
      <c r="A196">
        <v>195</v>
      </c>
      <c r="B196" t="s">
        <v>29</v>
      </c>
      <c r="C196">
        <v>2019</v>
      </c>
      <c r="D196">
        <v>3.1</v>
      </c>
      <c r="E196" t="s">
        <v>15</v>
      </c>
      <c r="F196">
        <v>286705</v>
      </c>
      <c r="G196" t="s">
        <v>16</v>
      </c>
      <c r="H196">
        <v>7753.16</v>
      </c>
      <c r="I196" t="s">
        <v>40</v>
      </c>
      <c r="J196" t="s">
        <v>32</v>
      </c>
      <c r="K196" t="s">
        <v>26</v>
      </c>
      <c r="L196">
        <v>7</v>
      </c>
      <c r="M196">
        <v>0.03</v>
      </c>
      <c r="N196" t="s">
        <v>33</v>
      </c>
    </row>
    <row r="197" spans="1:14" x14ac:dyDescent="0.25">
      <c r="A197">
        <v>196</v>
      </c>
      <c r="B197" t="s">
        <v>43</v>
      </c>
      <c r="C197">
        <v>2003</v>
      </c>
      <c r="D197">
        <v>1.1000000000000001</v>
      </c>
      <c r="E197" t="s">
        <v>27</v>
      </c>
      <c r="F197">
        <v>55063</v>
      </c>
      <c r="G197" t="s">
        <v>22</v>
      </c>
      <c r="H197">
        <v>15722.59</v>
      </c>
      <c r="I197" t="s">
        <v>44</v>
      </c>
      <c r="J197" t="s">
        <v>32</v>
      </c>
      <c r="K197" t="s">
        <v>19</v>
      </c>
      <c r="L197">
        <v>23</v>
      </c>
      <c r="M197">
        <v>0.28999999999999998</v>
      </c>
      <c r="N197" t="s">
        <v>20</v>
      </c>
    </row>
    <row r="198" spans="1:14" x14ac:dyDescent="0.25">
      <c r="A198">
        <v>197</v>
      </c>
      <c r="B198" t="s">
        <v>21</v>
      </c>
      <c r="C198">
        <v>2021</v>
      </c>
      <c r="D198">
        <v>5</v>
      </c>
      <c r="E198" t="s">
        <v>27</v>
      </c>
      <c r="F198">
        <v>288065</v>
      </c>
      <c r="G198" t="s">
        <v>22</v>
      </c>
      <c r="H198">
        <v>45968.35</v>
      </c>
      <c r="I198" t="s">
        <v>42</v>
      </c>
      <c r="J198" t="s">
        <v>32</v>
      </c>
      <c r="K198" t="s">
        <v>26</v>
      </c>
      <c r="L198">
        <v>5</v>
      </c>
      <c r="M198">
        <v>0.16</v>
      </c>
      <c r="N198" t="s">
        <v>20</v>
      </c>
    </row>
    <row r="199" spans="1:14" x14ac:dyDescent="0.25">
      <c r="A199">
        <v>198</v>
      </c>
      <c r="B199" t="s">
        <v>36</v>
      </c>
      <c r="C199">
        <v>2006</v>
      </c>
      <c r="D199">
        <v>1.3</v>
      </c>
      <c r="E199" t="s">
        <v>27</v>
      </c>
      <c r="F199">
        <v>19340</v>
      </c>
      <c r="G199" t="s">
        <v>22</v>
      </c>
      <c r="H199">
        <v>70260.83</v>
      </c>
      <c r="I199" t="s">
        <v>54</v>
      </c>
      <c r="J199" t="s">
        <v>32</v>
      </c>
      <c r="K199" t="s">
        <v>50</v>
      </c>
      <c r="L199">
        <v>20</v>
      </c>
      <c r="M199">
        <v>3.63</v>
      </c>
      <c r="N199" t="s">
        <v>33</v>
      </c>
    </row>
    <row r="200" spans="1:14" x14ac:dyDescent="0.25">
      <c r="A200">
        <v>199</v>
      </c>
      <c r="B200" t="s">
        <v>36</v>
      </c>
      <c r="C200">
        <v>2021</v>
      </c>
      <c r="D200">
        <v>3.4</v>
      </c>
      <c r="E200" t="s">
        <v>15</v>
      </c>
      <c r="F200">
        <v>62781</v>
      </c>
      <c r="G200" t="s">
        <v>16</v>
      </c>
      <c r="H200">
        <v>32481.83</v>
      </c>
      <c r="I200" t="s">
        <v>51</v>
      </c>
      <c r="J200" t="s">
        <v>18</v>
      </c>
      <c r="K200" t="s">
        <v>19</v>
      </c>
      <c r="L200">
        <v>5</v>
      </c>
      <c r="M200">
        <v>0.52</v>
      </c>
      <c r="N200" t="s">
        <v>33</v>
      </c>
    </row>
    <row r="201" spans="1:14" x14ac:dyDescent="0.25">
      <c r="A201">
        <v>200</v>
      </c>
      <c r="B201" t="s">
        <v>24</v>
      </c>
      <c r="C201">
        <v>2000</v>
      </c>
      <c r="D201">
        <v>3.8</v>
      </c>
      <c r="E201" t="s">
        <v>27</v>
      </c>
      <c r="F201">
        <v>277045</v>
      </c>
      <c r="G201" t="s">
        <v>22</v>
      </c>
      <c r="H201">
        <v>85719.15</v>
      </c>
      <c r="I201" t="s">
        <v>35</v>
      </c>
      <c r="J201" t="s">
        <v>32</v>
      </c>
      <c r="K201" t="s">
        <v>26</v>
      </c>
      <c r="L201">
        <v>26</v>
      </c>
      <c r="M201">
        <v>0.31</v>
      </c>
      <c r="N201" t="s">
        <v>20</v>
      </c>
    </row>
    <row r="202" spans="1:14" x14ac:dyDescent="0.25">
      <c r="A202">
        <v>201</v>
      </c>
      <c r="B202" t="s">
        <v>43</v>
      </c>
      <c r="C202">
        <v>2011</v>
      </c>
      <c r="D202">
        <v>4.0999999999999996</v>
      </c>
      <c r="E202" t="s">
        <v>27</v>
      </c>
      <c r="F202">
        <v>10638</v>
      </c>
      <c r="G202" t="s">
        <v>22</v>
      </c>
      <c r="H202">
        <v>46573.48</v>
      </c>
      <c r="I202" t="s">
        <v>44</v>
      </c>
      <c r="J202" t="s">
        <v>46</v>
      </c>
      <c r="K202" t="s">
        <v>50</v>
      </c>
      <c r="L202">
        <v>15</v>
      </c>
      <c r="M202">
        <v>4.38</v>
      </c>
      <c r="N202" t="s">
        <v>20</v>
      </c>
    </row>
    <row r="203" spans="1:14" x14ac:dyDescent="0.25">
      <c r="A203">
        <v>202</v>
      </c>
      <c r="B203" t="s">
        <v>52</v>
      </c>
      <c r="C203">
        <v>2023</v>
      </c>
      <c r="D203">
        <v>4.4000000000000004</v>
      </c>
      <c r="E203" t="s">
        <v>27</v>
      </c>
      <c r="F203">
        <v>217986</v>
      </c>
      <c r="G203" t="s">
        <v>16</v>
      </c>
      <c r="H203">
        <v>96981.66</v>
      </c>
      <c r="I203" t="s">
        <v>59</v>
      </c>
      <c r="J203" t="s">
        <v>32</v>
      </c>
      <c r="K203" t="s">
        <v>26</v>
      </c>
      <c r="L203">
        <v>3</v>
      </c>
      <c r="M203">
        <v>0.44</v>
      </c>
      <c r="N203" t="s">
        <v>33</v>
      </c>
    </row>
    <row r="204" spans="1:14" x14ac:dyDescent="0.25">
      <c r="A204">
        <v>203</v>
      </c>
      <c r="B204" t="s">
        <v>24</v>
      </c>
      <c r="C204">
        <v>2012</v>
      </c>
      <c r="D204">
        <v>2.2999999999999998</v>
      </c>
      <c r="E204" t="s">
        <v>15</v>
      </c>
      <c r="F204">
        <v>221668</v>
      </c>
      <c r="G204" t="s">
        <v>30</v>
      </c>
      <c r="H204">
        <v>95644.79</v>
      </c>
      <c r="I204" t="s">
        <v>45</v>
      </c>
      <c r="J204" t="s">
        <v>41</v>
      </c>
      <c r="K204" t="s">
        <v>26</v>
      </c>
      <c r="L204">
        <v>14</v>
      </c>
      <c r="M204">
        <v>0.43</v>
      </c>
      <c r="N204" t="s">
        <v>20</v>
      </c>
    </row>
    <row r="205" spans="1:14" x14ac:dyDescent="0.25">
      <c r="A205">
        <v>204</v>
      </c>
      <c r="B205" t="s">
        <v>43</v>
      </c>
      <c r="C205">
        <v>2009</v>
      </c>
      <c r="D205">
        <v>1</v>
      </c>
      <c r="E205" t="s">
        <v>27</v>
      </c>
      <c r="F205">
        <v>294786</v>
      </c>
      <c r="G205" t="s">
        <v>16</v>
      </c>
      <c r="H205">
        <v>78461.240000000005</v>
      </c>
      <c r="I205" t="s">
        <v>55</v>
      </c>
      <c r="J205" t="s">
        <v>46</v>
      </c>
      <c r="K205" t="s">
        <v>26</v>
      </c>
      <c r="L205">
        <v>17</v>
      </c>
      <c r="M205">
        <v>0.27</v>
      </c>
      <c r="N205" t="s">
        <v>20</v>
      </c>
    </row>
    <row r="206" spans="1:14" x14ac:dyDescent="0.25">
      <c r="A206">
        <v>205</v>
      </c>
      <c r="B206" t="s">
        <v>21</v>
      </c>
      <c r="C206">
        <v>2014</v>
      </c>
      <c r="D206">
        <v>4.5999999999999996</v>
      </c>
      <c r="E206" t="s">
        <v>27</v>
      </c>
      <c r="F206">
        <v>25378</v>
      </c>
      <c r="G206" t="s">
        <v>22</v>
      </c>
      <c r="H206">
        <v>93578.52</v>
      </c>
      <c r="I206" t="s">
        <v>60</v>
      </c>
      <c r="J206" t="s">
        <v>18</v>
      </c>
      <c r="K206" t="s">
        <v>50</v>
      </c>
      <c r="L206">
        <v>12</v>
      </c>
      <c r="M206">
        <v>3.69</v>
      </c>
      <c r="N206" t="s">
        <v>20</v>
      </c>
    </row>
    <row r="207" spans="1:14" x14ac:dyDescent="0.25">
      <c r="A207">
        <v>206</v>
      </c>
      <c r="B207" t="s">
        <v>21</v>
      </c>
      <c r="C207">
        <v>2012</v>
      </c>
      <c r="D207">
        <v>3.7</v>
      </c>
      <c r="E207" t="s">
        <v>27</v>
      </c>
      <c r="F207">
        <v>118171</v>
      </c>
      <c r="G207" t="s">
        <v>16</v>
      </c>
      <c r="H207">
        <v>72174.13</v>
      </c>
      <c r="I207" t="s">
        <v>42</v>
      </c>
      <c r="J207" t="s">
        <v>46</v>
      </c>
      <c r="K207" t="s">
        <v>19</v>
      </c>
      <c r="L207">
        <v>14</v>
      </c>
      <c r="M207">
        <v>0.61</v>
      </c>
      <c r="N207" t="s">
        <v>20</v>
      </c>
    </row>
    <row r="208" spans="1:14" x14ac:dyDescent="0.25">
      <c r="A208">
        <v>207</v>
      </c>
      <c r="B208" t="s">
        <v>21</v>
      </c>
      <c r="C208">
        <v>2022</v>
      </c>
      <c r="D208">
        <v>5.2</v>
      </c>
      <c r="E208" t="s">
        <v>27</v>
      </c>
      <c r="F208">
        <v>214801</v>
      </c>
      <c r="G208" t="s">
        <v>30</v>
      </c>
      <c r="H208">
        <v>90080.4</v>
      </c>
      <c r="I208" t="s">
        <v>42</v>
      </c>
      <c r="J208" t="s">
        <v>46</v>
      </c>
      <c r="K208" t="s">
        <v>26</v>
      </c>
      <c r="L208">
        <v>4</v>
      </c>
      <c r="M208">
        <v>0.42</v>
      </c>
      <c r="N208" t="s">
        <v>20</v>
      </c>
    </row>
    <row r="209" spans="1:14" x14ac:dyDescent="0.25">
      <c r="A209">
        <v>208</v>
      </c>
      <c r="B209" t="s">
        <v>21</v>
      </c>
      <c r="C209">
        <v>2021</v>
      </c>
      <c r="D209">
        <v>5.0999999999999996</v>
      </c>
      <c r="E209" t="s">
        <v>15</v>
      </c>
      <c r="F209">
        <v>64377</v>
      </c>
      <c r="G209" t="s">
        <v>30</v>
      </c>
      <c r="H209">
        <v>27465</v>
      </c>
      <c r="I209" t="s">
        <v>60</v>
      </c>
      <c r="J209" t="s">
        <v>46</v>
      </c>
      <c r="K209" t="s">
        <v>19</v>
      </c>
      <c r="L209">
        <v>5</v>
      </c>
      <c r="M209">
        <v>0.43</v>
      </c>
      <c r="N209" t="s">
        <v>20</v>
      </c>
    </row>
    <row r="210" spans="1:14" x14ac:dyDescent="0.25">
      <c r="A210">
        <v>209</v>
      </c>
      <c r="B210" t="s">
        <v>21</v>
      </c>
      <c r="C210">
        <v>2021</v>
      </c>
      <c r="D210">
        <v>5.2</v>
      </c>
      <c r="E210" t="s">
        <v>15</v>
      </c>
      <c r="F210">
        <v>260339</v>
      </c>
      <c r="G210" t="s">
        <v>30</v>
      </c>
      <c r="H210">
        <v>37814.92</v>
      </c>
      <c r="I210" t="s">
        <v>47</v>
      </c>
      <c r="J210" t="s">
        <v>41</v>
      </c>
      <c r="K210" t="s">
        <v>26</v>
      </c>
      <c r="L210">
        <v>5</v>
      </c>
      <c r="M210">
        <v>0.15</v>
      </c>
      <c r="N210" t="s">
        <v>20</v>
      </c>
    </row>
    <row r="211" spans="1:14" x14ac:dyDescent="0.25">
      <c r="A211">
        <v>210</v>
      </c>
      <c r="B211" t="s">
        <v>43</v>
      </c>
      <c r="C211">
        <v>2020</v>
      </c>
      <c r="D211">
        <v>3.4</v>
      </c>
      <c r="E211" t="s">
        <v>27</v>
      </c>
      <c r="F211">
        <v>54691</v>
      </c>
      <c r="G211" t="s">
        <v>30</v>
      </c>
      <c r="H211">
        <v>76528.36</v>
      </c>
      <c r="I211" t="s">
        <v>48</v>
      </c>
      <c r="J211" t="s">
        <v>41</v>
      </c>
      <c r="K211" t="s">
        <v>19</v>
      </c>
      <c r="L211">
        <v>6</v>
      </c>
      <c r="M211">
        <v>1.4</v>
      </c>
      <c r="N211" t="s">
        <v>20</v>
      </c>
    </row>
    <row r="212" spans="1:14" x14ac:dyDescent="0.25">
      <c r="A212">
        <v>211</v>
      </c>
      <c r="B212" t="s">
        <v>43</v>
      </c>
      <c r="C212">
        <v>2021</v>
      </c>
      <c r="D212">
        <v>2.7</v>
      </c>
      <c r="E212" t="s">
        <v>27</v>
      </c>
      <c r="F212">
        <v>91782</v>
      </c>
      <c r="G212" t="s">
        <v>30</v>
      </c>
      <c r="H212">
        <v>45333.32</v>
      </c>
      <c r="I212" t="s">
        <v>49</v>
      </c>
      <c r="J212" t="s">
        <v>41</v>
      </c>
      <c r="K212" t="s">
        <v>19</v>
      </c>
      <c r="L212">
        <v>5</v>
      </c>
      <c r="M212">
        <v>0.49</v>
      </c>
      <c r="N212" t="s">
        <v>20</v>
      </c>
    </row>
    <row r="213" spans="1:14" x14ac:dyDescent="0.25">
      <c r="A213">
        <v>212</v>
      </c>
      <c r="B213" t="s">
        <v>29</v>
      </c>
      <c r="C213">
        <v>2008</v>
      </c>
      <c r="D213">
        <v>5</v>
      </c>
      <c r="E213" t="s">
        <v>27</v>
      </c>
      <c r="F213">
        <v>259896</v>
      </c>
      <c r="G213" t="s">
        <v>30</v>
      </c>
      <c r="H213">
        <v>84546.11</v>
      </c>
      <c r="I213" t="s">
        <v>62</v>
      </c>
      <c r="J213" t="s">
        <v>18</v>
      </c>
      <c r="K213" t="s">
        <v>26</v>
      </c>
      <c r="L213">
        <v>18</v>
      </c>
      <c r="M213">
        <v>0.33</v>
      </c>
      <c r="N213" t="s">
        <v>33</v>
      </c>
    </row>
    <row r="214" spans="1:14" x14ac:dyDescent="0.25">
      <c r="A214">
        <v>213</v>
      </c>
      <c r="B214" t="s">
        <v>36</v>
      </c>
      <c r="C214">
        <v>2008</v>
      </c>
      <c r="D214">
        <v>3.3</v>
      </c>
      <c r="E214" t="s">
        <v>27</v>
      </c>
      <c r="F214">
        <v>78343</v>
      </c>
      <c r="G214" t="s">
        <v>22</v>
      </c>
      <c r="H214">
        <v>88375.69</v>
      </c>
      <c r="I214" t="s">
        <v>57</v>
      </c>
      <c r="J214" t="s">
        <v>41</v>
      </c>
      <c r="K214" t="s">
        <v>19</v>
      </c>
      <c r="L214">
        <v>18</v>
      </c>
      <c r="M214">
        <v>1.1299999999999999</v>
      </c>
      <c r="N214" t="s">
        <v>33</v>
      </c>
    </row>
    <row r="215" spans="1:14" x14ac:dyDescent="0.25">
      <c r="A215">
        <v>214</v>
      </c>
      <c r="B215" t="s">
        <v>14</v>
      </c>
      <c r="C215">
        <v>2014</v>
      </c>
      <c r="D215">
        <v>1.9</v>
      </c>
      <c r="E215" t="s">
        <v>15</v>
      </c>
      <c r="F215">
        <v>121399</v>
      </c>
      <c r="G215" t="s">
        <v>22</v>
      </c>
      <c r="H215">
        <v>33474.300000000003</v>
      </c>
      <c r="I215" t="s">
        <v>58</v>
      </c>
      <c r="J215" t="s">
        <v>18</v>
      </c>
      <c r="K215" t="s">
        <v>19</v>
      </c>
      <c r="L215">
        <v>12</v>
      </c>
      <c r="M215">
        <v>0.28000000000000003</v>
      </c>
      <c r="N215" t="s">
        <v>20</v>
      </c>
    </row>
    <row r="216" spans="1:14" x14ac:dyDescent="0.25">
      <c r="A216">
        <v>215</v>
      </c>
      <c r="B216" t="s">
        <v>21</v>
      </c>
      <c r="C216">
        <v>2009</v>
      </c>
      <c r="D216">
        <v>5.3</v>
      </c>
      <c r="E216" t="s">
        <v>15</v>
      </c>
      <c r="F216">
        <v>31357</v>
      </c>
      <c r="G216" t="s">
        <v>16</v>
      </c>
      <c r="H216">
        <v>83227.83</v>
      </c>
      <c r="I216" t="s">
        <v>23</v>
      </c>
      <c r="J216" t="s">
        <v>46</v>
      </c>
      <c r="K216" t="s">
        <v>50</v>
      </c>
      <c r="L216">
        <v>17</v>
      </c>
      <c r="M216">
        <v>2.65</v>
      </c>
      <c r="N216" t="s">
        <v>20</v>
      </c>
    </row>
    <row r="217" spans="1:14" x14ac:dyDescent="0.25">
      <c r="A217">
        <v>216</v>
      </c>
      <c r="B217" t="s">
        <v>52</v>
      </c>
      <c r="C217">
        <v>2023</v>
      </c>
      <c r="D217">
        <v>5.4</v>
      </c>
      <c r="E217" t="s">
        <v>15</v>
      </c>
      <c r="F217">
        <v>294458</v>
      </c>
      <c r="G217" t="s">
        <v>22</v>
      </c>
      <c r="H217">
        <v>19655.11</v>
      </c>
      <c r="I217" t="s">
        <v>56</v>
      </c>
      <c r="J217" t="s">
        <v>41</v>
      </c>
      <c r="K217" t="s">
        <v>26</v>
      </c>
      <c r="L217">
        <v>3</v>
      </c>
      <c r="M217">
        <v>7.0000000000000007E-2</v>
      </c>
      <c r="N217" t="s">
        <v>33</v>
      </c>
    </row>
    <row r="218" spans="1:14" x14ac:dyDescent="0.25">
      <c r="A218">
        <v>217</v>
      </c>
      <c r="B218" t="s">
        <v>14</v>
      </c>
      <c r="C218">
        <v>2009</v>
      </c>
      <c r="D218">
        <v>3.3</v>
      </c>
      <c r="E218" t="s">
        <v>15</v>
      </c>
      <c r="F218">
        <v>70283</v>
      </c>
      <c r="G218" t="s">
        <v>30</v>
      </c>
      <c r="H218">
        <v>36748.69</v>
      </c>
      <c r="I218" t="s">
        <v>28</v>
      </c>
      <c r="J218" t="s">
        <v>18</v>
      </c>
      <c r="K218" t="s">
        <v>19</v>
      </c>
      <c r="L218">
        <v>17</v>
      </c>
      <c r="M218">
        <v>0.52</v>
      </c>
      <c r="N218" t="s">
        <v>20</v>
      </c>
    </row>
    <row r="219" spans="1:14" x14ac:dyDescent="0.25">
      <c r="A219">
        <v>218</v>
      </c>
      <c r="B219" t="s">
        <v>43</v>
      </c>
      <c r="C219">
        <v>2007</v>
      </c>
      <c r="D219">
        <v>1.4</v>
      </c>
      <c r="E219" t="s">
        <v>27</v>
      </c>
      <c r="F219">
        <v>59567</v>
      </c>
      <c r="G219" t="s">
        <v>22</v>
      </c>
      <c r="H219">
        <v>54206.67</v>
      </c>
      <c r="I219" t="s">
        <v>48</v>
      </c>
      <c r="J219" t="s">
        <v>41</v>
      </c>
      <c r="K219" t="s">
        <v>19</v>
      </c>
      <c r="L219">
        <v>19</v>
      </c>
      <c r="M219">
        <v>0.91</v>
      </c>
      <c r="N219" t="s">
        <v>20</v>
      </c>
    </row>
    <row r="220" spans="1:14" x14ac:dyDescent="0.25">
      <c r="A220">
        <v>219</v>
      </c>
      <c r="B220" t="s">
        <v>52</v>
      </c>
      <c r="C220">
        <v>2023</v>
      </c>
      <c r="D220">
        <v>2.9</v>
      </c>
      <c r="E220" t="s">
        <v>27</v>
      </c>
      <c r="F220">
        <v>237778</v>
      </c>
      <c r="G220" t="s">
        <v>16</v>
      </c>
      <c r="H220">
        <v>26512.16</v>
      </c>
      <c r="I220" t="s">
        <v>59</v>
      </c>
      <c r="J220" t="s">
        <v>18</v>
      </c>
      <c r="K220" t="s">
        <v>26</v>
      </c>
      <c r="L220">
        <v>3</v>
      </c>
      <c r="M220">
        <v>0.11</v>
      </c>
      <c r="N220" t="s">
        <v>33</v>
      </c>
    </row>
    <row r="221" spans="1:14" x14ac:dyDescent="0.25">
      <c r="A221">
        <v>220</v>
      </c>
      <c r="B221" t="s">
        <v>52</v>
      </c>
      <c r="C221">
        <v>2015</v>
      </c>
      <c r="D221">
        <v>5</v>
      </c>
      <c r="E221" t="s">
        <v>15</v>
      </c>
      <c r="F221">
        <v>141758</v>
      </c>
      <c r="G221" t="s">
        <v>30</v>
      </c>
      <c r="H221">
        <v>60030.44</v>
      </c>
      <c r="I221" t="s">
        <v>59</v>
      </c>
      <c r="J221" t="s">
        <v>18</v>
      </c>
      <c r="K221" t="s">
        <v>19</v>
      </c>
      <c r="L221">
        <v>11</v>
      </c>
      <c r="M221">
        <v>0.42</v>
      </c>
      <c r="N221" t="s">
        <v>33</v>
      </c>
    </row>
    <row r="222" spans="1:14" x14ac:dyDescent="0.25">
      <c r="A222">
        <v>221</v>
      </c>
      <c r="B222" t="s">
        <v>52</v>
      </c>
      <c r="C222">
        <v>2016</v>
      </c>
      <c r="D222">
        <v>5.5</v>
      </c>
      <c r="E222" t="s">
        <v>15</v>
      </c>
      <c r="F222">
        <v>61606</v>
      </c>
      <c r="G222" t="s">
        <v>22</v>
      </c>
      <c r="H222">
        <v>59976.03</v>
      </c>
      <c r="I222" t="s">
        <v>61</v>
      </c>
      <c r="J222" t="s">
        <v>32</v>
      </c>
      <c r="K222" t="s">
        <v>19</v>
      </c>
      <c r="L222">
        <v>10</v>
      </c>
      <c r="M222">
        <v>0.97</v>
      </c>
      <c r="N222" t="s">
        <v>33</v>
      </c>
    </row>
    <row r="223" spans="1:14" x14ac:dyDescent="0.25">
      <c r="A223">
        <v>222</v>
      </c>
      <c r="B223" t="s">
        <v>29</v>
      </c>
      <c r="C223">
        <v>2004</v>
      </c>
      <c r="D223">
        <v>2</v>
      </c>
      <c r="E223" t="s">
        <v>27</v>
      </c>
      <c r="F223">
        <v>281035</v>
      </c>
      <c r="G223" t="s">
        <v>22</v>
      </c>
      <c r="H223">
        <v>24655.78</v>
      </c>
      <c r="I223" t="s">
        <v>40</v>
      </c>
      <c r="J223" t="s">
        <v>18</v>
      </c>
      <c r="K223" t="s">
        <v>26</v>
      </c>
      <c r="L223">
        <v>22</v>
      </c>
      <c r="M223">
        <v>0.09</v>
      </c>
      <c r="N223" t="s">
        <v>33</v>
      </c>
    </row>
    <row r="224" spans="1:14" x14ac:dyDescent="0.25">
      <c r="A224">
        <v>223</v>
      </c>
      <c r="B224" t="s">
        <v>43</v>
      </c>
      <c r="C224">
        <v>2003</v>
      </c>
      <c r="D224">
        <v>1.3</v>
      </c>
      <c r="E224" t="s">
        <v>27</v>
      </c>
      <c r="F224">
        <v>101732</v>
      </c>
      <c r="G224" t="s">
        <v>16</v>
      </c>
      <c r="H224">
        <v>80585.929999999993</v>
      </c>
      <c r="I224" t="s">
        <v>44</v>
      </c>
      <c r="J224" t="s">
        <v>18</v>
      </c>
      <c r="K224" t="s">
        <v>19</v>
      </c>
      <c r="L224">
        <v>23</v>
      </c>
      <c r="M224">
        <v>0.79</v>
      </c>
      <c r="N224" t="s">
        <v>20</v>
      </c>
    </row>
    <row r="225" spans="1:14" x14ac:dyDescent="0.25">
      <c r="A225">
        <v>224</v>
      </c>
      <c r="B225" t="s">
        <v>52</v>
      </c>
      <c r="C225">
        <v>2017</v>
      </c>
      <c r="D225">
        <v>5.4</v>
      </c>
      <c r="E225" t="s">
        <v>27</v>
      </c>
      <c r="F225">
        <v>191791</v>
      </c>
      <c r="G225" t="s">
        <v>30</v>
      </c>
      <c r="H225">
        <v>65006.23</v>
      </c>
      <c r="I225" t="s">
        <v>61</v>
      </c>
      <c r="J225" t="s">
        <v>46</v>
      </c>
      <c r="K225" t="s">
        <v>26</v>
      </c>
      <c r="L225">
        <v>9</v>
      </c>
      <c r="M225">
        <v>0.34</v>
      </c>
      <c r="N225" t="s">
        <v>33</v>
      </c>
    </row>
    <row r="226" spans="1:14" x14ac:dyDescent="0.25">
      <c r="A226">
        <v>225</v>
      </c>
      <c r="B226" t="s">
        <v>21</v>
      </c>
      <c r="C226">
        <v>2023</v>
      </c>
      <c r="D226">
        <v>2.9</v>
      </c>
      <c r="E226" t="s">
        <v>27</v>
      </c>
      <c r="F226">
        <v>292021</v>
      </c>
      <c r="G226" t="s">
        <v>16</v>
      </c>
      <c r="H226">
        <v>35187.25</v>
      </c>
      <c r="I226" t="s">
        <v>42</v>
      </c>
      <c r="J226" t="s">
        <v>32</v>
      </c>
      <c r="K226" t="s">
        <v>26</v>
      </c>
      <c r="L226">
        <v>3</v>
      </c>
      <c r="M226">
        <v>0.12</v>
      </c>
      <c r="N226" t="s">
        <v>20</v>
      </c>
    </row>
    <row r="227" spans="1:14" x14ac:dyDescent="0.25">
      <c r="A227">
        <v>226</v>
      </c>
      <c r="B227" t="s">
        <v>24</v>
      </c>
      <c r="C227">
        <v>2018</v>
      </c>
      <c r="D227">
        <v>3.7</v>
      </c>
      <c r="E227" t="s">
        <v>27</v>
      </c>
      <c r="F227">
        <v>249465</v>
      </c>
      <c r="G227" t="s">
        <v>30</v>
      </c>
      <c r="H227">
        <v>27057.55</v>
      </c>
      <c r="I227" t="s">
        <v>25</v>
      </c>
      <c r="J227" t="s">
        <v>46</v>
      </c>
      <c r="K227" t="s">
        <v>26</v>
      </c>
      <c r="L227">
        <v>8</v>
      </c>
      <c r="M227">
        <v>0.11</v>
      </c>
      <c r="N227" t="s">
        <v>20</v>
      </c>
    </row>
    <row r="228" spans="1:14" x14ac:dyDescent="0.25">
      <c r="A228">
        <v>227</v>
      </c>
      <c r="B228" t="s">
        <v>52</v>
      </c>
      <c r="C228">
        <v>2003</v>
      </c>
      <c r="D228">
        <v>5.8</v>
      </c>
      <c r="E228" t="s">
        <v>15</v>
      </c>
      <c r="F228">
        <v>224589</v>
      </c>
      <c r="G228" t="s">
        <v>30</v>
      </c>
      <c r="H228">
        <v>88481.26</v>
      </c>
      <c r="I228" t="s">
        <v>56</v>
      </c>
      <c r="J228" t="s">
        <v>46</v>
      </c>
      <c r="K228" t="s">
        <v>26</v>
      </c>
      <c r="L228">
        <v>23</v>
      </c>
      <c r="M228">
        <v>0.39</v>
      </c>
      <c r="N228" t="s">
        <v>33</v>
      </c>
    </row>
    <row r="229" spans="1:14" x14ac:dyDescent="0.25">
      <c r="A229">
        <v>228</v>
      </c>
      <c r="B229" t="s">
        <v>29</v>
      </c>
      <c r="C229">
        <v>2006</v>
      </c>
      <c r="D229">
        <v>1.3</v>
      </c>
      <c r="E229" t="s">
        <v>15</v>
      </c>
      <c r="F229">
        <v>14026</v>
      </c>
      <c r="G229" t="s">
        <v>22</v>
      </c>
      <c r="H229">
        <v>84395.51</v>
      </c>
      <c r="I229" t="s">
        <v>40</v>
      </c>
      <c r="J229" t="s">
        <v>41</v>
      </c>
      <c r="K229" t="s">
        <v>50</v>
      </c>
      <c r="L229">
        <v>20</v>
      </c>
      <c r="M229">
        <v>6.02</v>
      </c>
      <c r="N229" t="s">
        <v>33</v>
      </c>
    </row>
    <row r="230" spans="1:14" x14ac:dyDescent="0.25">
      <c r="A230">
        <v>229</v>
      </c>
      <c r="B230" t="s">
        <v>14</v>
      </c>
      <c r="C230">
        <v>2009</v>
      </c>
      <c r="D230">
        <v>4.2</v>
      </c>
      <c r="E230" t="s">
        <v>27</v>
      </c>
      <c r="F230">
        <v>282566</v>
      </c>
      <c r="G230" t="s">
        <v>16</v>
      </c>
      <c r="H230">
        <v>26827.26</v>
      </c>
      <c r="I230" t="s">
        <v>28</v>
      </c>
      <c r="J230" t="s">
        <v>18</v>
      </c>
      <c r="K230" t="s">
        <v>26</v>
      </c>
      <c r="L230">
        <v>17</v>
      </c>
      <c r="M230">
        <v>0.09</v>
      </c>
      <c r="N230" t="s">
        <v>20</v>
      </c>
    </row>
    <row r="231" spans="1:14" x14ac:dyDescent="0.25">
      <c r="A231">
        <v>230</v>
      </c>
      <c r="B231" t="s">
        <v>43</v>
      </c>
      <c r="C231">
        <v>2017</v>
      </c>
      <c r="D231">
        <v>1.4</v>
      </c>
      <c r="E231" t="s">
        <v>27</v>
      </c>
      <c r="F231">
        <v>295625</v>
      </c>
      <c r="G231" t="s">
        <v>16</v>
      </c>
      <c r="H231">
        <v>8382.5</v>
      </c>
      <c r="I231" t="s">
        <v>55</v>
      </c>
      <c r="J231" t="s">
        <v>41</v>
      </c>
      <c r="K231" t="s">
        <v>26</v>
      </c>
      <c r="L231">
        <v>9</v>
      </c>
      <c r="M231">
        <v>0.03</v>
      </c>
      <c r="N231" t="s">
        <v>20</v>
      </c>
    </row>
    <row r="232" spans="1:14" x14ac:dyDescent="0.25">
      <c r="A232">
        <v>231</v>
      </c>
      <c r="B232" t="s">
        <v>29</v>
      </c>
      <c r="C232">
        <v>2018</v>
      </c>
      <c r="D232">
        <v>2.9</v>
      </c>
      <c r="E232" t="s">
        <v>15</v>
      </c>
      <c r="F232">
        <v>109384</v>
      </c>
      <c r="G232" t="s">
        <v>16</v>
      </c>
      <c r="H232">
        <v>81430.600000000006</v>
      </c>
      <c r="I232" t="s">
        <v>38</v>
      </c>
      <c r="J232" t="s">
        <v>41</v>
      </c>
      <c r="K232" t="s">
        <v>19</v>
      </c>
      <c r="L232">
        <v>8</v>
      </c>
      <c r="M232">
        <v>0.74</v>
      </c>
      <c r="N232" t="s">
        <v>33</v>
      </c>
    </row>
    <row r="233" spans="1:14" x14ac:dyDescent="0.25">
      <c r="A233">
        <v>232</v>
      </c>
      <c r="B233" t="s">
        <v>52</v>
      </c>
      <c r="C233">
        <v>2003</v>
      </c>
      <c r="D233">
        <v>5</v>
      </c>
      <c r="E233" t="s">
        <v>27</v>
      </c>
      <c r="F233">
        <v>252771</v>
      </c>
      <c r="G233" t="s">
        <v>30</v>
      </c>
      <c r="H233">
        <v>63473.31</v>
      </c>
      <c r="I233" t="s">
        <v>56</v>
      </c>
      <c r="J233" t="s">
        <v>46</v>
      </c>
      <c r="K233" t="s">
        <v>26</v>
      </c>
      <c r="L233">
        <v>23</v>
      </c>
      <c r="M233">
        <v>0.25</v>
      </c>
      <c r="N233" t="s">
        <v>33</v>
      </c>
    </row>
    <row r="234" spans="1:14" x14ac:dyDescent="0.25">
      <c r="A234">
        <v>233</v>
      </c>
      <c r="B234" t="s">
        <v>43</v>
      </c>
      <c r="C234">
        <v>2009</v>
      </c>
      <c r="D234">
        <v>3.2</v>
      </c>
      <c r="E234" t="s">
        <v>15</v>
      </c>
      <c r="F234">
        <v>58031</v>
      </c>
      <c r="G234" t="s">
        <v>16</v>
      </c>
      <c r="H234">
        <v>14583.79</v>
      </c>
      <c r="I234" t="s">
        <v>48</v>
      </c>
      <c r="J234" t="s">
        <v>18</v>
      </c>
      <c r="K234" t="s">
        <v>19</v>
      </c>
      <c r="L234">
        <v>17</v>
      </c>
      <c r="M234">
        <v>0.25</v>
      </c>
      <c r="N234" t="s">
        <v>20</v>
      </c>
    </row>
    <row r="235" spans="1:14" x14ac:dyDescent="0.25">
      <c r="A235">
        <v>234</v>
      </c>
      <c r="B235" t="s">
        <v>24</v>
      </c>
      <c r="C235">
        <v>2000</v>
      </c>
      <c r="D235">
        <v>6</v>
      </c>
      <c r="E235" t="s">
        <v>15</v>
      </c>
      <c r="F235">
        <v>68232</v>
      </c>
      <c r="G235" t="s">
        <v>30</v>
      </c>
      <c r="H235">
        <v>60799.03</v>
      </c>
      <c r="I235" t="s">
        <v>45</v>
      </c>
      <c r="J235" t="s">
        <v>32</v>
      </c>
      <c r="K235" t="s">
        <v>19</v>
      </c>
      <c r="L235">
        <v>26</v>
      </c>
      <c r="M235">
        <v>0.89</v>
      </c>
      <c r="N235" t="s">
        <v>20</v>
      </c>
    </row>
    <row r="236" spans="1:14" x14ac:dyDescent="0.25">
      <c r="A236">
        <v>235</v>
      </c>
      <c r="B236" t="s">
        <v>52</v>
      </c>
      <c r="C236">
        <v>2022</v>
      </c>
      <c r="D236">
        <v>3.8</v>
      </c>
      <c r="E236" t="s">
        <v>15</v>
      </c>
      <c r="F236">
        <v>143084</v>
      </c>
      <c r="G236" t="s">
        <v>16</v>
      </c>
      <c r="H236">
        <v>47957.36</v>
      </c>
      <c r="I236" t="s">
        <v>53</v>
      </c>
      <c r="J236" t="s">
        <v>18</v>
      </c>
      <c r="K236" t="s">
        <v>19</v>
      </c>
      <c r="L236">
        <v>4</v>
      </c>
      <c r="M236">
        <v>0.34</v>
      </c>
      <c r="N236" t="s">
        <v>33</v>
      </c>
    </row>
    <row r="237" spans="1:14" x14ac:dyDescent="0.25">
      <c r="A237">
        <v>236</v>
      </c>
      <c r="B237" t="s">
        <v>29</v>
      </c>
      <c r="C237">
        <v>2017</v>
      </c>
      <c r="D237">
        <v>2.6</v>
      </c>
      <c r="E237" t="s">
        <v>15</v>
      </c>
      <c r="F237">
        <v>236503</v>
      </c>
      <c r="G237" t="s">
        <v>16</v>
      </c>
      <c r="H237">
        <v>78582.28</v>
      </c>
      <c r="I237" t="s">
        <v>62</v>
      </c>
      <c r="J237" t="s">
        <v>46</v>
      </c>
      <c r="K237" t="s">
        <v>26</v>
      </c>
      <c r="L237">
        <v>9</v>
      </c>
      <c r="M237">
        <v>0.33</v>
      </c>
      <c r="N237" t="s">
        <v>33</v>
      </c>
    </row>
    <row r="238" spans="1:14" x14ac:dyDescent="0.25">
      <c r="A238">
        <v>237</v>
      </c>
      <c r="B238" t="s">
        <v>36</v>
      </c>
      <c r="C238">
        <v>2004</v>
      </c>
      <c r="D238">
        <v>2.1</v>
      </c>
      <c r="E238" t="s">
        <v>27</v>
      </c>
      <c r="F238">
        <v>292104</v>
      </c>
      <c r="G238" t="s">
        <v>22</v>
      </c>
      <c r="H238">
        <v>24863.06</v>
      </c>
      <c r="I238" t="s">
        <v>57</v>
      </c>
      <c r="J238" t="s">
        <v>46</v>
      </c>
      <c r="K238" t="s">
        <v>26</v>
      </c>
      <c r="L238">
        <v>22</v>
      </c>
      <c r="M238">
        <v>0.09</v>
      </c>
      <c r="N238" t="s">
        <v>33</v>
      </c>
    </row>
    <row r="239" spans="1:14" x14ac:dyDescent="0.25">
      <c r="A239">
        <v>238</v>
      </c>
      <c r="B239" t="s">
        <v>21</v>
      </c>
      <c r="C239">
        <v>2014</v>
      </c>
      <c r="D239">
        <v>2.8</v>
      </c>
      <c r="E239" t="s">
        <v>27</v>
      </c>
      <c r="F239">
        <v>87695</v>
      </c>
      <c r="G239" t="s">
        <v>16</v>
      </c>
      <c r="H239">
        <v>48049.89</v>
      </c>
      <c r="I239" t="s">
        <v>42</v>
      </c>
      <c r="J239" t="s">
        <v>46</v>
      </c>
      <c r="K239" t="s">
        <v>19</v>
      </c>
      <c r="L239">
        <v>12</v>
      </c>
      <c r="M239">
        <v>0.55000000000000004</v>
      </c>
      <c r="N239" t="s">
        <v>20</v>
      </c>
    </row>
    <row r="240" spans="1:14" x14ac:dyDescent="0.25">
      <c r="A240">
        <v>239</v>
      </c>
      <c r="B240" t="s">
        <v>14</v>
      </c>
      <c r="C240">
        <v>2016</v>
      </c>
      <c r="D240">
        <v>2.9</v>
      </c>
      <c r="E240" t="s">
        <v>15</v>
      </c>
      <c r="F240">
        <v>130066</v>
      </c>
      <c r="G240" t="s">
        <v>22</v>
      </c>
      <c r="H240">
        <v>19843.189999999999</v>
      </c>
      <c r="I240" t="s">
        <v>17</v>
      </c>
      <c r="J240" t="s">
        <v>18</v>
      </c>
      <c r="K240" t="s">
        <v>19</v>
      </c>
      <c r="L240">
        <v>10</v>
      </c>
      <c r="M240">
        <v>0.15</v>
      </c>
      <c r="N240" t="s">
        <v>20</v>
      </c>
    </row>
    <row r="241" spans="1:14" x14ac:dyDescent="0.25">
      <c r="A241">
        <v>240</v>
      </c>
      <c r="B241" t="s">
        <v>29</v>
      </c>
      <c r="C241">
        <v>2002</v>
      </c>
      <c r="D241">
        <v>1.3</v>
      </c>
      <c r="E241" t="s">
        <v>27</v>
      </c>
      <c r="F241">
        <v>138982</v>
      </c>
      <c r="G241" t="s">
        <v>22</v>
      </c>
      <c r="H241">
        <v>95965.09</v>
      </c>
      <c r="I241" t="s">
        <v>40</v>
      </c>
      <c r="J241" t="s">
        <v>46</v>
      </c>
      <c r="K241" t="s">
        <v>19</v>
      </c>
      <c r="L241">
        <v>24</v>
      </c>
      <c r="M241">
        <v>0.69</v>
      </c>
      <c r="N241" t="s">
        <v>33</v>
      </c>
    </row>
    <row r="242" spans="1:14" x14ac:dyDescent="0.25">
      <c r="A242">
        <v>241</v>
      </c>
      <c r="B242" t="s">
        <v>43</v>
      </c>
      <c r="C242">
        <v>2011</v>
      </c>
      <c r="D242">
        <v>2.8</v>
      </c>
      <c r="E242" t="s">
        <v>27</v>
      </c>
      <c r="F242">
        <v>264837</v>
      </c>
      <c r="G242" t="s">
        <v>30</v>
      </c>
      <c r="H242">
        <v>78980.12</v>
      </c>
      <c r="I242" t="s">
        <v>44</v>
      </c>
      <c r="J242" t="s">
        <v>46</v>
      </c>
      <c r="K242" t="s">
        <v>26</v>
      </c>
      <c r="L242">
        <v>15</v>
      </c>
      <c r="M242">
        <v>0.3</v>
      </c>
      <c r="N242" t="s">
        <v>20</v>
      </c>
    </row>
    <row r="243" spans="1:14" x14ac:dyDescent="0.25">
      <c r="A243">
        <v>242</v>
      </c>
      <c r="B243" t="s">
        <v>52</v>
      </c>
      <c r="C243">
        <v>2001</v>
      </c>
      <c r="D243">
        <v>3.3</v>
      </c>
      <c r="E243" t="s">
        <v>27</v>
      </c>
      <c r="F243">
        <v>115313</v>
      </c>
      <c r="G243" t="s">
        <v>16</v>
      </c>
      <c r="H243">
        <v>74988.63</v>
      </c>
      <c r="I243" t="s">
        <v>56</v>
      </c>
      <c r="J243" t="s">
        <v>18</v>
      </c>
      <c r="K243" t="s">
        <v>19</v>
      </c>
      <c r="L243">
        <v>25</v>
      </c>
      <c r="M243">
        <v>0.65</v>
      </c>
      <c r="N243" t="s">
        <v>33</v>
      </c>
    </row>
    <row r="244" spans="1:14" x14ac:dyDescent="0.25">
      <c r="A244">
        <v>243</v>
      </c>
      <c r="B244" t="s">
        <v>21</v>
      </c>
      <c r="C244">
        <v>2000</v>
      </c>
      <c r="D244">
        <v>4.5999999999999996</v>
      </c>
      <c r="E244" t="s">
        <v>27</v>
      </c>
      <c r="F244">
        <v>28810</v>
      </c>
      <c r="G244" t="s">
        <v>16</v>
      </c>
      <c r="H244">
        <v>70569.63</v>
      </c>
      <c r="I244" t="s">
        <v>60</v>
      </c>
      <c r="J244" t="s">
        <v>41</v>
      </c>
      <c r="K244" t="s">
        <v>50</v>
      </c>
      <c r="L244">
        <v>26</v>
      </c>
      <c r="M244">
        <v>2.4500000000000002</v>
      </c>
      <c r="N244" t="s">
        <v>20</v>
      </c>
    </row>
    <row r="245" spans="1:14" x14ac:dyDescent="0.25">
      <c r="A245">
        <v>244</v>
      </c>
      <c r="B245" t="s">
        <v>52</v>
      </c>
      <c r="C245">
        <v>2022</v>
      </c>
      <c r="D245">
        <v>4.3</v>
      </c>
      <c r="E245" t="s">
        <v>15</v>
      </c>
      <c r="F245">
        <v>20092</v>
      </c>
      <c r="G245" t="s">
        <v>16</v>
      </c>
      <c r="H245">
        <v>45216.959999999999</v>
      </c>
      <c r="I245" t="s">
        <v>59</v>
      </c>
      <c r="J245" t="s">
        <v>18</v>
      </c>
      <c r="K245" t="s">
        <v>50</v>
      </c>
      <c r="L245">
        <v>4</v>
      </c>
      <c r="M245">
        <v>2.25</v>
      </c>
      <c r="N245" t="s">
        <v>33</v>
      </c>
    </row>
    <row r="246" spans="1:14" x14ac:dyDescent="0.25">
      <c r="A246">
        <v>245</v>
      </c>
      <c r="B246" t="s">
        <v>43</v>
      </c>
      <c r="C246">
        <v>2020</v>
      </c>
      <c r="D246">
        <v>4.5</v>
      </c>
      <c r="E246" t="s">
        <v>27</v>
      </c>
      <c r="F246">
        <v>58105</v>
      </c>
      <c r="G246" t="s">
        <v>22</v>
      </c>
      <c r="H246">
        <v>92711.83</v>
      </c>
      <c r="I246" t="s">
        <v>48</v>
      </c>
      <c r="J246" t="s">
        <v>32</v>
      </c>
      <c r="K246" t="s">
        <v>19</v>
      </c>
      <c r="L246">
        <v>6</v>
      </c>
      <c r="M246">
        <v>1.6</v>
      </c>
      <c r="N246" t="s">
        <v>20</v>
      </c>
    </row>
    <row r="247" spans="1:14" x14ac:dyDescent="0.25">
      <c r="A247">
        <v>246</v>
      </c>
      <c r="B247" t="s">
        <v>52</v>
      </c>
      <c r="C247">
        <v>2016</v>
      </c>
      <c r="D247">
        <v>1</v>
      </c>
      <c r="E247" t="s">
        <v>15</v>
      </c>
      <c r="F247">
        <v>161577</v>
      </c>
      <c r="G247" t="s">
        <v>16</v>
      </c>
      <c r="H247">
        <v>11927.12</v>
      </c>
      <c r="I247" t="s">
        <v>61</v>
      </c>
      <c r="J247" t="s">
        <v>18</v>
      </c>
      <c r="K247" t="s">
        <v>26</v>
      </c>
      <c r="L247">
        <v>10</v>
      </c>
      <c r="M247">
        <v>7.0000000000000007E-2</v>
      </c>
      <c r="N247" t="s">
        <v>33</v>
      </c>
    </row>
    <row r="248" spans="1:14" x14ac:dyDescent="0.25">
      <c r="A248">
        <v>247</v>
      </c>
      <c r="B248" t="s">
        <v>36</v>
      </c>
      <c r="C248">
        <v>2021</v>
      </c>
      <c r="D248">
        <v>2.1</v>
      </c>
      <c r="E248" t="s">
        <v>15</v>
      </c>
      <c r="F248">
        <v>204300</v>
      </c>
      <c r="G248" t="s">
        <v>30</v>
      </c>
      <c r="H248">
        <v>81309.61</v>
      </c>
      <c r="I248" t="s">
        <v>37</v>
      </c>
      <c r="J248" t="s">
        <v>46</v>
      </c>
      <c r="K248" t="s">
        <v>26</v>
      </c>
      <c r="L248">
        <v>5</v>
      </c>
      <c r="M248">
        <v>0.4</v>
      </c>
      <c r="N248" t="s">
        <v>33</v>
      </c>
    </row>
    <row r="249" spans="1:14" x14ac:dyDescent="0.25">
      <c r="A249">
        <v>248</v>
      </c>
      <c r="B249" t="s">
        <v>21</v>
      </c>
      <c r="C249">
        <v>2015</v>
      </c>
      <c r="D249">
        <v>4.3</v>
      </c>
      <c r="E249" t="s">
        <v>27</v>
      </c>
      <c r="F249">
        <v>290699</v>
      </c>
      <c r="G249" t="s">
        <v>30</v>
      </c>
      <c r="H249">
        <v>25447.11</v>
      </c>
      <c r="I249" t="s">
        <v>60</v>
      </c>
      <c r="J249" t="s">
        <v>18</v>
      </c>
      <c r="K249" t="s">
        <v>26</v>
      </c>
      <c r="L249">
        <v>11</v>
      </c>
      <c r="M249">
        <v>0.09</v>
      </c>
      <c r="N249" t="s">
        <v>20</v>
      </c>
    </row>
    <row r="250" spans="1:14" x14ac:dyDescent="0.25">
      <c r="A250">
        <v>249</v>
      </c>
      <c r="B250" t="s">
        <v>21</v>
      </c>
      <c r="C250">
        <v>2004</v>
      </c>
      <c r="D250">
        <v>3.4</v>
      </c>
      <c r="E250" t="s">
        <v>15</v>
      </c>
      <c r="F250">
        <v>71934</v>
      </c>
      <c r="G250" t="s">
        <v>16</v>
      </c>
      <c r="H250">
        <v>35782.660000000003</v>
      </c>
      <c r="I250" t="s">
        <v>42</v>
      </c>
      <c r="J250" t="s">
        <v>41</v>
      </c>
      <c r="K250" t="s">
        <v>19</v>
      </c>
      <c r="L250">
        <v>22</v>
      </c>
      <c r="M250">
        <v>0.5</v>
      </c>
      <c r="N250" t="s">
        <v>20</v>
      </c>
    </row>
    <row r="251" spans="1:14" x14ac:dyDescent="0.25">
      <c r="A251">
        <v>250</v>
      </c>
      <c r="B251" t="s">
        <v>43</v>
      </c>
      <c r="C251">
        <v>2014</v>
      </c>
      <c r="D251">
        <v>1</v>
      </c>
      <c r="E251" t="s">
        <v>27</v>
      </c>
      <c r="F251">
        <v>72788</v>
      </c>
      <c r="G251" t="s">
        <v>22</v>
      </c>
      <c r="H251">
        <v>54345.82</v>
      </c>
      <c r="I251" t="s">
        <v>44</v>
      </c>
      <c r="J251" t="s">
        <v>32</v>
      </c>
      <c r="K251" t="s">
        <v>19</v>
      </c>
      <c r="L251">
        <v>12</v>
      </c>
      <c r="M251">
        <v>0.75</v>
      </c>
      <c r="N251" t="s">
        <v>20</v>
      </c>
    </row>
    <row r="252" spans="1:14" x14ac:dyDescent="0.25">
      <c r="A252">
        <v>251</v>
      </c>
      <c r="B252" t="s">
        <v>14</v>
      </c>
      <c r="C252">
        <v>2002</v>
      </c>
      <c r="D252">
        <v>5</v>
      </c>
      <c r="E252" t="s">
        <v>27</v>
      </c>
      <c r="F252">
        <v>280083</v>
      </c>
      <c r="G252" t="s">
        <v>30</v>
      </c>
      <c r="H252">
        <v>79352.23</v>
      </c>
      <c r="I252" t="s">
        <v>58</v>
      </c>
      <c r="J252" t="s">
        <v>18</v>
      </c>
      <c r="K252" t="s">
        <v>26</v>
      </c>
      <c r="L252">
        <v>24</v>
      </c>
      <c r="M252">
        <v>0.28000000000000003</v>
      </c>
      <c r="N252" t="s">
        <v>20</v>
      </c>
    </row>
    <row r="253" spans="1:14" x14ac:dyDescent="0.25">
      <c r="A253">
        <v>252</v>
      </c>
      <c r="B253" t="s">
        <v>36</v>
      </c>
      <c r="C253">
        <v>2006</v>
      </c>
      <c r="D253">
        <v>4.9000000000000004</v>
      </c>
      <c r="E253" t="s">
        <v>15</v>
      </c>
      <c r="F253">
        <v>155223</v>
      </c>
      <c r="G253" t="s">
        <v>30</v>
      </c>
      <c r="H253">
        <v>84660.82</v>
      </c>
      <c r="I253" t="s">
        <v>51</v>
      </c>
      <c r="J253" t="s">
        <v>41</v>
      </c>
      <c r="K253" t="s">
        <v>26</v>
      </c>
      <c r="L253">
        <v>20</v>
      </c>
      <c r="M253">
        <v>0.55000000000000004</v>
      </c>
      <c r="N253" t="s">
        <v>33</v>
      </c>
    </row>
    <row r="254" spans="1:14" x14ac:dyDescent="0.25">
      <c r="A254">
        <v>253</v>
      </c>
      <c r="B254" t="s">
        <v>29</v>
      </c>
      <c r="C254">
        <v>2010</v>
      </c>
      <c r="D254">
        <v>3.7</v>
      </c>
      <c r="E254" t="s">
        <v>27</v>
      </c>
      <c r="F254">
        <v>128068</v>
      </c>
      <c r="G254" t="s">
        <v>22</v>
      </c>
      <c r="H254">
        <v>60454.559999999998</v>
      </c>
      <c r="I254" t="s">
        <v>38</v>
      </c>
      <c r="J254" t="s">
        <v>18</v>
      </c>
      <c r="K254" t="s">
        <v>19</v>
      </c>
      <c r="L254">
        <v>16</v>
      </c>
      <c r="M254">
        <v>0.47</v>
      </c>
      <c r="N254" t="s">
        <v>33</v>
      </c>
    </row>
    <row r="255" spans="1:14" x14ac:dyDescent="0.25">
      <c r="A255">
        <v>254</v>
      </c>
      <c r="B255" t="s">
        <v>52</v>
      </c>
      <c r="C255">
        <v>2009</v>
      </c>
      <c r="D255">
        <v>1.3</v>
      </c>
      <c r="E255" t="s">
        <v>15</v>
      </c>
      <c r="F255">
        <v>36</v>
      </c>
      <c r="G255" t="s">
        <v>30</v>
      </c>
      <c r="H255">
        <v>43288.37</v>
      </c>
      <c r="I255" t="s">
        <v>53</v>
      </c>
      <c r="J255" t="s">
        <v>32</v>
      </c>
      <c r="K255" t="s">
        <v>50</v>
      </c>
      <c r="L255">
        <v>17</v>
      </c>
      <c r="M255">
        <v>1202.45</v>
      </c>
      <c r="N255" t="s">
        <v>33</v>
      </c>
    </row>
    <row r="256" spans="1:14" x14ac:dyDescent="0.25">
      <c r="A256">
        <v>255</v>
      </c>
      <c r="B256" t="s">
        <v>24</v>
      </c>
      <c r="C256">
        <v>2008</v>
      </c>
      <c r="D256">
        <v>4.8</v>
      </c>
      <c r="E256" t="s">
        <v>15</v>
      </c>
      <c r="F256">
        <v>39051</v>
      </c>
      <c r="G256" t="s">
        <v>22</v>
      </c>
      <c r="H256">
        <v>94917.73</v>
      </c>
      <c r="I256" t="s">
        <v>35</v>
      </c>
      <c r="J256" t="s">
        <v>18</v>
      </c>
      <c r="K256" t="s">
        <v>50</v>
      </c>
      <c r="L256">
        <v>18</v>
      </c>
      <c r="M256">
        <v>2.4300000000000002</v>
      </c>
      <c r="N256" t="s">
        <v>20</v>
      </c>
    </row>
    <row r="257" spans="1:14" x14ac:dyDescent="0.25">
      <c r="A257">
        <v>256</v>
      </c>
      <c r="B257" t="s">
        <v>52</v>
      </c>
      <c r="C257">
        <v>2013</v>
      </c>
      <c r="D257">
        <v>3.9</v>
      </c>
      <c r="E257" t="s">
        <v>27</v>
      </c>
      <c r="F257">
        <v>80738</v>
      </c>
      <c r="G257" t="s">
        <v>30</v>
      </c>
      <c r="H257">
        <v>28419.52</v>
      </c>
      <c r="I257" t="s">
        <v>53</v>
      </c>
      <c r="J257" t="s">
        <v>46</v>
      </c>
      <c r="K257" t="s">
        <v>19</v>
      </c>
      <c r="L257">
        <v>13</v>
      </c>
      <c r="M257">
        <v>0.35</v>
      </c>
      <c r="N257" t="s">
        <v>33</v>
      </c>
    </row>
    <row r="258" spans="1:14" x14ac:dyDescent="0.25">
      <c r="A258">
        <v>257</v>
      </c>
      <c r="B258" t="s">
        <v>52</v>
      </c>
      <c r="C258">
        <v>2012</v>
      </c>
      <c r="D258">
        <v>4.9000000000000004</v>
      </c>
      <c r="E258" t="s">
        <v>27</v>
      </c>
      <c r="F258">
        <v>60071</v>
      </c>
      <c r="G258" t="s">
        <v>22</v>
      </c>
      <c r="H258">
        <v>81293.98</v>
      </c>
      <c r="I258" t="s">
        <v>53</v>
      </c>
      <c r="J258" t="s">
        <v>18</v>
      </c>
      <c r="K258" t="s">
        <v>19</v>
      </c>
      <c r="L258">
        <v>14</v>
      </c>
      <c r="M258">
        <v>1.35</v>
      </c>
      <c r="N258" t="s">
        <v>33</v>
      </c>
    </row>
    <row r="259" spans="1:14" x14ac:dyDescent="0.25">
      <c r="A259">
        <v>258</v>
      </c>
      <c r="B259" t="s">
        <v>29</v>
      </c>
      <c r="C259">
        <v>2001</v>
      </c>
      <c r="D259">
        <v>4.8</v>
      </c>
      <c r="E259" t="s">
        <v>27</v>
      </c>
      <c r="F259">
        <v>130613</v>
      </c>
      <c r="G259" t="s">
        <v>30</v>
      </c>
      <c r="H259">
        <v>63144.71</v>
      </c>
      <c r="I259" t="s">
        <v>62</v>
      </c>
      <c r="J259" t="s">
        <v>41</v>
      </c>
      <c r="K259" t="s">
        <v>19</v>
      </c>
      <c r="L259">
        <v>25</v>
      </c>
      <c r="M259">
        <v>0.48</v>
      </c>
      <c r="N259" t="s">
        <v>33</v>
      </c>
    </row>
    <row r="260" spans="1:14" x14ac:dyDescent="0.25">
      <c r="A260">
        <v>259</v>
      </c>
      <c r="B260" t="s">
        <v>52</v>
      </c>
      <c r="C260">
        <v>2002</v>
      </c>
      <c r="D260">
        <v>5</v>
      </c>
      <c r="E260" t="s">
        <v>15</v>
      </c>
      <c r="F260">
        <v>73601</v>
      </c>
      <c r="G260" t="s">
        <v>16</v>
      </c>
      <c r="H260">
        <v>40805.03</v>
      </c>
      <c r="I260" t="s">
        <v>53</v>
      </c>
      <c r="J260" t="s">
        <v>18</v>
      </c>
      <c r="K260" t="s">
        <v>19</v>
      </c>
      <c r="L260">
        <v>24</v>
      </c>
      <c r="M260">
        <v>0.55000000000000004</v>
      </c>
      <c r="N260" t="s">
        <v>33</v>
      </c>
    </row>
    <row r="261" spans="1:14" x14ac:dyDescent="0.25">
      <c r="A261">
        <v>260</v>
      </c>
      <c r="B261" t="s">
        <v>36</v>
      </c>
      <c r="C261">
        <v>2006</v>
      </c>
      <c r="D261">
        <v>3.6</v>
      </c>
      <c r="E261" t="s">
        <v>27</v>
      </c>
      <c r="F261">
        <v>29873</v>
      </c>
      <c r="G261" t="s">
        <v>30</v>
      </c>
      <c r="H261">
        <v>5129.96</v>
      </c>
      <c r="I261" t="s">
        <v>37</v>
      </c>
      <c r="J261" t="s">
        <v>41</v>
      </c>
      <c r="K261" t="s">
        <v>50</v>
      </c>
      <c r="L261">
        <v>20</v>
      </c>
      <c r="M261">
        <v>0.17</v>
      </c>
      <c r="N261" t="s">
        <v>33</v>
      </c>
    </row>
    <row r="262" spans="1:14" x14ac:dyDescent="0.25">
      <c r="A262">
        <v>261</v>
      </c>
      <c r="B262" t="s">
        <v>36</v>
      </c>
      <c r="C262">
        <v>2020</v>
      </c>
      <c r="D262">
        <v>1.7</v>
      </c>
      <c r="E262" t="s">
        <v>15</v>
      </c>
      <c r="F262">
        <v>167720</v>
      </c>
      <c r="G262" t="s">
        <v>30</v>
      </c>
      <c r="H262">
        <v>47426.93</v>
      </c>
      <c r="I262" t="s">
        <v>57</v>
      </c>
      <c r="J262" t="s">
        <v>32</v>
      </c>
      <c r="K262" t="s">
        <v>26</v>
      </c>
      <c r="L262">
        <v>6</v>
      </c>
      <c r="M262">
        <v>0.28000000000000003</v>
      </c>
      <c r="N262" t="s">
        <v>33</v>
      </c>
    </row>
    <row r="263" spans="1:14" x14ac:dyDescent="0.25">
      <c r="A263">
        <v>262</v>
      </c>
      <c r="B263" t="s">
        <v>21</v>
      </c>
      <c r="C263">
        <v>2017</v>
      </c>
      <c r="D263">
        <v>4.4000000000000004</v>
      </c>
      <c r="E263" t="s">
        <v>15</v>
      </c>
      <c r="F263">
        <v>71468</v>
      </c>
      <c r="G263" t="s">
        <v>16</v>
      </c>
      <c r="H263">
        <v>31288.400000000001</v>
      </c>
      <c r="I263" t="s">
        <v>42</v>
      </c>
      <c r="J263" t="s">
        <v>18</v>
      </c>
      <c r="K263" t="s">
        <v>19</v>
      </c>
      <c r="L263">
        <v>9</v>
      </c>
      <c r="M263">
        <v>0.44</v>
      </c>
      <c r="N263" t="s">
        <v>20</v>
      </c>
    </row>
    <row r="264" spans="1:14" x14ac:dyDescent="0.25">
      <c r="A264">
        <v>263</v>
      </c>
      <c r="B264" t="s">
        <v>43</v>
      </c>
      <c r="C264">
        <v>2002</v>
      </c>
      <c r="D264">
        <v>4.0999999999999996</v>
      </c>
      <c r="E264" t="s">
        <v>27</v>
      </c>
      <c r="F264">
        <v>288614</v>
      </c>
      <c r="G264" t="s">
        <v>16</v>
      </c>
      <c r="H264">
        <v>14912.93</v>
      </c>
      <c r="I264" t="s">
        <v>49</v>
      </c>
      <c r="J264" t="s">
        <v>32</v>
      </c>
      <c r="K264" t="s">
        <v>26</v>
      </c>
      <c r="L264">
        <v>24</v>
      </c>
      <c r="M264">
        <v>0.05</v>
      </c>
      <c r="N264" t="s">
        <v>20</v>
      </c>
    </row>
    <row r="265" spans="1:14" x14ac:dyDescent="0.25">
      <c r="A265">
        <v>264</v>
      </c>
      <c r="B265" t="s">
        <v>14</v>
      </c>
      <c r="C265">
        <v>2009</v>
      </c>
      <c r="D265">
        <v>4.7</v>
      </c>
      <c r="E265" t="s">
        <v>27</v>
      </c>
      <c r="F265">
        <v>196201</v>
      </c>
      <c r="G265" t="s">
        <v>16</v>
      </c>
      <c r="H265">
        <v>12140.06</v>
      </c>
      <c r="I265" t="s">
        <v>39</v>
      </c>
      <c r="J265" t="s">
        <v>18</v>
      </c>
      <c r="K265" t="s">
        <v>26</v>
      </c>
      <c r="L265">
        <v>17</v>
      </c>
      <c r="M265">
        <v>0.06</v>
      </c>
      <c r="N265" t="s">
        <v>20</v>
      </c>
    </row>
    <row r="266" spans="1:14" x14ac:dyDescent="0.25">
      <c r="A266">
        <v>265</v>
      </c>
      <c r="B266" t="s">
        <v>24</v>
      </c>
      <c r="C266">
        <v>2021</v>
      </c>
      <c r="D266">
        <v>1.8</v>
      </c>
      <c r="E266" t="s">
        <v>27</v>
      </c>
      <c r="F266">
        <v>8328</v>
      </c>
      <c r="G266" t="s">
        <v>16</v>
      </c>
      <c r="H266">
        <v>38018.04</v>
      </c>
      <c r="I266" t="s">
        <v>45</v>
      </c>
      <c r="J266" t="s">
        <v>18</v>
      </c>
      <c r="K266" t="s">
        <v>50</v>
      </c>
      <c r="L266">
        <v>5</v>
      </c>
      <c r="M266">
        <v>4.57</v>
      </c>
      <c r="N266" t="s">
        <v>20</v>
      </c>
    </row>
    <row r="267" spans="1:14" x14ac:dyDescent="0.25">
      <c r="A267">
        <v>266</v>
      </c>
      <c r="B267" t="s">
        <v>52</v>
      </c>
      <c r="C267">
        <v>2006</v>
      </c>
      <c r="D267">
        <v>2</v>
      </c>
      <c r="E267" t="s">
        <v>15</v>
      </c>
      <c r="F267">
        <v>137405</v>
      </c>
      <c r="G267" t="s">
        <v>22</v>
      </c>
      <c r="H267">
        <v>63401.95</v>
      </c>
      <c r="I267" t="s">
        <v>53</v>
      </c>
      <c r="J267" t="s">
        <v>41</v>
      </c>
      <c r="K267" t="s">
        <v>19</v>
      </c>
      <c r="L267">
        <v>20</v>
      </c>
      <c r="M267">
        <v>0.46</v>
      </c>
      <c r="N267" t="s">
        <v>33</v>
      </c>
    </row>
    <row r="268" spans="1:14" x14ac:dyDescent="0.25">
      <c r="A268">
        <v>267</v>
      </c>
      <c r="B268" t="s">
        <v>52</v>
      </c>
      <c r="C268">
        <v>2008</v>
      </c>
      <c r="D268">
        <v>5.5</v>
      </c>
      <c r="E268" t="s">
        <v>27</v>
      </c>
      <c r="F268">
        <v>251519</v>
      </c>
      <c r="G268" t="s">
        <v>22</v>
      </c>
      <c r="H268">
        <v>84564.33</v>
      </c>
      <c r="I268" t="s">
        <v>59</v>
      </c>
      <c r="J268" t="s">
        <v>32</v>
      </c>
      <c r="K268" t="s">
        <v>26</v>
      </c>
      <c r="L268">
        <v>18</v>
      </c>
      <c r="M268">
        <v>0.34</v>
      </c>
      <c r="N268" t="s">
        <v>33</v>
      </c>
    </row>
    <row r="269" spans="1:14" x14ac:dyDescent="0.25">
      <c r="A269">
        <v>268</v>
      </c>
      <c r="B269" t="s">
        <v>29</v>
      </c>
      <c r="C269">
        <v>2016</v>
      </c>
      <c r="D269">
        <v>4.7</v>
      </c>
      <c r="E269" t="s">
        <v>15</v>
      </c>
      <c r="F269">
        <v>121173</v>
      </c>
      <c r="G269" t="s">
        <v>30</v>
      </c>
      <c r="H269">
        <v>22438.51</v>
      </c>
      <c r="I269" t="s">
        <v>62</v>
      </c>
      <c r="J269" t="s">
        <v>32</v>
      </c>
      <c r="K269" t="s">
        <v>19</v>
      </c>
      <c r="L269">
        <v>10</v>
      </c>
      <c r="M269">
        <v>0.19</v>
      </c>
      <c r="N269" t="s">
        <v>33</v>
      </c>
    </row>
    <row r="270" spans="1:14" x14ac:dyDescent="0.25">
      <c r="A270">
        <v>269</v>
      </c>
      <c r="B270" t="s">
        <v>43</v>
      </c>
      <c r="C270">
        <v>2010</v>
      </c>
      <c r="D270">
        <v>5.5</v>
      </c>
      <c r="E270" t="s">
        <v>27</v>
      </c>
      <c r="F270">
        <v>46638</v>
      </c>
      <c r="G270" t="s">
        <v>30</v>
      </c>
      <c r="H270">
        <v>45341.18</v>
      </c>
      <c r="I270" t="s">
        <v>55</v>
      </c>
      <c r="J270" t="s">
        <v>18</v>
      </c>
      <c r="K270" t="s">
        <v>50</v>
      </c>
      <c r="L270">
        <v>16</v>
      </c>
      <c r="M270">
        <v>0.97</v>
      </c>
      <c r="N270" t="s">
        <v>20</v>
      </c>
    </row>
    <row r="271" spans="1:14" x14ac:dyDescent="0.25">
      <c r="A271">
        <v>270</v>
      </c>
      <c r="B271" t="s">
        <v>36</v>
      </c>
      <c r="C271">
        <v>2006</v>
      </c>
      <c r="D271">
        <v>4.8</v>
      </c>
      <c r="E271" t="s">
        <v>27</v>
      </c>
      <c r="F271">
        <v>273412</v>
      </c>
      <c r="G271" t="s">
        <v>30</v>
      </c>
      <c r="H271">
        <v>42235.83</v>
      </c>
      <c r="I271" t="s">
        <v>54</v>
      </c>
      <c r="J271" t="s">
        <v>18</v>
      </c>
      <c r="K271" t="s">
        <v>26</v>
      </c>
      <c r="L271">
        <v>20</v>
      </c>
      <c r="M271">
        <v>0.15</v>
      </c>
      <c r="N271" t="s">
        <v>33</v>
      </c>
    </row>
    <row r="272" spans="1:14" x14ac:dyDescent="0.25">
      <c r="A272">
        <v>271</v>
      </c>
      <c r="B272" t="s">
        <v>24</v>
      </c>
      <c r="C272">
        <v>2023</v>
      </c>
      <c r="D272">
        <v>4</v>
      </c>
      <c r="E272" t="s">
        <v>15</v>
      </c>
      <c r="F272">
        <v>201675</v>
      </c>
      <c r="G272" t="s">
        <v>22</v>
      </c>
      <c r="H272">
        <v>53772.43</v>
      </c>
      <c r="I272" t="s">
        <v>25</v>
      </c>
      <c r="J272" t="s">
        <v>18</v>
      </c>
      <c r="K272" t="s">
        <v>26</v>
      </c>
      <c r="L272">
        <v>3</v>
      </c>
      <c r="M272">
        <v>0.27</v>
      </c>
      <c r="N272" t="s">
        <v>20</v>
      </c>
    </row>
    <row r="273" spans="1:14" x14ac:dyDescent="0.25">
      <c r="A273">
        <v>272</v>
      </c>
      <c r="B273" t="s">
        <v>21</v>
      </c>
      <c r="C273">
        <v>2013</v>
      </c>
      <c r="D273">
        <v>4.3</v>
      </c>
      <c r="E273" t="s">
        <v>15</v>
      </c>
      <c r="F273">
        <v>113920</v>
      </c>
      <c r="G273" t="s">
        <v>30</v>
      </c>
      <c r="H273">
        <v>81910.789999999994</v>
      </c>
      <c r="I273" t="s">
        <v>23</v>
      </c>
      <c r="J273" t="s">
        <v>18</v>
      </c>
      <c r="K273" t="s">
        <v>19</v>
      </c>
      <c r="L273">
        <v>13</v>
      </c>
      <c r="M273">
        <v>0.72</v>
      </c>
      <c r="N273" t="s">
        <v>20</v>
      </c>
    </row>
    <row r="274" spans="1:14" x14ac:dyDescent="0.25">
      <c r="A274">
        <v>273</v>
      </c>
      <c r="B274" t="s">
        <v>36</v>
      </c>
      <c r="C274">
        <v>2018</v>
      </c>
      <c r="D274">
        <v>5.4</v>
      </c>
      <c r="E274" t="s">
        <v>27</v>
      </c>
      <c r="F274">
        <v>171813</v>
      </c>
      <c r="G274" t="s">
        <v>30</v>
      </c>
      <c r="H274">
        <v>57596.3</v>
      </c>
      <c r="I274" t="s">
        <v>51</v>
      </c>
      <c r="J274" t="s">
        <v>18</v>
      </c>
      <c r="K274" t="s">
        <v>26</v>
      </c>
      <c r="L274">
        <v>8</v>
      </c>
      <c r="M274">
        <v>0.34</v>
      </c>
      <c r="N274" t="s">
        <v>33</v>
      </c>
    </row>
    <row r="275" spans="1:14" x14ac:dyDescent="0.25">
      <c r="A275">
        <v>274</v>
      </c>
      <c r="B275" t="s">
        <v>43</v>
      </c>
      <c r="C275">
        <v>2003</v>
      </c>
      <c r="D275">
        <v>3.9</v>
      </c>
      <c r="E275" t="s">
        <v>27</v>
      </c>
      <c r="F275">
        <v>7887</v>
      </c>
      <c r="G275" t="s">
        <v>22</v>
      </c>
      <c r="H275">
        <v>85432.22</v>
      </c>
      <c r="I275" t="s">
        <v>49</v>
      </c>
      <c r="J275" t="s">
        <v>46</v>
      </c>
      <c r="K275" t="s">
        <v>50</v>
      </c>
      <c r="L275">
        <v>23</v>
      </c>
      <c r="M275">
        <v>10.83</v>
      </c>
      <c r="N275" t="s">
        <v>20</v>
      </c>
    </row>
    <row r="276" spans="1:14" x14ac:dyDescent="0.25">
      <c r="A276">
        <v>275</v>
      </c>
      <c r="B276" t="s">
        <v>14</v>
      </c>
      <c r="C276">
        <v>2005</v>
      </c>
      <c r="D276">
        <v>4.2</v>
      </c>
      <c r="E276" t="s">
        <v>27</v>
      </c>
      <c r="F276">
        <v>228978</v>
      </c>
      <c r="G276" t="s">
        <v>30</v>
      </c>
      <c r="H276">
        <v>54262.42</v>
      </c>
      <c r="I276" t="s">
        <v>58</v>
      </c>
      <c r="J276" t="s">
        <v>18</v>
      </c>
      <c r="K276" t="s">
        <v>26</v>
      </c>
      <c r="L276">
        <v>21</v>
      </c>
      <c r="M276">
        <v>0.24</v>
      </c>
      <c r="N276" t="s">
        <v>20</v>
      </c>
    </row>
    <row r="277" spans="1:14" x14ac:dyDescent="0.25">
      <c r="A277">
        <v>276</v>
      </c>
      <c r="B277" t="s">
        <v>21</v>
      </c>
      <c r="C277">
        <v>2009</v>
      </c>
      <c r="D277">
        <v>1.8</v>
      </c>
      <c r="E277" t="s">
        <v>27</v>
      </c>
      <c r="F277">
        <v>24918</v>
      </c>
      <c r="G277" t="s">
        <v>22</v>
      </c>
      <c r="H277">
        <v>62365.5</v>
      </c>
      <c r="I277" t="s">
        <v>23</v>
      </c>
      <c r="J277" t="s">
        <v>41</v>
      </c>
      <c r="K277" t="s">
        <v>50</v>
      </c>
      <c r="L277">
        <v>17</v>
      </c>
      <c r="M277">
        <v>2.5</v>
      </c>
      <c r="N277" t="s">
        <v>20</v>
      </c>
    </row>
    <row r="278" spans="1:14" x14ac:dyDescent="0.25">
      <c r="A278">
        <v>277</v>
      </c>
      <c r="B278" t="s">
        <v>14</v>
      </c>
      <c r="C278">
        <v>2006</v>
      </c>
      <c r="D278">
        <v>3.4</v>
      </c>
      <c r="E278" t="s">
        <v>27</v>
      </c>
      <c r="F278">
        <v>297641</v>
      </c>
      <c r="G278" t="s">
        <v>22</v>
      </c>
      <c r="H278">
        <v>46551.41</v>
      </c>
      <c r="I278" t="s">
        <v>17</v>
      </c>
      <c r="J278" t="s">
        <v>18</v>
      </c>
      <c r="K278" t="s">
        <v>26</v>
      </c>
      <c r="L278">
        <v>20</v>
      </c>
      <c r="M278">
        <v>0.16</v>
      </c>
      <c r="N278" t="s">
        <v>20</v>
      </c>
    </row>
    <row r="279" spans="1:14" x14ac:dyDescent="0.25">
      <c r="A279">
        <v>278</v>
      </c>
      <c r="B279" t="s">
        <v>29</v>
      </c>
      <c r="C279">
        <v>2012</v>
      </c>
      <c r="D279">
        <v>4.5999999999999996</v>
      </c>
      <c r="E279" t="s">
        <v>15</v>
      </c>
      <c r="F279">
        <v>192081</v>
      </c>
      <c r="G279" t="s">
        <v>16</v>
      </c>
      <c r="H279">
        <v>83194.080000000002</v>
      </c>
      <c r="I279" t="s">
        <v>40</v>
      </c>
      <c r="J279" t="s">
        <v>41</v>
      </c>
      <c r="K279" t="s">
        <v>26</v>
      </c>
      <c r="L279">
        <v>14</v>
      </c>
      <c r="M279">
        <v>0.43</v>
      </c>
      <c r="N279" t="s">
        <v>33</v>
      </c>
    </row>
    <row r="280" spans="1:14" x14ac:dyDescent="0.25">
      <c r="A280">
        <v>279</v>
      </c>
      <c r="B280" t="s">
        <v>29</v>
      </c>
      <c r="C280">
        <v>2013</v>
      </c>
      <c r="D280">
        <v>2.4</v>
      </c>
      <c r="E280" t="s">
        <v>15</v>
      </c>
      <c r="F280">
        <v>274073</v>
      </c>
      <c r="G280" t="s">
        <v>16</v>
      </c>
      <c r="H280">
        <v>92763.58</v>
      </c>
      <c r="I280" t="s">
        <v>38</v>
      </c>
      <c r="J280" t="s">
        <v>41</v>
      </c>
      <c r="K280" t="s">
        <v>26</v>
      </c>
      <c r="L280">
        <v>13</v>
      </c>
      <c r="M280">
        <v>0.34</v>
      </c>
      <c r="N280" t="s">
        <v>33</v>
      </c>
    </row>
    <row r="281" spans="1:14" x14ac:dyDescent="0.25">
      <c r="A281">
        <v>280</v>
      </c>
      <c r="B281" t="s">
        <v>52</v>
      </c>
      <c r="C281">
        <v>2003</v>
      </c>
      <c r="D281">
        <v>2</v>
      </c>
      <c r="E281" t="s">
        <v>15</v>
      </c>
      <c r="F281">
        <v>102201</v>
      </c>
      <c r="G281" t="s">
        <v>22</v>
      </c>
      <c r="H281">
        <v>65718.75</v>
      </c>
      <c r="I281" t="s">
        <v>56</v>
      </c>
      <c r="J281" t="s">
        <v>46</v>
      </c>
      <c r="K281" t="s">
        <v>19</v>
      </c>
      <c r="L281">
        <v>23</v>
      </c>
      <c r="M281">
        <v>0.64</v>
      </c>
      <c r="N281" t="s">
        <v>33</v>
      </c>
    </row>
    <row r="282" spans="1:14" x14ac:dyDescent="0.25">
      <c r="A282">
        <v>281</v>
      </c>
      <c r="B282" t="s">
        <v>14</v>
      </c>
      <c r="C282">
        <v>2007</v>
      </c>
      <c r="D282">
        <v>2.6</v>
      </c>
      <c r="E282" t="s">
        <v>15</v>
      </c>
      <c r="F282">
        <v>210171</v>
      </c>
      <c r="G282" t="s">
        <v>22</v>
      </c>
      <c r="H282">
        <v>82974.33</v>
      </c>
      <c r="I282" t="s">
        <v>17</v>
      </c>
      <c r="J282" t="s">
        <v>18</v>
      </c>
      <c r="K282" t="s">
        <v>26</v>
      </c>
      <c r="L282">
        <v>19</v>
      </c>
      <c r="M282">
        <v>0.39</v>
      </c>
      <c r="N282" t="s">
        <v>20</v>
      </c>
    </row>
    <row r="283" spans="1:14" x14ac:dyDescent="0.25">
      <c r="A283">
        <v>282</v>
      </c>
      <c r="B283" t="s">
        <v>43</v>
      </c>
      <c r="C283">
        <v>2004</v>
      </c>
      <c r="D283">
        <v>2.2000000000000002</v>
      </c>
      <c r="E283" t="s">
        <v>27</v>
      </c>
      <c r="F283">
        <v>290690</v>
      </c>
      <c r="G283" t="s">
        <v>16</v>
      </c>
      <c r="H283">
        <v>10605.32</v>
      </c>
      <c r="I283" t="s">
        <v>49</v>
      </c>
      <c r="J283" t="s">
        <v>32</v>
      </c>
      <c r="K283" t="s">
        <v>26</v>
      </c>
      <c r="L283">
        <v>22</v>
      </c>
      <c r="M283">
        <v>0.04</v>
      </c>
      <c r="N283" t="s">
        <v>20</v>
      </c>
    </row>
    <row r="284" spans="1:14" x14ac:dyDescent="0.25">
      <c r="A284">
        <v>283</v>
      </c>
      <c r="B284" t="s">
        <v>24</v>
      </c>
      <c r="C284">
        <v>2000</v>
      </c>
      <c r="D284">
        <v>2.1</v>
      </c>
      <c r="E284" t="s">
        <v>15</v>
      </c>
      <c r="F284">
        <v>209496</v>
      </c>
      <c r="G284" t="s">
        <v>30</v>
      </c>
      <c r="H284">
        <v>91080.62</v>
      </c>
      <c r="I284" t="s">
        <v>34</v>
      </c>
      <c r="J284" t="s">
        <v>41</v>
      </c>
      <c r="K284" t="s">
        <v>26</v>
      </c>
      <c r="L284">
        <v>26</v>
      </c>
      <c r="M284">
        <v>0.43</v>
      </c>
      <c r="N284" t="s">
        <v>20</v>
      </c>
    </row>
    <row r="285" spans="1:14" x14ac:dyDescent="0.25">
      <c r="A285">
        <v>284</v>
      </c>
      <c r="B285" t="s">
        <v>21</v>
      </c>
      <c r="C285">
        <v>2003</v>
      </c>
      <c r="D285">
        <v>3.1</v>
      </c>
      <c r="E285" t="s">
        <v>15</v>
      </c>
      <c r="F285">
        <v>168410</v>
      </c>
      <c r="G285" t="s">
        <v>30</v>
      </c>
      <c r="H285">
        <v>22947.88</v>
      </c>
      <c r="I285" t="s">
        <v>23</v>
      </c>
      <c r="J285" t="s">
        <v>18</v>
      </c>
      <c r="K285" t="s">
        <v>26</v>
      </c>
      <c r="L285">
        <v>23</v>
      </c>
      <c r="M285">
        <v>0.14000000000000001</v>
      </c>
      <c r="N285" t="s">
        <v>20</v>
      </c>
    </row>
    <row r="286" spans="1:14" x14ac:dyDescent="0.25">
      <c r="A286">
        <v>285</v>
      </c>
      <c r="B286" t="s">
        <v>36</v>
      </c>
      <c r="C286">
        <v>2002</v>
      </c>
      <c r="D286">
        <v>5.5</v>
      </c>
      <c r="E286" t="s">
        <v>15</v>
      </c>
      <c r="F286">
        <v>82494</v>
      </c>
      <c r="G286" t="s">
        <v>30</v>
      </c>
      <c r="H286">
        <v>29369.439999999999</v>
      </c>
      <c r="I286" t="s">
        <v>51</v>
      </c>
      <c r="J286" t="s">
        <v>18</v>
      </c>
      <c r="K286" t="s">
        <v>19</v>
      </c>
      <c r="L286">
        <v>24</v>
      </c>
      <c r="M286">
        <v>0.36</v>
      </c>
      <c r="N286" t="s">
        <v>33</v>
      </c>
    </row>
    <row r="287" spans="1:14" x14ac:dyDescent="0.25">
      <c r="A287">
        <v>286</v>
      </c>
      <c r="B287" t="s">
        <v>43</v>
      </c>
      <c r="C287">
        <v>2008</v>
      </c>
      <c r="D287">
        <v>3.5</v>
      </c>
      <c r="E287" t="s">
        <v>27</v>
      </c>
      <c r="F287">
        <v>215859</v>
      </c>
      <c r="G287" t="s">
        <v>22</v>
      </c>
      <c r="H287">
        <v>10066.36</v>
      </c>
      <c r="I287" t="s">
        <v>44</v>
      </c>
      <c r="J287" t="s">
        <v>46</v>
      </c>
      <c r="K287" t="s">
        <v>26</v>
      </c>
      <c r="L287">
        <v>18</v>
      </c>
      <c r="M287">
        <v>0.05</v>
      </c>
      <c r="N287" t="s">
        <v>20</v>
      </c>
    </row>
    <row r="288" spans="1:14" x14ac:dyDescent="0.25">
      <c r="A288">
        <v>287</v>
      </c>
      <c r="B288" t="s">
        <v>43</v>
      </c>
      <c r="C288">
        <v>2007</v>
      </c>
      <c r="D288">
        <v>1.9</v>
      </c>
      <c r="E288" t="s">
        <v>15</v>
      </c>
      <c r="F288">
        <v>233853</v>
      </c>
      <c r="G288" t="s">
        <v>16</v>
      </c>
      <c r="H288">
        <v>96713.01</v>
      </c>
      <c r="I288" t="s">
        <v>44</v>
      </c>
      <c r="J288" t="s">
        <v>46</v>
      </c>
      <c r="K288" t="s">
        <v>26</v>
      </c>
      <c r="L288">
        <v>19</v>
      </c>
      <c r="M288">
        <v>0.41</v>
      </c>
      <c r="N288" t="s">
        <v>20</v>
      </c>
    </row>
    <row r="289" spans="1:14" x14ac:dyDescent="0.25">
      <c r="A289">
        <v>288</v>
      </c>
      <c r="B289" t="s">
        <v>29</v>
      </c>
      <c r="C289">
        <v>2000</v>
      </c>
      <c r="D289">
        <v>1.4</v>
      </c>
      <c r="E289" t="s">
        <v>27</v>
      </c>
      <c r="F289">
        <v>128279</v>
      </c>
      <c r="G289" t="s">
        <v>30</v>
      </c>
      <c r="H289">
        <v>85941.03</v>
      </c>
      <c r="I289" t="s">
        <v>40</v>
      </c>
      <c r="J289" t="s">
        <v>46</v>
      </c>
      <c r="K289" t="s">
        <v>19</v>
      </c>
      <c r="L289">
        <v>26</v>
      </c>
      <c r="M289">
        <v>0.67</v>
      </c>
      <c r="N289" t="s">
        <v>33</v>
      </c>
    </row>
    <row r="290" spans="1:14" x14ac:dyDescent="0.25">
      <c r="A290">
        <v>289</v>
      </c>
      <c r="B290" t="s">
        <v>14</v>
      </c>
      <c r="C290">
        <v>2005</v>
      </c>
      <c r="D290">
        <v>4.5</v>
      </c>
      <c r="E290" t="s">
        <v>15</v>
      </c>
      <c r="F290">
        <v>81991</v>
      </c>
      <c r="G290" t="s">
        <v>16</v>
      </c>
      <c r="H290">
        <v>91752.54</v>
      </c>
      <c r="I290" t="s">
        <v>58</v>
      </c>
      <c r="J290" t="s">
        <v>18</v>
      </c>
      <c r="K290" t="s">
        <v>19</v>
      </c>
      <c r="L290">
        <v>21</v>
      </c>
      <c r="M290">
        <v>1.1200000000000001</v>
      </c>
      <c r="N290" t="s">
        <v>20</v>
      </c>
    </row>
    <row r="291" spans="1:14" x14ac:dyDescent="0.25">
      <c r="A291">
        <v>290</v>
      </c>
      <c r="B291" t="s">
        <v>52</v>
      </c>
      <c r="C291">
        <v>2008</v>
      </c>
      <c r="D291">
        <v>2.9</v>
      </c>
      <c r="E291" t="s">
        <v>27</v>
      </c>
      <c r="F291">
        <v>290157</v>
      </c>
      <c r="G291" t="s">
        <v>16</v>
      </c>
      <c r="H291">
        <v>85485.54</v>
      </c>
      <c r="I291" t="s">
        <v>53</v>
      </c>
      <c r="J291" t="s">
        <v>41</v>
      </c>
      <c r="K291" t="s">
        <v>26</v>
      </c>
      <c r="L291">
        <v>18</v>
      </c>
      <c r="M291">
        <v>0.28999999999999998</v>
      </c>
      <c r="N291" t="s">
        <v>33</v>
      </c>
    </row>
    <row r="292" spans="1:14" x14ac:dyDescent="0.25">
      <c r="A292">
        <v>291</v>
      </c>
      <c r="B292" t="s">
        <v>52</v>
      </c>
      <c r="C292">
        <v>2006</v>
      </c>
      <c r="D292">
        <v>5.0999999999999996</v>
      </c>
      <c r="E292" t="s">
        <v>15</v>
      </c>
      <c r="F292">
        <v>52132</v>
      </c>
      <c r="G292" t="s">
        <v>22</v>
      </c>
      <c r="H292">
        <v>50555.4</v>
      </c>
      <c r="I292" t="s">
        <v>53</v>
      </c>
      <c r="J292" t="s">
        <v>46</v>
      </c>
      <c r="K292" t="s">
        <v>19</v>
      </c>
      <c r="L292">
        <v>20</v>
      </c>
      <c r="M292">
        <v>0.97</v>
      </c>
      <c r="N292" t="s">
        <v>33</v>
      </c>
    </row>
    <row r="293" spans="1:14" x14ac:dyDescent="0.25">
      <c r="A293">
        <v>292</v>
      </c>
      <c r="B293" t="s">
        <v>21</v>
      </c>
      <c r="C293">
        <v>2003</v>
      </c>
      <c r="D293">
        <v>4.3</v>
      </c>
      <c r="E293" t="s">
        <v>27</v>
      </c>
      <c r="F293">
        <v>255069</v>
      </c>
      <c r="G293" t="s">
        <v>30</v>
      </c>
      <c r="H293">
        <v>92787.78</v>
      </c>
      <c r="I293" t="s">
        <v>60</v>
      </c>
      <c r="J293" t="s">
        <v>46</v>
      </c>
      <c r="K293" t="s">
        <v>26</v>
      </c>
      <c r="L293">
        <v>23</v>
      </c>
      <c r="M293">
        <v>0.36</v>
      </c>
      <c r="N293" t="s">
        <v>20</v>
      </c>
    </row>
    <row r="294" spans="1:14" x14ac:dyDescent="0.25">
      <c r="A294">
        <v>293</v>
      </c>
      <c r="B294" t="s">
        <v>29</v>
      </c>
      <c r="C294">
        <v>2012</v>
      </c>
      <c r="D294">
        <v>5</v>
      </c>
      <c r="E294" t="s">
        <v>15</v>
      </c>
      <c r="F294">
        <v>159156</v>
      </c>
      <c r="G294" t="s">
        <v>16</v>
      </c>
      <c r="H294">
        <v>97099.92</v>
      </c>
      <c r="I294" t="s">
        <v>38</v>
      </c>
      <c r="J294" t="s">
        <v>46</v>
      </c>
      <c r="K294" t="s">
        <v>26</v>
      </c>
      <c r="L294">
        <v>14</v>
      </c>
      <c r="M294">
        <v>0.61</v>
      </c>
      <c r="N294" t="s">
        <v>33</v>
      </c>
    </row>
    <row r="295" spans="1:14" x14ac:dyDescent="0.25">
      <c r="A295">
        <v>294</v>
      </c>
      <c r="B295" t="s">
        <v>43</v>
      </c>
      <c r="C295">
        <v>2016</v>
      </c>
      <c r="D295">
        <v>2.4</v>
      </c>
      <c r="E295" t="s">
        <v>27</v>
      </c>
      <c r="F295">
        <v>152215</v>
      </c>
      <c r="G295" t="s">
        <v>22</v>
      </c>
      <c r="H295">
        <v>52743.86</v>
      </c>
      <c r="I295" t="s">
        <v>49</v>
      </c>
      <c r="J295" t="s">
        <v>41</v>
      </c>
      <c r="K295" t="s">
        <v>26</v>
      </c>
      <c r="L295">
        <v>10</v>
      </c>
      <c r="M295">
        <v>0.35</v>
      </c>
      <c r="N295" t="s">
        <v>20</v>
      </c>
    </row>
    <row r="296" spans="1:14" x14ac:dyDescent="0.25">
      <c r="A296">
        <v>295</v>
      </c>
      <c r="B296" t="s">
        <v>24</v>
      </c>
      <c r="C296">
        <v>2001</v>
      </c>
      <c r="D296">
        <v>4.5</v>
      </c>
      <c r="E296" t="s">
        <v>27</v>
      </c>
      <c r="F296">
        <v>91627</v>
      </c>
      <c r="G296" t="s">
        <v>22</v>
      </c>
      <c r="H296">
        <v>21684.35</v>
      </c>
      <c r="I296" t="s">
        <v>25</v>
      </c>
      <c r="J296" t="s">
        <v>41</v>
      </c>
      <c r="K296" t="s">
        <v>19</v>
      </c>
      <c r="L296">
        <v>25</v>
      </c>
      <c r="M296">
        <v>0.24</v>
      </c>
      <c r="N296" t="s">
        <v>20</v>
      </c>
    </row>
    <row r="297" spans="1:14" x14ac:dyDescent="0.25">
      <c r="A297">
        <v>296</v>
      </c>
      <c r="B297" t="s">
        <v>29</v>
      </c>
      <c r="C297">
        <v>2004</v>
      </c>
      <c r="D297">
        <v>2.2999999999999998</v>
      </c>
      <c r="E297" t="s">
        <v>15</v>
      </c>
      <c r="F297">
        <v>122772</v>
      </c>
      <c r="G297" t="s">
        <v>22</v>
      </c>
      <c r="H297">
        <v>67569.14</v>
      </c>
      <c r="I297" t="s">
        <v>62</v>
      </c>
      <c r="J297" t="s">
        <v>46</v>
      </c>
      <c r="K297" t="s">
        <v>19</v>
      </c>
      <c r="L297">
        <v>22</v>
      </c>
      <c r="M297">
        <v>0.55000000000000004</v>
      </c>
      <c r="N297" t="s">
        <v>33</v>
      </c>
    </row>
    <row r="298" spans="1:14" x14ac:dyDescent="0.25">
      <c r="A298">
        <v>297</v>
      </c>
      <c r="B298" t="s">
        <v>21</v>
      </c>
      <c r="C298">
        <v>2011</v>
      </c>
      <c r="D298">
        <v>5.7</v>
      </c>
      <c r="E298" t="s">
        <v>27</v>
      </c>
      <c r="F298">
        <v>229415</v>
      </c>
      <c r="G298" t="s">
        <v>30</v>
      </c>
      <c r="H298">
        <v>97666.64</v>
      </c>
      <c r="I298" t="s">
        <v>23</v>
      </c>
      <c r="J298" t="s">
        <v>46</v>
      </c>
      <c r="K298" t="s">
        <v>26</v>
      </c>
      <c r="L298">
        <v>15</v>
      </c>
      <c r="M298">
        <v>0.43</v>
      </c>
      <c r="N298" t="s">
        <v>20</v>
      </c>
    </row>
    <row r="299" spans="1:14" x14ac:dyDescent="0.25">
      <c r="A299">
        <v>298</v>
      </c>
      <c r="B299" t="s">
        <v>21</v>
      </c>
      <c r="C299">
        <v>2020</v>
      </c>
      <c r="D299">
        <v>4.2</v>
      </c>
      <c r="E299" t="s">
        <v>27</v>
      </c>
      <c r="F299">
        <v>141294</v>
      </c>
      <c r="G299" t="s">
        <v>30</v>
      </c>
      <c r="H299">
        <v>87853.95</v>
      </c>
      <c r="I299" t="s">
        <v>47</v>
      </c>
      <c r="J299" t="s">
        <v>18</v>
      </c>
      <c r="K299" t="s">
        <v>19</v>
      </c>
      <c r="L299">
        <v>6</v>
      </c>
      <c r="M299">
        <v>0.62</v>
      </c>
      <c r="N299" t="s">
        <v>20</v>
      </c>
    </row>
    <row r="300" spans="1:14" x14ac:dyDescent="0.25">
      <c r="A300">
        <v>299</v>
      </c>
      <c r="B300" t="s">
        <v>29</v>
      </c>
      <c r="C300">
        <v>2007</v>
      </c>
      <c r="D300">
        <v>2.6</v>
      </c>
      <c r="E300" t="s">
        <v>15</v>
      </c>
      <c r="F300">
        <v>259013</v>
      </c>
      <c r="G300" t="s">
        <v>22</v>
      </c>
      <c r="H300">
        <v>86872.44</v>
      </c>
      <c r="I300" t="s">
        <v>62</v>
      </c>
      <c r="J300" t="s">
        <v>46</v>
      </c>
      <c r="K300" t="s">
        <v>26</v>
      </c>
      <c r="L300">
        <v>19</v>
      </c>
      <c r="M300">
        <v>0.34</v>
      </c>
      <c r="N300" t="s">
        <v>33</v>
      </c>
    </row>
    <row r="301" spans="1:14" x14ac:dyDescent="0.25">
      <c r="A301">
        <v>300</v>
      </c>
      <c r="B301" t="s">
        <v>21</v>
      </c>
      <c r="C301">
        <v>2005</v>
      </c>
      <c r="D301">
        <v>2.2999999999999998</v>
      </c>
      <c r="E301" t="s">
        <v>15</v>
      </c>
      <c r="F301">
        <v>16116</v>
      </c>
      <c r="G301" t="s">
        <v>30</v>
      </c>
      <c r="H301">
        <v>93712.71</v>
      </c>
      <c r="I301" t="s">
        <v>23</v>
      </c>
      <c r="J301" t="s">
        <v>32</v>
      </c>
      <c r="K301" t="s">
        <v>50</v>
      </c>
      <c r="L301">
        <v>21</v>
      </c>
      <c r="M301">
        <v>5.81</v>
      </c>
      <c r="N301" t="s">
        <v>20</v>
      </c>
    </row>
    <row r="302" spans="1:14" x14ac:dyDescent="0.25">
      <c r="A302">
        <v>301</v>
      </c>
      <c r="B302" t="s">
        <v>29</v>
      </c>
      <c r="C302">
        <v>2007</v>
      </c>
      <c r="D302">
        <v>2</v>
      </c>
      <c r="E302" t="s">
        <v>27</v>
      </c>
      <c r="F302">
        <v>182124</v>
      </c>
      <c r="G302" t="s">
        <v>30</v>
      </c>
      <c r="H302">
        <v>89925.46</v>
      </c>
      <c r="I302" t="s">
        <v>31</v>
      </c>
      <c r="J302" t="s">
        <v>32</v>
      </c>
      <c r="K302" t="s">
        <v>26</v>
      </c>
      <c r="L302">
        <v>19</v>
      </c>
      <c r="M302">
        <v>0.49</v>
      </c>
      <c r="N302" t="s">
        <v>33</v>
      </c>
    </row>
    <row r="303" spans="1:14" x14ac:dyDescent="0.25">
      <c r="A303">
        <v>302</v>
      </c>
      <c r="B303" t="s">
        <v>36</v>
      </c>
      <c r="C303">
        <v>2017</v>
      </c>
      <c r="D303">
        <v>4.5</v>
      </c>
      <c r="E303" t="s">
        <v>15</v>
      </c>
      <c r="F303">
        <v>51369</v>
      </c>
      <c r="G303" t="s">
        <v>16</v>
      </c>
      <c r="H303">
        <v>78746.759999999995</v>
      </c>
      <c r="I303" t="s">
        <v>54</v>
      </c>
      <c r="J303" t="s">
        <v>46</v>
      </c>
      <c r="K303" t="s">
        <v>19</v>
      </c>
      <c r="L303">
        <v>9</v>
      </c>
      <c r="M303">
        <v>1.53</v>
      </c>
      <c r="N303" t="s">
        <v>33</v>
      </c>
    </row>
    <row r="304" spans="1:14" x14ac:dyDescent="0.25">
      <c r="A304">
        <v>303</v>
      </c>
      <c r="B304" t="s">
        <v>29</v>
      </c>
      <c r="C304">
        <v>2002</v>
      </c>
      <c r="D304">
        <v>2.1</v>
      </c>
      <c r="E304" t="s">
        <v>15</v>
      </c>
      <c r="F304">
        <v>179889</v>
      </c>
      <c r="G304" t="s">
        <v>22</v>
      </c>
      <c r="H304">
        <v>73235.92</v>
      </c>
      <c r="I304" t="s">
        <v>38</v>
      </c>
      <c r="J304" t="s">
        <v>41</v>
      </c>
      <c r="K304" t="s">
        <v>26</v>
      </c>
      <c r="L304">
        <v>24</v>
      </c>
      <c r="M304">
        <v>0.41</v>
      </c>
      <c r="N304" t="s">
        <v>33</v>
      </c>
    </row>
    <row r="305" spans="1:14" x14ac:dyDescent="0.25">
      <c r="A305">
        <v>304</v>
      </c>
      <c r="B305" t="s">
        <v>14</v>
      </c>
      <c r="C305">
        <v>2021</v>
      </c>
      <c r="D305">
        <v>4</v>
      </c>
      <c r="E305" t="s">
        <v>15</v>
      </c>
      <c r="F305">
        <v>233982</v>
      </c>
      <c r="G305" t="s">
        <v>22</v>
      </c>
      <c r="H305">
        <v>30152.880000000001</v>
      </c>
      <c r="I305" t="s">
        <v>39</v>
      </c>
      <c r="J305" t="s">
        <v>18</v>
      </c>
      <c r="K305" t="s">
        <v>26</v>
      </c>
      <c r="L305">
        <v>5</v>
      </c>
      <c r="M305">
        <v>0.13</v>
      </c>
      <c r="N305" t="s">
        <v>20</v>
      </c>
    </row>
    <row r="306" spans="1:14" x14ac:dyDescent="0.25">
      <c r="A306">
        <v>305</v>
      </c>
      <c r="B306" t="s">
        <v>29</v>
      </c>
      <c r="C306">
        <v>2011</v>
      </c>
      <c r="D306">
        <v>2.2999999999999998</v>
      </c>
      <c r="E306" t="s">
        <v>27</v>
      </c>
      <c r="F306">
        <v>214275</v>
      </c>
      <c r="G306" t="s">
        <v>30</v>
      </c>
      <c r="H306">
        <v>64027.3</v>
      </c>
      <c r="I306" t="s">
        <v>38</v>
      </c>
      <c r="J306" t="s">
        <v>41</v>
      </c>
      <c r="K306" t="s">
        <v>26</v>
      </c>
      <c r="L306">
        <v>15</v>
      </c>
      <c r="M306">
        <v>0.3</v>
      </c>
      <c r="N306" t="s">
        <v>33</v>
      </c>
    </row>
    <row r="307" spans="1:14" x14ac:dyDescent="0.25">
      <c r="A307">
        <v>306</v>
      </c>
      <c r="B307" t="s">
        <v>21</v>
      </c>
      <c r="C307">
        <v>2002</v>
      </c>
      <c r="D307">
        <v>4.3</v>
      </c>
      <c r="E307" t="s">
        <v>27</v>
      </c>
      <c r="F307">
        <v>205383</v>
      </c>
      <c r="G307" t="s">
        <v>22</v>
      </c>
      <c r="H307">
        <v>54541.42</v>
      </c>
      <c r="I307" t="s">
        <v>42</v>
      </c>
      <c r="J307" t="s">
        <v>46</v>
      </c>
      <c r="K307" t="s">
        <v>26</v>
      </c>
      <c r="L307">
        <v>24</v>
      </c>
      <c r="M307">
        <v>0.27</v>
      </c>
      <c r="N307" t="s">
        <v>20</v>
      </c>
    </row>
    <row r="308" spans="1:14" x14ac:dyDescent="0.25">
      <c r="A308">
        <v>307</v>
      </c>
      <c r="B308" t="s">
        <v>14</v>
      </c>
      <c r="C308">
        <v>2021</v>
      </c>
      <c r="D308">
        <v>5.0999999999999996</v>
      </c>
      <c r="E308" t="s">
        <v>27</v>
      </c>
      <c r="F308">
        <v>291799</v>
      </c>
      <c r="G308" t="s">
        <v>22</v>
      </c>
      <c r="H308">
        <v>86884.69</v>
      </c>
      <c r="I308" t="s">
        <v>28</v>
      </c>
      <c r="J308" t="s">
        <v>18</v>
      </c>
      <c r="K308" t="s">
        <v>26</v>
      </c>
      <c r="L308">
        <v>5</v>
      </c>
      <c r="M308">
        <v>0.3</v>
      </c>
      <c r="N308" t="s">
        <v>20</v>
      </c>
    </row>
    <row r="309" spans="1:14" x14ac:dyDescent="0.25">
      <c r="A309">
        <v>308</v>
      </c>
      <c r="B309" t="s">
        <v>21</v>
      </c>
      <c r="C309">
        <v>2005</v>
      </c>
      <c r="D309">
        <v>4.9000000000000004</v>
      </c>
      <c r="E309" t="s">
        <v>27</v>
      </c>
      <c r="F309">
        <v>188874</v>
      </c>
      <c r="G309" t="s">
        <v>22</v>
      </c>
      <c r="H309">
        <v>51712.69</v>
      </c>
      <c r="I309" t="s">
        <v>47</v>
      </c>
      <c r="J309" t="s">
        <v>18</v>
      </c>
      <c r="K309" t="s">
        <v>26</v>
      </c>
      <c r="L309">
        <v>21</v>
      </c>
      <c r="M309">
        <v>0.27</v>
      </c>
      <c r="N309" t="s">
        <v>20</v>
      </c>
    </row>
    <row r="310" spans="1:14" x14ac:dyDescent="0.25">
      <c r="A310">
        <v>309</v>
      </c>
      <c r="B310" t="s">
        <v>52</v>
      </c>
      <c r="C310">
        <v>2001</v>
      </c>
      <c r="D310">
        <v>4.8</v>
      </c>
      <c r="E310" t="s">
        <v>27</v>
      </c>
      <c r="F310">
        <v>47632</v>
      </c>
      <c r="G310" t="s">
        <v>30</v>
      </c>
      <c r="H310">
        <v>17135.560000000001</v>
      </c>
      <c r="I310" t="s">
        <v>59</v>
      </c>
      <c r="J310" t="s">
        <v>41</v>
      </c>
      <c r="K310" t="s">
        <v>50</v>
      </c>
      <c r="L310">
        <v>25</v>
      </c>
      <c r="M310">
        <v>0.36</v>
      </c>
      <c r="N310" t="s">
        <v>33</v>
      </c>
    </row>
    <row r="311" spans="1:14" x14ac:dyDescent="0.25">
      <c r="A311">
        <v>310</v>
      </c>
      <c r="B311" t="s">
        <v>52</v>
      </c>
      <c r="C311">
        <v>2022</v>
      </c>
      <c r="D311">
        <v>1.9</v>
      </c>
      <c r="E311" t="s">
        <v>27</v>
      </c>
      <c r="F311">
        <v>211284</v>
      </c>
      <c r="G311" t="s">
        <v>30</v>
      </c>
      <c r="H311">
        <v>5472.39</v>
      </c>
      <c r="I311" t="s">
        <v>59</v>
      </c>
      <c r="J311" t="s">
        <v>41</v>
      </c>
      <c r="K311" t="s">
        <v>26</v>
      </c>
      <c r="L311">
        <v>4</v>
      </c>
      <c r="M311">
        <v>0.03</v>
      </c>
      <c r="N311" t="s">
        <v>33</v>
      </c>
    </row>
    <row r="312" spans="1:14" x14ac:dyDescent="0.25">
      <c r="A312">
        <v>311</v>
      </c>
      <c r="B312" t="s">
        <v>14</v>
      </c>
      <c r="C312">
        <v>2011</v>
      </c>
      <c r="D312">
        <v>1.4</v>
      </c>
      <c r="E312" t="s">
        <v>27</v>
      </c>
      <c r="F312">
        <v>161848</v>
      </c>
      <c r="G312" t="s">
        <v>30</v>
      </c>
      <c r="H312">
        <v>69397.95</v>
      </c>
      <c r="I312" t="s">
        <v>58</v>
      </c>
      <c r="J312" t="s">
        <v>18</v>
      </c>
      <c r="K312" t="s">
        <v>26</v>
      </c>
      <c r="L312">
        <v>15</v>
      </c>
      <c r="M312">
        <v>0.43</v>
      </c>
      <c r="N312" t="s">
        <v>20</v>
      </c>
    </row>
    <row r="313" spans="1:14" x14ac:dyDescent="0.25">
      <c r="A313">
        <v>312</v>
      </c>
      <c r="B313" t="s">
        <v>36</v>
      </c>
      <c r="C313">
        <v>2001</v>
      </c>
      <c r="D313">
        <v>4.5</v>
      </c>
      <c r="E313" t="s">
        <v>15</v>
      </c>
      <c r="F313">
        <v>191082</v>
      </c>
      <c r="G313" t="s">
        <v>16</v>
      </c>
      <c r="H313">
        <v>57241.3</v>
      </c>
      <c r="I313" t="s">
        <v>37</v>
      </c>
      <c r="J313" t="s">
        <v>18</v>
      </c>
      <c r="K313" t="s">
        <v>26</v>
      </c>
      <c r="L313">
        <v>25</v>
      </c>
      <c r="M313">
        <v>0.3</v>
      </c>
      <c r="N313" t="s">
        <v>33</v>
      </c>
    </row>
    <row r="314" spans="1:14" x14ac:dyDescent="0.25">
      <c r="A314">
        <v>313</v>
      </c>
      <c r="B314" t="s">
        <v>52</v>
      </c>
      <c r="C314">
        <v>2005</v>
      </c>
      <c r="D314">
        <v>2.8</v>
      </c>
      <c r="E314" t="s">
        <v>27</v>
      </c>
      <c r="F314">
        <v>213807</v>
      </c>
      <c r="G314" t="s">
        <v>22</v>
      </c>
      <c r="H314">
        <v>36441.480000000003</v>
      </c>
      <c r="I314" t="s">
        <v>61</v>
      </c>
      <c r="J314" t="s">
        <v>32</v>
      </c>
      <c r="K314" t="s">
        <v>26</v>
      </c>
      <c r="L314">
        <v>21</v>
      </c>
      <c r="M314">
        <v>0.17</v>
      </c>
      <c r="N314" t="s">
        <v>33</v>
      </c>
    </row>
    <row r="315" spans="1:14" x14ac:dyDescent="0.25">
      <c r="A315">
        <v>314</v>
      </c>
      <c r="B315" t="s">
        <v>29</v>
      </c>
      <c r="C315">
        <v>2016</v>
      </c>
      <c r="D315">
        <v>3.2</v>
      </c>
      <c r="E315" t="s">
        <v>27</v>
      </c>
      <c r="F315">
        <v>196523</v>
      </c>
      <c r="G315" t="s">
        <v>16</v>
      </c>
      <c r="H315">
        <v>21052.35</v>
      </c>
      <c r="I315" t="s">
        <v>62</v>
      </c>
      <c r="J315" t="s">
        <v>46</v>
      </c>
      <c r="K315" t="s">
        <v>26</v>
      </c>
      <c r="L315">
        <v>10</v>
      </c>
      <c r="M315">
        <v>0.11</v>
      </c>
      <c r="N315" t="s">
        <v>33</v>
      </c>
    </row>
    <row r="316" spans="1:14" x14ac:dyDescent="0.25">
      <c r="A316">
        <v>315</v>
      </c>
      <c r="B316" t="s">
        <v>21</v>
      </c>
      <c r="C316">
        <v>2002</v>
      </c>
      <c r="D316">
        <v>1.2</v>
      </c>
      <c r="E316" t="s">
        <v>15</v>
      </c>
      <c r="F316">
        <v>179884</v>
      </c>
      <c r="G316" t="s">
        <v>30</v>
      </c>
      <c r="H316">
        <v>49337.96</v>
      </c>
      <c r="I316" t="s">
        <v>23</v>
      </c>
      <c r="J316" t="s">
        <v>18</v>
      </c>
      <c r="K316" t="s">
        <v>26</v>
      </c>
      <c r="L316">
        <v>24</v>
      </c>
      <c r="M316">
        <v>0.27</v>
      </c>
      <c r="N316" t="s">
        <v>20</v>
      </c>
    </row>
    <row r="317" spans="1:14" x14ac:dyDescent="0.25">
      <c r="A317">
        <v>316</v>
      </c>
      <c r="B317" t="s">
        <v>52</v>
      </c>
      <c r="C317">
        <v>2001</v>
      </c>
      <c r="D317">
        <v>2.2999999999999998</v>
      </c>
      <c r="E317" t="s">
        <v>15</v>
      </c>
      <c r="F317">
        <v>281039</v>
      </c>
      <c r="G317" t="s">
        <v>16</v>
      </c>
      <c r="H317">
        <v>14527.21</v>
      </c>
      <c r="I317" t="s">
        <v>56</v>
      </c>
      <c r="J317" t="s">
        <v>41</v>
      </c>
      <c r="K317" t="s">
        <v>26</v>
      </c>
      <c r="L317">
        <v>25</v>
      </c>
      <c r="M317">
        <v>0.05</v>
      </c>
      <c r="N317" t="s">
        <v>33</v>
      </c>
    </row>
    <row r="318" spans="1:14" x14ac:dyDescent="0.25">
      <c r="A318">
        <v>317</v>
      </c>
      <c r="B318" t="s">
        <v>52</v>
      </c>
      <c r="C318">
        <v>2022</v>
      </c>
      <c r="D318">
        <v>1.2</v>
      </c>
      <c r="E318" t="s">
        <v>15</v>
      </c>
      <c r="F318">
        <v>235892</v>
      </c>
      <c r="G318" t="s">
        <v>22</v>
      </c>
      <c r="H318">
        <v>36930.31</v>
      </c>
      <c r="I318" t="s">
        <v>56</v>
      </c>
      <c r="J318" t="s">
        <v>46</v>
      </c>
      <c r="K318" t="s">
        <v>26</v>
      </c>
      <c r="L318">
        <v>4</v>
      </c>
      <c r="M318">
        <v>0.16</v>
      </c>
      <c r="N318" t="s">
        <v>33</v>
      </c>
    </row>
    <row r="319" spans="1:14" x14ac:dyDescent="0.25">
      <c r="A319">
        <v>318</v>
      </c>
      <c r="B319" t="s">
        <v>36</v>
      </c>
      <c r="C319">
        <v>2019</v>
      </c>
      <c r="D319">
        <v>5.4</v>
      </c>
      <c r="E319" t="s">
        <v>27</v>
      </c>
      <c r="F319">
        <v>213408</v>
      </c>
      <c r="G319" t="s">
        <v>22</v>
      </c>
      <c r="H319">
        <v>41025.129999999997</v>
      </c>
      <c r="I319" t="s">
        <v>57</v>
      </c>
      <c r="J319" t="s">
        <v>41</v>
      </c>
      <c r="K319" t="s">
        <v>26</v>
      </c>
      <c r="L319">
        <v>7</v>
      </c>
      <c r="M319">
        <v>0.19</v>
      </c>
      <c r="N319" t="s">
        <v>33</v>
      </c>
    </row>
    <row r="320" spans="1:14" x14ac:dyDescent="0.25">
      <c r="A320">
        <v>319</v>
      </c>
      <c r="B320" t="s">
        <v>14</v>
      </c>
      <c r="C320">
        <v>2007</v>
      </c>
      <c r="D320">
        <v>2.2000000000000002</v>
      </c>
      <c r="E320" t="s">
        <v>15</v>
      </c>
      <c r="F320">
        <v>242718</v>
      </c>
      <c r="G320" t="s">
        <v>30</v>
      </c>
      <c r="H320">
        <v>49233.78</v>
      </c>
      <c r="I320" t="s">
        <v>17</v>
      </c>
      <c r="J320" t="s">
        <v>18</v>
      </c>
      <c r="K320" t="s">
        <v>26</v>
      </c>
      <c r="L320">
        <v>19</v>
      </c>
      <c r="M320">
        <v>0.2</v>
      </c>
      <c r="N320" t="s">
        <v>20</v>
      </c>
    </row>
    <row r="321" spans="1:14" x14ac:dyDescent="0.25">
      <c r="A321">
        <v>320</v>
      </c>
      <c r="B321" t="s">
        <v>14</v>
      </c>
      <c r="C321">
        <v>2021</v>
      </c>
      <c r="D321">
        <v>3.8</v>
      </c>
      <c r="E321" t="s">
        <v>27</v>
      </c>
      <c r="F321">
        <v>192879</v>
      </c>
      <c r="G321" t="s">
        <v>30</v>
      </c>
      <c r="H321">
        <v>49328.97</v>
      </c>
      <c r="I321" t="s">
        <v>17</v>
      </c>
      <c r="J321" t="s">
        <v>18</v>
      </c>
      <c r="K321" t="s">
        <v>26</v>
      </c>
      <c r="L321">
        <v>5</v>
      </c>
      <c r="M321">
        <v>0.26</v>
      </c>
      <c r="N321" t="s">
        <v>20</v>
      </c>
    </row>
    <row r="322" spans="1:14" x14ac:dyDescent="0.25">
      <c r="A322">
        <v>321</v>
      </c>
      <c r="B322" t="s">
        <v>43</v>
      </c>
      <c r="C322">
        <v>2011</v>
      </c>
      <c r="D322">
        <v>1.2</v>
      </c>
      <c r="E322" t="s">
        <v>27</v>
      </c>
      <c r="F322">
        <v>23086</v>
      </c>
      <c r="G322" t="s">
        <v>16</v>
      </c>
      <c r="H322">
        <v>29415.54</v>
      </c>
      <c r="I322" t="s">
        <v>48</v>
      </c>
      <c r="J322" t="s">
        <v>46</v>
      </c>
      <c r="K322" t="s">
        <v>50</v>
      </c>
      <c r="L322">
        <v>15</v>
      </c>
      <c r="M322">
        <v>1.27</v>
      </c>
      <c r="N322" t="s">
        <v>20</v>
      </c>
    </row>
    <row r="323" spans="1:14" x14ac:dyDescent="0.25">
      <c r="A323">
        <v>322</v>
      </c>
      <c r="B323" t="s">
        <v>36</v>
      </c>
      <c r="C323">
        <v>2003</v>
      </c>
      <c r="D323">
        <v>4.3</v>
      </c>
      <c r="E323" t="s">
        <v>27</v>
      </c>
      <c r="F323">
        <v>85637</v>
      </c>
      <c r="G323" t="s">
        <v>30</v>
      </c>
      <c r="H323">
        <v>85770.04</v>
      </c>
      <c r="I323" t="s">
        <v>57</v>
      </c>
      <c r="J323" t="s">
        <v>46</v>
      </c>
      <c r="K323" t="s">
        <v>19</v>
      </c>
      <c r="L323">
        <v>23</v>
      </c>
      <c r="M323">
        <v>1</v>
      </c>
      <c r="N323" t="s">
        <v>33</v>
      </c>
    </row>
    <row r="324" spans="1:14" x14ac:dyDescent="0.25">
      <c r="A324">
        <v>323</v>
      </c>
      <c r="B324" t="s">
        <v>29</v>
      </c>
      <c r="C324">
        <v>2004</v>
      </c>
      <c r="D324">
        <v>2.6</v>
      </c>
      <c r="E324" t="s">
        <v>15</v>
      </c>
      <c r="F324">
        <v>158279</v>
      </c>
      <c r="G324" t="s">
        <v>16</v>
      </c>
      <c r="H324">
        <v>38776.629999999997</v>
      </c>
      <c r="I324" t="s">
        <v>40</v>
      </c>
      <c r="J324" t="s">
        <v>46</v>
      </c>
      <c r="K324" t="s">
        <v>26</v>
      </c>
      <c r="L324">
        <v>22</v>
      </c>
      <c r="M324">
        <v>0.24</v>
      </c>
      <c r="N324" t="s">
        <v>33</v>
      </c>
    </row>
    <row r="325" spans="1:14" x14ac:dyDescent="0.25">
      <c r="A325">
        <v>324</v>
      </c>
      <c r="B325" t="s">
        <v>14</v>
      </c>
      <c r="C325">
        <v>2012</v>
      </c>
      <c r="D325">
        <v>5.5</v>
      </c>
      <c r="E325" t="s">
        <v>15</v>
      </c>
      <c r="F325">
        <v>151969</v>
      </c>
      <c r="G325" t="s">
        <v>22</v>
      </c>
      <c r="H325">
        <v>26810.79</v>
      </c>
      <c r="I325" t="s">
        <v>58</v>
      </c>
      <c r="J325" t="s">
        <v>18</v>
      </c>
      <c r="K325" t="s">
        <v>26</v>
      </c>
      <c r="L325">
        <v>14</v>
      </c>
      <c r="M325">
        <v>0.18</v>
      </c>
      <c r="N325" t="s">
        <v>20</v>
      </c>
    </row>
    <row r="326" spans="1:14" x14ac:dyDescent="0.25">
      <c r="A326">
        <v>325</v>
      </c>
      <c r="B326" t="s">
        <v>21</v>
      </c>
      <c r="C326">
        <v>2014</v>
      </c>
      <c r="D326">
        <v>5.4</v>
      </c>
      <c r="E326" t="s">
        <v>27</v>
      </c>
      <c r="F326">
        <v>63083</v>
      </c>
      <c r="G326" t="s">
        <v>22</v>
      </c>
      <c r="H326">
        <v>21701.94</v>
      </c>
      <c r="I326" t="s">
        <v>42</v>
      </c>
      <c r="J326" t="s">
        <v>41</v>
      </c>
      <c r="K326" t="s">
        <v>19</v>
      </c>
      <c r="L326">
        <v>12</v>
      </c>
      <c r="M326">
        <v>0.34</v>
      </c>
      <c r="N326" t="s">
        <v>20</v>
      </c>
    </row>
    <row r="327" spans="1:14" x14ac:dyDescent="0.25">
      <c r="A327">
        <v>326</v>
      </c>
      <c r="B327" t="s">
        <v>36</v>
      </c>
      <c r="C327">
        <v>2022</v>
      </c>
      <c r="D327">
        <v>2.6</v>
      </c>
      <c r="E327" t="s">
        <v>27</v>
      </c>
      <c r="F327">
        <v>95028</v>
      </c>
      <c r="G327" t="s">
        <v>22</v>
      </c>
      <c r="H327">
        <v>35644.949999999997</v>
      </c>
      <c r="I327" t="s">
        <v>54</v>
      </c>
      <c r="J327" t="s">
        <v>32</v>
      </c>
      <c r="K327" t="s">
        <v>19</v>
      </c>
      <c r="L327">
        <v>4</v>
      </c>
      <c r="M327">
        <v>0.38</v>
      </c>
      <c r="N327" t="s">
        <v>33</v>
      </c>
    </row>
    <row r="328" spans="1:14" x14ac:dyDescent="0.25">
      <c r="A328">
        <v>327</v>
      </c>
      <c r="B328" t="s">
        <v>52</v>
      </c>
      <c r="C328">
        <v>2015</v>
      </c>
      <c r="D328">
        <v>5.5</v>
      </c>
      <c r="E328" t="s">
        <v>27</v>
      </c>
      <c r="F328">
        <v>97551</v>
      </c>
      <c r="G328" t="s">
        <v>22</v>
      </c>
      <c r="H328">
        <v>11417.52</v>
      </c>
      <c r="I328" t="s">
        <v>61</v>
      </c>
      <c r="J328" t="s">
        <v>32</v>
      </c>
      <c r="K328" t="s">
        <v>19</v>
      </c>
      <c r="L328">
        <v>11</v>
      </c>
      <c r="M328">
        <v>0.12</v>
      </c>
      <c r="N328" t="s">
        <v>33</v>
      </c>
    </row>
    <row r="329" spans="1:14" x14ac:dyDescent="0.25">
      <c r="A329">
        <v>328</v>
      </c>
      <c r="B329" t="s">
        <v>21</v>
      </c>
      <c r="C329">
        <v>2009</v>
      </c>
      <c r="D329">
        <v>6</v>
      </c>
      <c r="E329" t="s">
        <v>15</v>
      </c>
      <c r="F329">
        <v>138355</v>
      </c>
      <c r="G329" t="s">
        <v>22</v>
      </c>
      <c r="H329">
        <v>8126.21</v>
      </c>
      <c r="I329" t="s">
        <v>23</v>
      </c>
      <c r="J329" t="s">
        <v>46</v>
      </c>
      <c r="K329" t="s">
        <v>19</v>
      </c>
      <c r="L329">
        <v>17</v>
      </c>
      <c r="M329">
        <v>0.06</v>
      </c>
      <c r="N329" t="s">
        <v>20</v>
      </c>
    </row>
    <row r="330" spans="1:14" x14ac:dyDescent="0.25">
      <c r="A330">
        <v>329</v>
      </c>
      <c r="B330" t="s">
        <v>21</v>
      </c>
      <c r="C330">
        <v>2022</v>
      </c>
      <c r="D330">
        <v>5.0999999999999996</v>
      </c>
      <c r="E330" t="s">
        <v>27</v>
      </c>
      <c r="F330">
        <v>94024</v>
      </c>
      <c r="G330" t="s">
        <v>16</v>
      </c>
      <c r="H330">
        <v>62488.51</v>
      </c>
      <c r="I330" t="s">
        <v>23</v>
      </c>
      <c r="J330" t="s">
        <v>41</v>
      </c>
      <c r="K330" t="s">
        <v>19</v>
      </c>
      <c r="L330">
        <v>4</v>
      </c>
      <c r="M330">
        <v>0.66</v>
      </c>
      <c r="N330" t="s">
        <v>20</v>
      </c>
    </row>
    <row r="331" spans="1:14" x14ac:dyDescent="0.25">
      <c r="A331">
        <v>330</v>
      </c>
      <c r="B331" t="s">
        <v>52</v>
      </c>
      <c r="C331">
        <v>2015</v>
      </c>
      <c r="D331">
        <v>5.2</v>
      </c>
      <c r="E331" t="s">
        <v>15</v>
      </c>
      <c r="F331">
        <v>262399</v>
      </c>
      <c r="G331" t="s">
        <v>22</v>
      </c>
      <c r="H331">
        <v>63818.98</v>
      </c>
      <c r="I331" t="s">
        <v>61</v>
      </c>
      <c r="J331" t="s">
        <v>32</v>
      </c>
      <c r="K331" t="s">
        <v>26</v>
      </c>
      <c r="L331">
        <v>11</v>
      </c>
      <c r="M331">
        <v>0.24</v>
      </c>
      <c r="N331" t="s">
        <v>33</v>
      </c>
    </row>
    <row r="332" spans="1:14" x14ac:dyDescent="0.25">
      <c r="A332">
        <v>331</v>
      </c>
      <c r="B332" t="s">
        <v>36</v>
      </c>
      <c r="C332">
        <v>2011</v>
      </c>
      <c r="D332">
        <v>2.2000000000000002</v>
      </c>
      <c r="E332" t="s">
        <v>27</v>
      </c>
      <c r="F332">
        <v>207627</v>
      </c>
      <c r="G332" t="s">
        <v>16</v>
      </c>
      <c r="H332">
        <v>55310.879999999997</v>
      </c>
      <c r="I332" t="s">
        <v>37</v>
      </c>
      <c r="J332" t="s">
        <v>32</v>
      </c>
      <c r="K332" t="s">
        <v>26</v>
      </c>
      <c r="L332">
        <v>15</v>
      </c>
      <c r="M332">
        <v>0.27</v>
      </c>
      <c r="N332" t="s">
        <v>33</v>
      </c>
    </row>
    <row r="333" spans="1:14" x14ac:dyDescent="0.25">
      <c r="A333">
        <v>332</v>
      </c>
      <c r="B333" t="s">
        <v>52</v>
      </c>
      <c r="C333">
        <v>2016</v>
      </c>
      <c r="D333">
        <v>3.9</v>
      </c>
      <c r="E333" t="s">
        <v>15</v>
      </c>
      <c r="F333">
        <v>15487</v>
      </c>
      <c r="G333" t="s">
        <v>22</v>
      </c>
      <c r="H333">
        <v>77417.09</v>
      </c>
      <c r="I333" t="s">
        <v>56</v>
      </c>
      <c r="J333" t="s">
        <v>32</v>
      </c>
      <c r="K333" t="s">
        <v>50</v>
      </c>
      <c r="L333">
        <v>10</v>
      </c>
      <c r="M333">
        <v>5</v>
      </c>
      <c r="N333" t="s">
        <v>33</v>
      </c>
    </row>
    <row r="334" spans="1:14" x14ac:dyDescent="0.25">
      <c r="A334">
        <v>333</v>
      </c>
      <c r="B334" t="s">
        <v>43</v>
      </c>
      <c r="C334">
        <v>2015</v>
      </c>
      <c r="D334">
        <v>1.3</v>
      </c>
      <c r="E334" t="s">
        <v>27</v>
      </c>
      <c r="F334">
        <v>19346</v>
      </c>
      <c r="G334" t="s">
        <v>16</v>
      </c>
      <c r="H334">
        <v>8719.2999999999993</v>
      </c>
      <c r="I334" t="s">
        <v>55</v>
      </c>
      <c r="J334" t="s">
        <v>41</v>
      </c>
      <c r="K334" t="s">
        <v>50</v>
      </c>
      <c r="L334">
        <v>11</v>
      </c>
      <c r="M334">
        <v>0.45</v>
      </c>
      <c r="N334" t="s">
        <v>20</v>
      </c>
    </row>
    <row r="335" spans="1:14" x14ac:dyDescent="0.25">
      <c r="A335">
        <v>334</v>
      </c>
      <c r="B335" t="s">
        <v>21</v>
      </c>
      <c r="C335">
        <v>2011</v>
      </c>
      <c r="D335">
        <v>1.5</v>
      </c>
      <c r="E335" t="s">
        <v>15</v>
      </c>
      <c r="F335">
        <v>297194</v>
      </c>
      <c r="G335" t="s">
        <v>16</v>
      </c>
      <c r="H335">
        <v>93917.45</v>
      </c>
      <c r="I335" t="s">
        <v>23</v>
      </c>
      <c r="J335" t="s">
        <v>46</v>
      </c>
      <c r="K335" t="s">
        <v>26</v>
      </c>
      <c r="L335">
        <v>15</v>
      </c>
      <c r="M335">
        <v>0.32</v>
      </c>
      <c r="N335" t="s">
        <v>20</v>
      </c>
    </row>
    <row r="336" spans="1:14" x14ac:dyDescent="0.25">
      <c r="A336">
        <v>335</v>
      </c>
      <c r="B336" t="s">
        <v>24</v>
      </c>
      <c r="C336">
        <v>2007</v>
      </c>
      <c r="D336">
        <v>6</v>
      </c>
      <c r="E336" t="s">
        <v>15</v>
      </c>
      <c r="F336">
        <v>270888</v>
      </c>
      <c r="G336" t="s">
        <v>16</v>
      </c>
      <c r="H336">
        <v>14031.19</v>
      </c>
      <c r="I336" t="s">
        <v>34</v>
      </c>
      <c r="J336" t="s">
        <v>46</v>
      </c>
      <c r="K336" t="s">
        <v>26</v>
      </c>
      <c r="L336">
        <v>19</v>
      </c>
      <c r="M336">
        <v>0.05</v>
      </c>
      <c r="N336" t="s">
        <v>20</v>
      </c>
    </row>
    <row r="337" spans="1:14" x14ac:dyDescent="0.25">
      <c r="A337">
        <v>336</v>
      </c>
      <c r="B337" t="s">
        <v>24</v>
      </c>
      <c r="C337">
        <v>2019</v>
      </c>
      <c r="D337">
        <v>2.6</v>
      </c>
      <c r="E337" t="s">
        <v>15</v>
      </c>
      <c r="F337">
        <v>61596</v>
      </c>
      <c r="G337" t="s">
        <v>30</v>
      </c>
      <c r="H337">
        <v>69032.179999999993</v>
      </c>
      <c r="I337" t="s">
        <v>25</v>
      </c>
      <c r="J337" t="s">
        <v>46</v>
      </c>
      <c r="K337" t="s">
        <v>19</v>
      </c>
      <c r="L337">
        <v>7</v>
      </c>
      <c r="M337">
        <v>1.1200000000000001</v>
      </c>
      <c r="N337" t="s">
        <v>20</v>
      </c>
    </row>
    <row r="338" spans="1:14" x14ac:dyDescent="0.25">
      <c r="A338">
        <v>337</v>
      </c>
      <c r="B338" t="s">
        <v>29</v>
      </c>
      <c r="C338">
        <v>2002</v>
      </c>
      <c r="D338">
        <v>4.7</v>
      </c>
      <c r="E338" t="s">
        <v>15</v>
      </c>
      <c r="F338">
        <v>214469</v>
      </c>
      <c r="G338" t="s">
        <v>16</v>
      </c>
      <c r="H338">
        <v>17672.68</v>
      </c>
      <c r="I338" t="s">
        <v>31</v>
      </c>
      <c r="J338" t="s">
        <v>18</v>
      </c>
      <c r="K338" t="s">
        <v>26</v>
      </c>
      <c r="L338">
        <v>24</v>
      </c>
      <c r="M338">
        <v>0.08</v>
      </c>
      <c r="N338" t="s">
        <v>33</v>
      </c>
    </row>
    <row r="339" spans="1:14" x14ac:dyDescent="0.25">
      <c r="A339">
        <v>338</v>
      </c>
      <c r="B339" t="s">
        <v>14</v>
      </c>
      <c r="C339">
        <v>2015</v>
      </c>
      <c r="D339">
        <v>5</v>
      </c>
      <c r="E339" t="s">
        <v>15</v>
      </c>
      <c r="F339">
        <v>177175</v>
      </c>
      <c r="G339" t="s">
        <v>16</v>
      </c>
      <c r="H339">
        <v>88591.02</v>
      </c>
      <c r="I339" t="s">
        <v>28</v>
      </c>
      <c r="J339" t="s">
        <v>18</v>
      </c>
      <c r="K339" t="s">
        <v>26</v>
      </c>
      <c r="L339">
        <v>11</v>
      </c>
      <c r="M339">
        <v>0.5</v>
      </c>
      <c r="N339" t="s">
        <v>20</v>
      </c>
    </row>
    <row r="340" spans="1:14" x14ac:dyDescent="0.25">
      <c r="A340">
        <v>339</v>
      </c>
      <c r="B340" t="s">
        <v>52</v>
      </c>
      <c r="C340">
        <v>2012</v>
      </c>
      <c r="D340">
        <v>5.3</v>
      </c>
      <c r="E340" t="s">
        <v>15</v>
      </c>
      <c r="F340">
        <v>153048</v>
      </c>
      <c r="G340" t="s">
        <v>22</v>
      </c>
      <c r="H340">
        <v>53517.760000000002</v>
      </c>
      <c r="I340" t="s">
        <v>59</v>
      </c>
      <c r="J340" t="s">
        <v>18</v>
      </c>
      <c r="K340" t="s">
        <v>26</v>
      </c>
      <c r="L340">
        <v>14</v>
      </c>
      <c r="M340">
        <v>0.35</v>
      </c>
      <c r="N340" t="s">
        <v>33</v>
      </c>
    </row>
    <row r="341" spans="1:14" x14ac:dyDescent="0.25">
      <c r="A341">
        <v>340</v>
      </c>
      <c r="B341" t="s">
        <v>52</v>
      </c>
      <c r="C341">
        <v>2022</v>
      </c>
      <c r="D341">
        <v>6</v>
      </c>
      <c r="E341" t="s">
        <v>27</v>
      </c>
      <c r="F341">
        <v>6277</v>
      </c>
      <c r="G341" t="s">
        <v>16</v>
      </c>
      <c r="H341">
        <v>12817.89</v>
      </c>
      <c r="I341" t="s">
        <v>61</v>
      </c>
      <c r="J341" t="s">
        <v>41</v>
      </c>
      <c r="K341" t="s">
        <v>50</v>
      </c>
      <c r="L341">
        <v>4</v>
      </c>
      <c r="M341">
        <v>2.04</v>
      </c>
      <c r="N341" t="s">
        <v>33</v>
      </c>
    </row>
    <row r="342" spans="1:14" x14ac:dyDescent="0.25">
      <c r="A342">
        <v>341</v>
      </c>
      <c r="B342" t="s">
        <v>29</v>
      </c>
      <c r="C342">
        <v>2018</v>
      </c>
      <c r="D342">
        <v>2.2000000000000002</v>
      </c>
      <c r="E342" t="s">
        <v>27</v>
      </c>
      <c r="F342">
        <v>133332</v>
      </c>
      <c r="G342" t="s">
        <v>16</v>
      </c>
      <c r="H342">
        <v>63588.79</v>
      </c>
      <c r="I342" t="s">
        <v>40</v>
      </c>
      <c r="J342" t="s">
        <v>32</v>
      </c>
      <c r="K342" t="s">
        <v>19</v>
      </c>
      <c r="L342">
        <v>8</v>
      </c>
      <c r="M342">
        <v>0.48</v>
      </c>
      <c r="N342" t="s">
        <v>33</v>
      </c>
    </row>
    <row r="343" spans="1:14" x14ac:dyDescent="0.25">
      <c r="A343">
        <v>342</v>
      </c>
      <c r="B343" t="s">
        <v>29</v>
      </c>
      <c r="C343">
        <v>2007</v>
      </c>
      <c r="D343">
        <v>1.2</v>
      </c>
      <c r="E343" t="s">
        <v>27</v>
      </c>
      <c r="F343">
        <v>240515</v>
      </c>
      <c r="G343" t="s">
        <v>30</v>
      </c>
      <c r="H343">
        <v>5865.44</v>
      </c>
      <c r="I343" t="s">
        <v>40</v>
      </c>
      <c r="J343" t="s">
        <v>32</v>
      </c>
      <c r="K343" t="s">
        <v>26</v>
      </c>
      <c r="L343">
        <v>19</v>
      </c>
      <c r="M343">
        <v>0.02</v>
      </c>
      <c r="N343" t="s">
        <v>33</v>
      </c>
    </row>
    <row r="344" spans="1:14" x14ac:dyDescent="0.25">
      <c r="A344">
        <v>343</v>
      </c>
      <c r="B344" t="s">
        <v>29</v>
      </c>
      <c r="C344">
        <v>2021</v>
      </c>
      <c r="D344">
        <v>3.1</v>
      </c>
      <c r="E344" t="s">
        <v>27</v>
      </c>
      <c r="F344">
        <v>260577</v>
      </c>
      <c r="G344" t="s">
        <v>22</v>
      </c>
      <c r="H344">
        <v>78722.11</v>
      </c>
      <c r="I344" t="s">
        <v>31</v>
      </c>
      <c r="J344" t="s">
        <v>41</v>
      </c>
      <c r="K344" t="s">
        <v>26</v>
      </c>
      <c r="L344">
        <v>5</v>
      </c>
      <c r="M344">
        <v>0.3</v>
      </c>
      <c r="N344" t="s">
        <v>33</v>
      </c>
    </row>
    <row r="345" spans="1:14" x14ac:dyDescent="0.25">
      <c r="A345">
        <v>344</v>
      </c>
      <c r="B345" t="s">
        <v>21</v>
      </c>
      <c r="C345">
        <v>2004</v>
      </c>
      <c r="D345">
        <v>1.7</v>
      </c>
      <c r="E345" t="s">
        <v>15</v>
      </c>
      <c r="F345">
        <v>196955</v>
      </c>
      <c r="G345" t="s">
        <v>30</v>
      </c>
      <c r="H345">
        <v>66805.570000000007</v>
      </c>
      <c r="I345" t="s">
        <v>47</v>
      </c>
      <c r="J345" t="s">
        <v>41</v>
      </c>
      <c r="K345" t="s">
        <v>26</v>
      </c>
      <c r="L345">
        <v>22</v>
      </c>
      <c r="M345">
        <v>0.34</v>
      </c>
      <c r="N345" t="s">
        <v>20</v>
      </c>
    </row>
    <row r="346" spans="1:14" x14ac:dyDescent="0.25">
      <c r="A346">
        <v>345</v>
      </c>
      <c r="B346" t="s">
        <v>43</v>
      </c>
      <c r="C346">
        <v>2019</v>
      </c>
      <c r="D346">
        <v>1.1000000000000001</v>
      </c>
      <c r="E346" t="s">
        <v>27</v>
      </c>
      <c r="F346">
        <v>286885</v>
      </c>
      <c r="G346" t="s">
        <v>30</v>
      </c>
      <c r="H346">
        <v>25199.35</v>
      </c>
      <c r="I346" t="s">
        <v>49</v>
      </c>
      <c r="J346" t="s">
        <v>46</v>
      </c>
      <c r="K346" t="s">
        <v>26</v>
      </c>
      <c r="L346">
        <v>7</v>
      </c>
      <c r="M346">
        <v>0.09</v>
      </c>
      <c r="N346" t="s">
        <v>20</v>
      </c>
    </row>
    <row r="347" spans="1:14" x14ac:dyDescent="0.25">
      <c r="A347">
        <v>346</v>
      </c>
      <c r="B347" t="s">
        <v>52</v>
      </c>
      <c r="C347">
        <v>2007</v>
      </c>
      <c r="D347">
        <v>2.8</v>
      </c>
      <c r="E347" t="s">
        <v>15</v>
      </c>
      <c r="F347">
        <v>299355</v>
      </c>
      <c r="G347" t="s">
        <v>30</v>
      </c>
      <c r="H347">
        <v>40601.339999999997</v>
      </c>
      <c r="I347" t="s">
        <v>53</v>
      </c>
      <c r="J347" t="s">
        <v>46</v>
      </c>
      <c r="K347" t="s">
        <v>26</v>
      </c>
      <c r="L347">
        <v>19</v>
      </c>
      <c r="M347">
        <v>0.14000000000000001</v>
      </c>
      <c r="N347" t="s">
        <v>33</v>
      </c>
    </row>
    <row r="348" spans="1:14" x14ac:dyDescent="0.25">
      <c r="A348">
        <v>347</v>
      </c>
      <c r="B348" t="s">
        <v>21</v>
      </c>
      <c r="C348">
        <v>2023</v>
      </c>
      <c r="D348">
        <v>4.9000000000000004</v>
      </c>
      <c r="E348" t="s">
        <v>15</v>
      </c>
      <c r="F348">
        <v>240464</v>
      </c>
      <c r="G348" t="s">
        <v>16</v>
      </c>
      <c r="H348">
        <v>5741.64</v>
      </c>
      <c r="I348" t="s">
        <v>47</v>
      </c>
      <c r="J348" t="s">
        <v>18</v>
      </c>
      <c r="K348" t="s">
        <v>26</v>
      </c>
      <c r="L348">
        <v>3</v>
      </c>
      <c r="M348">
        <v>0.02</v>
      </c>
      <c r="N348" t="s">
        <v>20</v>
      </c>
    </row>
    <row r="349" spans="1:14" x14ac:dyDescent="0.25">
      <c r="A349">
        <v>348</v>
      </c>
      <c r="B349" t="s">
        <v>29</v>
      </c>
      <c r="C349">
        <v>2011</v>
      </c>
      <c r="D349">
        <v>3.8</v>
      </c>
      <c r="E349" t="s">
        <v>15</v>
      </c>
      <c r="F349">
        <v>258445</v>
      </c>
      <c r="G349" t="s">
        <v>30</v>
      </c>
      <c r="H349">
        <v>70899.960000000006</v>
      </c>
      <c r="I349" t="s">
        <v>62</v>
      </c>
      <c r="J349" t="s">
        <v>18</v>
      </c>
      <c r="K349" t="s">
        <v>26</v>
      </c>
      <c r="L349">
        <v>15</v>
      </c>
      <c r="M349">
        <v>0.27</v>
      </c>
      <c r="N349" t="s">
        <v>33</v>
      </c>
    </row>
    <row r="350" spans="1:14" x14ac:dyDescent="0.25">
      <c r="A350">
        <v>349</v>
      </c>
      <c r="B350" t="s">
        <v>52</v>
      </c>
      <c r="C350">
        <v>2000</v>
      </c>
      <c r="D350">
        <v>2.6</v>
      </c>
      <c r="E350" t="s">
        <v>27</v>
      </c>
      <c r="F350">
        <v>269013</v>
      </c>
      <c r="G350" t="s">
        <v>30</v>
      </c>
      <c r="H350">
        <v>35653.47</v>
      </c>
      <c r="I350" t="s">
        <v>56</v>
      </c>
      <c r="J350" t="s">
        <v>41</v>
      </c>
      <c r="K350" t="s">
        <v>26</v>
      </c>
      <c r="L350">
        <v>26</v>
      </c>
      <c r="M350">
        <v>0.13</v>
      </c>
      <c r="N350" t="s">
        <v>33</v>
      </c>
    </row>
    <row r="351" spans="1:14" x14ac:dyDescent="0.25">
      <c r="A351">
        <v>350</v>
      </c>
      <c r="B351" t="s">
        <v>21</v>
      </c>
      <c r="C351">
        <v>2020</v>
      </c>
      <c r="D351">
        <v>4.3</v>
      </c>
      <c r="E351" t="s">
        <v>15</v>
      </c>
      <c r="F351">
        <v>94515</v>
      </c>
      <c r="G351" t="s">
        <v>22</v>
      </c>
      <c r="H351">
        <v>59300.95</v>
      </c>
      <c r="I351" t="s">
        <v>60</v>
      </c>
      <c r="J351" t="s">
        <v>18</v>
      </c>
      <c r="K351" t="s">
        <v>19</v>
      </c>
      <c r="L351">
        <v>6</v>
      </c>
      <c r="M351">
        <v>0.63</v>
      </c>
      <c r="N351" t="s">
        <v>20</v>
      </c>
    </row>
    <row r="352" spans="1:14" x14ac:dyDescent="0.25">
      <c r="A352">
        <v>351</v>
      </c>
      <c r="B352" t="s">
        <v>43</v>
      </c>
      <c r="C352">
        <v>2019</v>
      </c>
      <c r="D352">
        <v>2.2000000000000002</v>
      </c>
      <c r="E352" t="s">
        <v>27</v>
      </c>
      <c r="F352">
        <v>150494</v>
      </c>
      <c r="G352" t="s">
        <v>22</v>
      </c>
      <c r="H352">
        <v>95889.12</v>
      </c>
      <c r="I352" t="s">
        <v>55</v>
      </c>
      <c r="J352" t="s">
        <v>32</v>
      </c>
      <c r="K352" t="s">
        <v>26</v>
      </c>
      <c r="L352">
        <v>7</v>
      </c>
      <c r="M352">
        <v>0.64</v>
      </c>
      <c r="N352" t="s">
        <v>20</v>
      </c>
    </row>
    <row r="353" spans="1:14" x14ac:dyDescent="0.25">
      <c r="A353">
        <v>352</v>
      </c>
      <c r="B353" t="s">
        <v>21</v>
      </c>
      <c r="C353">
        <v>2005</v>
      </c>
      <c r="D353">
        <v>1.1000000000000001</v>
      </c>
      <c r="E353" t="s">
        <v>27</v>
      </c>
      <c r="F353">
        <v>166685</v>
      </c>
      <c r="G353" t="s">
        <v>22</v>
      </c>
      <c r="H353">
        <v>33449.339999999997</v>
      </c>
      <c r="I353" t="s">
        <v>47</v>
      </c>
      <c r="J353" t="s">
        <v>41</v>
      </c>
      <c r="K353" t="s">
        <v>26</v>
      </c>
      <c r="L353">
        <v>21</v>
      </c>
      <c r="M353">
        <v>0.2</v>
      </c>
      <c r="N353" t="s">
        <v>20</v>
      </c>
    </row>
    <row r="354" spans="1:14" x14ac:dyDescent="0.25">
      <c r="A354">
        <v>353</v>
      </c>
      <c r="B354" t="s">
        <v>43</v>
      </c>
      <c r="C354">
        <v>2021</v>
      </c>
      <c r="D354">
        <v>4.8</v>
      </c>
      <c r="E354" t="s">
        <v>27</v>
      </c>
      <c r="F354">
        <v>188088</v>
      </c>
      <c r="G354" t="s">
        <v>22</v>
      </c>
      <c r="H354">
        <v>99072.6</v>
      </c>
      <c r="I354" t="s">
        <v>48</v>
      </c>
      <c r="J354" t="s">
        <v>41</v>
      </c>
      <c r="K354" t="s">
        <v>26</v>
      </c>
      <c r="L354">
        <v>5</v>
      </c>
      <c r="M354">
        <v>0.53</v>
      </c>
      <c r="N354" t="s">
        <v>20</v>
      </c>
    </row>
    <row r="355" spans="1:14" x14ac:dyDescent="0.25">
      <c r="A355">
        <v>354</v>
      </c>
      <c r="B355" t="s">
        <v>29</v>
      </c>
      <c r="C355">
        <v>2017</v>
      </c>
      <c r="D355">
        <v>4.0999999999999996</v>
      </c>
      <c r="E355" t="s">
        <v>27</v>
      </c>
      <c r="F355">
        <v>60110</v>
      </c>
      <c r="G355" t="s">
        <v>30</v>
      </c>
      <c r="H355">
        <v>65109.2</v>
      </c>
      <c r="I355" t="s">
        <v>62</v>
      </c>
      <c r="J355" t="s">
        <v>32</v>
      </c>
      <c r="K355" t="s">
        <v>19</v>
      </c>
      <c r="L355">
        <v>9</v>
      </c>
      <c r="M355">
        <v>1.08</v>
      </c>
      <c r="N355" t="s">
        <v>33</v>
      </c>
    </row>
    <row r="356" spans="1:14" x14ac:dyDescent="0.25">
      <c r="A356">
        <v>355</v>
      </c>
      <c r="B356" t="s">
        <v>43</v>
      </c>
      <c r="C356">
        <v>2007</v>
      </c>
      <c r="D356">
        <v>4.8</v>
      </c>
      <c r="E356" t="s">
        <v>27</v>
      </c>
      <c r="F356">
        <v>219601</v>
      </c>
      <c r="G356" t="s">
        <v>22</v>
      </c>
      <c r="H356">
        <v>27998.42</v>
      </c>
      <c r="I356" t="s">
        <v>44</v>
      </c>
      <c r="J356" t="s">
        <v>46</v>
      </c>
      <c r="K356" t="s">
        <v>26</v>
      </c>
      <c r="L356">
        <v>19</v>
      </c>
      <c r="M356">
        <v>0.13</v>
      </c>
      <c r="N356" t="s">
        <v>20</v>
      </c>
    </row>
    <row r="357" spans="1:14" x14ac:dyDescent="0.25">
      <c r="A357">
        <v>356</v>
      </c>
      <c r="B357" t="s">
        <v>52</v>
      </c>
      <c r="C357">
        <v>2006</v>
      </c>
      <c r="D357">
        <v>1.2</v>
      </c>
      <c r="E357" t="s">
        <v>15</v>
      </c>
      <c r="F357">
        <v>208994</v>
      </c>
      <c r="G357" t="s">
        <v>16</v>
      </c>
      <c r="H357">
        <v>46493.9</v>
      </c>
      <c r="I357" t="s">
        <v>53</v>
      </c>
      <c r="J357" t="s">
        <v>46</v>
      </c>
      <c r="K357" t="s">
        <v>26</v>
      </c>
      <c r="L357">
        <v>20</v>
      </c>
      <c r="M357">
        <v>0.22</v>
      </c>
      <c r="N357" t="s">
        <v>33</v>
      </c>
    </row>
    <row r="358" spans="1:14" x14ac:dyDescent="0.25">
      <c r="A358">
        <v>357</v>
      </c>
      <c r="B358" t="s">
        <v>29</v>
      </c>
      <c r="C358">
        <v>2000</v>
      </c>
      <c r="D358">
        <v>5.2</v>
      </c>
      <c r="E358" t="s">
        <v>15</v>
      </c>
      <c r="F358">
        <v>296177</v>
      </c>
      <c r="G358" t="s">
        <v>30</v>
      </c>
      <c r="H358">
        <v>75343.05</v>
      </c>
      <c r="I358" t="s">
        <v>31</v>
      </c>
      <c r="J358" t="s">
        <v>32</v>
      </c>
      <c r="K358" t="s">
        <v>26</v>
      </c>
      <c r="L358">
        <v>26</v>
      </c>
      <c r="M358">
        <v>0.25</v>
      </c>
      <c r="N358" t="s">
        <v>33</v>
      </c>
    </row>
    <row r="359" spans="1:14" x14ac:dyDescent="0.25">
      <c r="A359">
        <v>358</v>
      </c>
      <c r="B359" t="s">
        <v>52</v>
      </c>
      <c r="C359">
        <v>2020</v>
      </c>
      <c r="D359">
        <v>4.0999999999999996</v>
      </c>
      <c r="E359" t="s">
        <v>27</v>
      </c>
      <c r="F359">
        <v>260705</v>
      </c>
      <c r="G359" t="s">
        <v>22</v>
      </c>
      <c r="H359">
        <v>47415.4</v>
      </c>
      <c r="I359" t="s">
        <v>61</v>
      </c>
      <c r="J359" t="s">
        <v>32</v>
      </c>
      <c r="K359" t="s">
        <v>26</v>
      </c>
      <c r="L359">
        <v>6</v>
      </c>
      <c r="M359">
        <v>0.18</v>
      </c>
      <c r="N359" t="s">
        <v>33</v>
      </c>
    </row>
    <row r="360" spans="1:14" x14ac:dyDescent="0.25">
      <c r="A360">
        <v>359</v>
      </c>
      <c r="B360" t="s">
        <v>24</v>
      </c>
      <c r="C360">
        <v>2015</v>
      </c>
      <c r="D360">
        <v>3.8</v>
      </c>
      <c r="E360" t="s">
        <v>15</v>
      </c>
      <c r="F360">
        <v>12938</v>
      </c>
      <c r="G360" t="s">
        <v>30</v>
      </c>
      <c r="H360">
        <v>11508.22</v>
      </c>
      <c r="I360" t="s">
        <v>25</v>
      </c>
      <c r="J360" t="s">
        <v>18</v>
      </c>
      <c r="K360" t="s">
        <v>50</v>
      </c>
      <c r="L360">
        <v>11</v>
      </c>
      <c r="M360">
        <v>0.89</v>
      </c>
      <c r="N360" t="s">
        <v>20</v>
      </c>
    </row>
    <row r="361" spans="1:14" x14ac:dyDescent="0.25">
      <c r="A361">
        <v>360</v>
      </c>
      <c r="B361" t="s">
        <v>36</v>
      </c>
      <c r="C361">
        <v>2011</v>
      </c>
      <c r="D361">
        <v>4.0999999999999996</v>
      </c>
      <c r="E361" t="s">
        <v>27</v>
      </c>
      <c r="F361">
        <v>130842</v>
      </c>
      <c r="G361" t="s">
        <v>22</v>
      </c>
      <c r="H361">
        <v>21017.35</v>
      </c>
      <c r="I361" t="s">
        <v>54</v>
      </c>
      <c r="J361" t="s">
        <v>41</v>
      </c>
      <c r="K361" t="s">
        <v>19</v>
      </c>
      <c r="L361">
        <v>15</v>
      </c>
      <c r="M361">
        <v>0.16</v>
      </c>
      <c r="N361" t="s">
        <v>33</v>
      </c>
    </row>
    <row r="362" spans="1:14" x14ac:dyDescent="0.25">
      <c r="A362">
        <v>361</v>
      </c>
      <c r="B362" t="s">
        <v>43</v>
      </c>
      <c r="C362">
        <v>2005</v>
      </c>
      <c r="D362">
        <v>5.3</v>
      </c>
      <c r="E362" t="s">
        <v>15</v>
      </c>
      <c r="F362">
        <v>264418</v>
      </c>
      <c r="G362" t="s">
        <v>30</v>
      </c>
      <c r="H362">
        <v>80173.289999999994</v>
      </c>
      <c r="I362" t="s">
        <v>48</v>
      </c>
      <c r="J362" t="s">
        <v>18</v>
      </c>
      <c r="K362" t="s">
        <v>26</v>
      </c>
      <c r="L362">
        <v>21</v>
      </c>
      <c r="M362">
        <v>0.3</v>
      </c>
      <c r="N362" t="s">
        <v>20</v>
      </c>
    </row>
    <row r="363" spans="1:14" x14ac:dyDescent="0.25">
      <c r="A363">
        <v>362</v>
      </c>
      <c r="B363" t="s">
        <v>36</v>
      </c>
      <c r="C363">
        <v>2019</v>
      </c>
      <c r="D363">
        <v>3.9</v>
      </c>
      <c r="E363" t="s">
        <v>15</v>
      </c>
      <c r="F363">
        <v>150033</v>
      </c>
      <c r="G363" t="s">
        <v>22</v>
      </c>
      <c r="H363">
        <v>66595.44</v>
      </c>
      <c r="I363" t="s">
        <v>37</v>
      </c>
      <c r="J363" t="s">
        <v>32</v>
      </c>
      <c r="K363" t="s">
        <v>26</v>
      </c>
      <c r="L363">
        <v>7</v>
      </c>
      <c r="M363">
        <v>0.44</v>
      </c>
      <c r="N363" t="s">
        <v>33</v>
      </c>
    </row>
    <row r="364" spans="1:14" x14ac:dyDescent="0.25">
      <c r="A364">
        <v>363</v>
      </c>
      <c r="B364" t="s">
        <v>36</v>
      </c>
      <c r="C364">
        <v>2001</v>
      </c>
      <c r="D364">
        <v>3.9</v>
      </c>
      <c r="E364" t="s">
        <v>15</v>
      </c>
      <c r="F364">
        <v>20044</v>
      </c>
      <c r="G364" t="s">
        <v>16</v>
      </c>
      <c r="H364">
        <v>59133.42</v>
      </c>
      <c r="I364" t="s">
        <v>54</v>
      </c>
      <c r="J364" t="s">
        <v>18</v>
      </c>
      <c r="K364" t="s">
        <v>50</v>
      </c>
      <c r="L364">
        <v>25</v>
      </c>
      <c r="M364">
        <v>2.95</v>
      </c>
      <c r="N364" t="s">
        <v>33</v>
      </c>
    </row>
    <row r="365" spans="1:14" x14ac:dyDescent="0.25">
      <c r="A365">
        <v>364</v>
      </c>
      <c r="B365" t="s">
        <v>43</v>
      </c>
      <c r="C365">
        <v>2013</v>
      </c>
      <c r="D365">
        <v>6</v>
      </c>
      <c r="E365" t="s">
        <v>15</v>
      </c>
      <c r="F365">
        <v>99372</v>
      </c>
      <c r="G365" t="s">
        <v>22</v>
      </c>
      <c r="H365">
        <v>20924.09</v>
      </c>
      <c r="I365" t="s">
        <v>49</v>
      </c>
      <c r="J365" t="s">
        <v>32</v>
      </c>
      <c r="K365" t="s">
        <v>19</v>
      </c>
      <c r="L365">
        <v>13</v>
      </c>
      <c r="M365">
        <v>0.21</v>
      </c>
      <c r="N365" t="s">
        <v>20</v>
      </c>
    </row>
    <row r="366" spans="1:14" x14ac:dyDescent="0.25">
      <c r="A366">
        <v>365</v>
      </c>
      <c r="B366" t="s">
        <v>29</v>
      </c>
      <c r="C366">
        <v>2003</v>
      </c>
      <c r="D366">
        <v>4.8</v>
      </c>
      <c r="E366" t="s">
        <v>15</v>
      </c>
      <c r="F366">
        <v>276850</v>
      </c>
      <c r="G366" t="s">
        <v>30</v>
      </c>
      <c r="H366">
        <v>84586.96</v>
      </c>
      <c r="I366" t="s">
        <v>40</v>
      </c>
      <c r="J366" t="s">
        <v>18</v>
      </c>
      <c r="K366" t="s">
        <v>26</v>
      </c>
      <c r="L366">
        <v>23</v>
      </c>
      <c r="M366">
        <v>0.31</v>
      </c>
      <c r="N366" t="s">
        <v>33</v>
      </c>
    </row>
    <row r="367" spans="1:14" x14ac:dyDescent="0.25">
      <c r="A367">
        <v>366</v>
      </c>
      <c r="B367" t="s">
        <v>24</v>
      </c>
      <c r="C367">
        <v>2000</v>
      </c>
      <c r="D367">
        <v>3.2</v>
      </c>
      <c r="E367" t="s">
        <v>15</v>
      </c>
      <c r="F367">
        <v>137046</v>
      </c>
      <c r="G367" t="s">
        <v>30</v>
      </c>
      <c r="H367">
        <v>96270.31</v>
      </c>
      <c r="I367" t="s">
        <v>34</v>
      </c>
      <c r="J367" t="s">
        <v>18</v>
      </c>
      <c r="K367" t="s">
        <v>19</v>
      </c>
      <c r="L367">
        <v>26</v>
      </c>
      <c r="M367">
        <v>0.7</v>
      </c>
      <c r="N367" t="s">
        <v>20</v>
      </c>
    </row>
    <row r="368" spans="1:14" x14ac:dyDescent="0.25">
      <c r="A368">
        <v>367</v>
      </c>
      <c r="B368" t="s">
        <v>52</v>
      </c>
      <c r="C368">
        <v>2022</v>
      </c>
      <c r="D368">
        <v>4.5</v>
      </c>
      <c r="E368" t="s">
        <v>15</v>
      </c>
      <c r="F368">
        <v>21213</v>
      </c>
      <c r="G368" t="s">
        <v>16</v>
      </c>
      <c r="H368">
        <v>8884.27</v>
      </c>
      <c r="I368" t="s">
        <v>59</v>
      </c>
      <c r="J368" t="s">
        <v>46</v>
      </c>
      <c r="K368" t="s">
        <v>50</v>
      </c>
      <c r="L368">
        <v>4</v>
      </c>
      <c r="M368">
        <v>0.42</v>
      </c>
      <c r="N368" t="s">
        <v>33</v>
      </c>
    </row>
    <row r="369" spans="1:14" x14ac:dyDescent="0.25">
      <c r="A369">
        <v>368</v>
      </c>
      <c r="B369" t="s">
        <v>21</v>
      </c>
      <c r="C369">
        <v>2017</v>
      </c>
      <c r="D369">
        <v>2.9</v>
      </c>
      <c r="E369" t="s">
        <v>15</v>
      </c>
      <c r="F369">
        <v>1950</v>
      </c>
      <c r="G369" t="s">
        <v>30</v>
      </c>
      <c r="H369">
        <v>12413.03</v>
      </c>
      <c r="I369" t="s">
        <v>42</v>
      </c>
      <c r="J369" t="s">
        <v>32</v>
      </c>
      <c r="K369" t="s">
        <v>50</v>
      </c>
      <c r="L369">
        <v>9</v>
      </c>
      <c r="M369">
        <v>6.37</v>
      </c>
      <c r="N369" t="s">
        <v>20</v>
      </c>
    </row>
    <row r="370" spans="1:14" x14ac:dyDescent="0.25">
      <c r="A370">
        <v>369</v>
      </c>
      <c r="B370" t="s">
        <v>52</v>
      </c>
      <c r="C370">
        <v>2012</v>
      </c>
      <c r="D370">
        <v>2.1</v>
      </c>
      <c r="E370" t="s">
        <v>15</v>
      </c>
      <c r="F370">
        <v>254043</v>
      </c>
      <c r="G370" t="s">
        <v>16</v>
      </c>
      <c r="H370">
        <v>89048.83</v>
      </c>
      <c r="I370" t="s">
        <v>61</v>
      </c>
      <c r="J370" t="s">
        <v>18</v>
      </c>
      <c r="K370" t="s">
        <v>26</v>
      </c>
      <c r="L370">
        <v>14</v>
      </c>
      <c r="M370">
        <v>0.35</v>
      </c>
      <c r="N370" t="s">
        <v>33</v>
      </c>
    </row>
    <row r="371" spans="1:14" x14ac:dyDescent="0.25">
      <c r="A371">
        <v>370</v>
      </c>
      <c r="B371" t="s">
        <v>21</v>
      </c>
      <c r="C371">
        <v>2001</v>
      </c>
      <c r="D371">
        <v>4</v>
      </c>
      <c r="E371" t="s">
        <v>15</v>
      </c>
      <c r="F371">
        <v>216085</v>
      </c>
      <c r="G371" t="s">
        <v>30</v>
      </c>
      <c r="H371">
        <v>82477.460000000006</v>
      </c>
      <c r="I371" t="s">
        <v>47</v>
      </c>
      <c r="J371" t="s">
        <v>41</v>
      </c>
      <c r="K371" t="s">
        <v>26</v>
      </c>
      <c r="L371">
        <v>25</v>
      </c>
      <c r="M371">
        <v>0.38</v>
      </c>
      <c r="N371" t="s">
        <v>20</v>
      </c>
    </row>
    <row r="372" spans="1:14" x14ac:dyDescent="0.25">
      <c r="A372">
        <v>371</v>
      </c>
      <c r="B372" t="s">
        <v>52</v>
      </c>
      <c r="C372">
        <v>2008</v>
      </c>
      <c r="D372">
        <v>5.6</v>
      </c>
      <c r="E372" t="s">
        <v>15</v>
      </c>
      <c r="F372">
        <v>272555</v>
      </c>
      <c r="G372" t="s">
        <v>30</v>
      </c>
      <c r="H372">
        <v>63703.77</v>
      </c>
      <c r="I372" t="s">
        <v>59</v>
      </c>
      <c r="J372" t="s">
        <v>18</v>
      </c>
      <c r="K372" t="s">
        <v>26</v>
      </c>
      <c r="L372">
        <v>18</v>
      </c>
      <c r="M372">
        <v>0.23</v>
      </c>
      <c r="N372" t="s">
        <v>33</v>
      </c>
    </row>
    <row r="373" spans="1:14" x14ac:dyDescent="0.25">
      <c r="A373">
        <v>372</v>
      </c>
      <c r="B373" t="s">
        <v>43</v>
      </c>
      <c r="C373">
        <v>2020</v>
      </c>
      <c r="D373">
        <v>5.6</v>
      </c>
      <c r="E373" t="s">
        <v>15</v>
      </c>
      <c r="F373">
        <v>148843</v>
      </c>
      <c r="G373" t="s">
        <v>16</v>
      </c>
      <c r="H373">
        <v>94771.69</v>
      </c>
      <c r="I373" t="s">
        <v>44</v>
      </c>
      <c r="J373" t="s">
        <v>18</v>
      </c>
      <c r="K373" t="s">
        <v>19</v>
      </c>
      <c r="L373">
        <v>6</v>
      </c>
      <c r="M373">
        <v>0.64</v>
      </c>
      <c r="N373" t="s">
        <v>20</v>
      </c>
    </row>
    <row r="374" spans="1:14" x14ac:dyDescent="0.25">
      <c r="A374">
        <v>373</v>
      </c>
      <c r="B374" t="s">
        <v>24</v>
      </c>
      <c r="C374">
        <v>2001</v>
      </c>
      <c r="D374">
        <v>2.7</v>
      </c>
      <c r="E374" t="s">
        <v>15</v>
      </c>
      <c r="F374">
        <v>297197</v>
      </c>
      <c r="G374" t="s">
        <v>30</v>
      </c>
      <c r="H374">
        <v>66410.899999999994</v>
      </c>
      <c r="I374" t="s">
        <v>35</v>
      </c>
      <c r="J374" t="s">
        <v>41</v>
      </c>
      <c r="K374" t="s">
        <v>26</v>
      </c>
      <c r="L374">
        <v>25</v>
      </c>
      <c r="M374">
        <v>0.22</v>
      </c>
      <c r="N374" t="s">
        <v>20</v>
      </c>
    </row>
    <row r="375" spans="1:14" x14ac:dyDescent="0.25">
      <c r="A375">
        <v>374</v>
      </c>
      <c r="B375" t="s">
        <v>21</v>
      </c>
      <c r="C375">
        <v>2008</v>
      </c>
      <c r="D375">
        <v>3.6</v>
      </c>
      <c r="E375" t="s">
        <v>27</v>
      </c>
      <c r="F375">
        <v>248966</v>
      </c>
      <c r="G375" t="s">
        <v>30</v>
      </c>
      <c r="H375">
        <v>25518.6</v>
      </c>
      <c r="I375" t="s">
        <v>60</v>
      </c>
      <c r="J375" t="s">
        <v>32</v>
      </c>
      <c r="K375" t="s">
        <v>26</v>
      </c>
      <c r="L375">
        <v>18</v>
      </c>
      <c r="M375">
        <v>0.1</v>
      </c>
      <c r="N375" t="s">
        <v>20</v>
      </c>
    </row>
    <row r="376" spans="1:14" x14ac:dyDescent="0.25">
      <c r="A376">
        <v>375</v>
      </c>
      <c r="B376" t="s">
        <v>14</v>
      </c>
      <c r="C376">
        <v>2000</v>
      </c>
      <c r="D376">
        <v>2.1</v>
      </c>
      <c r="E376" t="s">
        <v>15</v>
      </c>
      <c r="F376">
        <v>138117</v>
      </c>
      <c r="G376" t="s">
        <v>16</v>
      </c>
      <c r="H376">
        <v>74221.02</v>
      </c>
      <c r="I376" t="s">
        <v>17</v>
      </c>
      <c r="J376" t="s">
        <v>18</v>
      </c>
      <c r="K376" t="s">
        <v>19</v>
      </c>
      <c r="L376">
        <v>26</v>
      </c>
      <c r="M376">
        <v>0.54</v>
      </c>
      <c r="N376" t="s">
        <v>20</v>
      </c>
    </row>
    <row r="377" spans="1:14" x14ac:dyDescent="0.25">
      <c r="A377">
        <v>376</v>
      </c>
      <c r="B377" t="s">
        <v>29</v>
      </c>
      <c r="C377">
        <v>2010</v>
      </c>
      <c r="D377">
        <v>6</v>
      </c>
      <c r="E377" t="s">
        <v>15</v>
      </c>
      <c r="F377">
        <v>29714</v>
      </c>
      <c r="G377" t="s">
        <v>22</v>
      </c>
      <c r="H377">
        <v>66342.48</v>
      </c>
      <c r="I377" t="s">
        <v>38</v>
      </c>
      <c r="J377" t="s">
        <v>46</v>
      </c>
      <c r="K377" t="s">
        <v>50</v>
      </c>
      <c r="L377">
        <v>16</v>
      </c>
      <c r="M377">
        <v>2.23</v>
      </c>
      <c r="N377" t="s">
        <v>33</v>
      </c>
    </row>
    <row r="378" spans="1:14" x14ac:dyDescent="0.25">
      <c r="A378">
        <v>377</v>
      </c>
      <c r="B378" t="s">
        <v>52</v>
      </c>
      <c r="C378">
        <v>2002</v>
      </c>
      <c r="D378">
        <v>5.9</v>
      </c>
      <c r="E378" t="s">
        <v>15</v>
      </c>
      <c r="F378">
        <v>165458</v>
      </c>
      <c r="G378" t="s">
        <v>16</v>
      </c>
      <c r="H378">
        <v>98645.75</v>
      </c>
      <c r="I378" t="s">
        <v>61</v>
      </c>
      <c r="J378" t="s">
        <v>46</v>
      </c>
      <c r="K378" t="s">
        <v>26</v>
      </c>
      <c r="L378">
        <v>24</v>
      </c>
      <c r="M378">
        <v>0.6</v>
      </c>
      <c r="N378" t="s">
        <v>33</v>
      </c>
    </row>
    <row r="379" spans="1:14" x14ac:dyDescent="0.25">
      <c r="A379">
        <v>378</v>
      </c>
      <c r="B379" t="s">
        <v>52</v>
      </c>
      <c r="C379">
        <v>2019</v>
      </c>
      <c r="D379">
        <v>4.2</v>
      </c>
      <c r="E379" t="s">
        <v>15</v>
      </c>
      <c r="F379">
        <v>270706</v>
      </c>
      <c r="G379" t="s">
        <v>30</v>
      </c>
      <c r="H379">
        <v>25320.09</v>
      </c>
      <c r="I379" t="s">
        <v>56</v>
      </c>
      <c r="J379" t="s">
        <v>41</v>
      </c>
      <c r="K379" t="s">
        <v>26</v>
      </c>
      <c r="L379">
        <v>7</v>
      </c>
      <c r="M379">
        <v>0.09</v>
      </c>
      <c r="N379" t="s">
        <v>33</v>
      </c>
    </row>
    <row r="380" spans="1:14" x14ac:dyDescent="0.25">
      <c r="A380">
        <v>379</v>
      </c>
      <c r="B380" t="s">
        <v>21</v>
      </c>
      <c r="C380">
        <v>2022</v>
      </c>
      <c r="D380">
        <v>5</v>
      </c>
      <c r="E380" t="s">
        <v>15</v>
      </c>
      <c r="F380">
        <v>12026</v>
      </c>
      <c r="G380" t="s">
        <v>22</v>
      </c>
      <c r="H380">
        <v>61799.07</v>
      </c>
      <c r="I380" t="s">
        <v>60</v>
      </c>
      <c r="J380" t="s">
        <v>18</v>
      </c>
      <c r="K380" t="s">
        <v>50</v>
      </c>
      <c r="L380">
        <v>4</v>
      </c>
      <c r="M380">
        <v>5.14</v>
      </c>
      <c r="N380" t="s">
        <v>20</v>
      </c>
    </row>
    <row r="381" spans="1:14" x14ac:dyDescent="0.25">
      <c r="A381">
        <v>380</v>
      </c>
      <c r="B381" t="s">
        <v>29</v>
      </c>
      <c r="C381">
        <v>2003</v>
      </c>
      <c r="D381">
        <v>4.5999999999999996</v>
      </c>
      <c r="E381" t="s">
        <v>15</v>
      </c>
      <c r="F381">
        <v>106147</v>
      </c>
      <c r="G381" t="s">
        <v>22</v>
      </c>
      <c r="H381">
        <v>79115.91</v>
      </c>
      <c r="I381" t="s">
        <v>40</v>
      </c>
      <c r="J381" t="s">
        <v>32</v>
      </c>
      <c r="K381" t="s">
        <v>19</v>
      </c>
      <c r="L381">
        <v>23</v>
      </c>
      <c r="M381">
        <v>0.75</v>
      </c>
      <c r="N381" t="s">
        <v>33</v>
      </c>
    </row>
    <row r="382" spans="1:14" x14ac:dyDescent="0.25">
      <c r="A382">
        <v>381</v>
      </c>
      <c r="B382" t="s">
        <v>29</v>
      </c>
      <c r="C382">
        <v>2017</v>
      </c>
      <c r="D382">
        <v>4</v>
      </c>
      <c r="E382" t="s">
        <v>27</v>
      </c>
      <c r="F382">
        <v>31589</v>
      </c>
      <c r="G382" t="s">
        <v>22</v>
      </c>
      <c r="H382">
        <v>37203.39</v>
      </c>
      <c r="I382" t="s">
        <v>40</v>
      </c>
      <c r="J382" t="s">
        <v>18</v>
      </c>
      <c r="K382" t="s">
        <v>50</v>
      </c>
      <c r="L382">
        <v>9</v>
      </c>
      <c r="M382">
        <v>1.18</v>
      </c>
      <c r="N382" t="s">
        <v>33</v>
      </c>
    </row>
    <row r="383" spans="1:14" x14ac:dyDescent="0.25">
      <c r="A383">
        <v>382</v>
      </c>
      <c r="B383" t="s">
        <v>43</v>
      </c>
      <c r="C383">
        <v>2022</v>
      </c>
      <c r="D383">
        <v>1.3</v>
      </c>
      <c r="E383" t="s">
        <v>27</v>
      </c>
      <c r="F383">
        <v>108199</v>
      </c>
      <c r="G383" t="s">
        <v>16</v>
      </c>
      <c r="H383">
        <v>41069.56</v>
      </c>
      <c r="I383" t="s">
        <v>48</v>
      </c>
      <c r="J383" t="s">
        <v>46</v>
      </c>
      <c r="K383" t="s">
        <v>19</v>
      </c>
      <c r="L383">
        <v>4</v>
      </c>
      <c r="M383">
        <v>0.38</v>
      </c>
      <c r="N383" t="s">
        <v>20</v>
      </c>
    </row>
    <row r="384" spans="1:14" x14ac:dyDescent="0.25">
      <c r="A384">
        <v>383</v>
      </c>
      <c r="B384" t="s">
        <v>14</v>
      </c>
      <c r="C384">
        <v>2005</v>
      </c>
      <c r="D384">
        <v>3.3</v>
      </c>
      <c r="E384" t="s">
        <v>27</v>
      </c>
      <c r="F384">
        <v>288988</v>
      </c>
      <c r="G384" t="s">
        <v>22</v>
      </c>
      <c r="H384">
        <v>89350.67</v>
      </c>
      <c r="I384" t="s">
        <v>28</v>
      </c>
      <c r="J384" t="s">
        <v>18</v>
      </c>
      <c r="K384" t="s">
        <v>26</v>
      </c>
      <c r="L384">
        <v>21</v>
      </c>
      <c r="M384">
        <v>0.31</v>
      </c>
      <c r="N384" t="s">
        <v>20</v>
      </c>
    </row>
    <row r="385" spans="1:14" x14ac:dyDescent="0.25">
      <c r="A385">
        <v>384</v>
      </c>
      <c r="B385" t="s">
        <v>43</v>
      </c>
      <c r="C385">
        <v>2002</v>
      </c>
      <c r="D385">
        <v>4.4000000000000004</v>
      </c>
      <c r="E385" t="s">
        <v>15</v>
      </c>
      <c r="F385">
        <v>208574</v>
      </c>
      <c r="G385" t="s">
        <v>22</v>
      </c>
      <c r="H385">
        <v>43398.51</v>
      </c>
      <c r="I385" t="s">
        <v>49</v>
      </c>
      <c r="J385" t="s">
        <v>41</v>
      </c>
      <c r="K385" t="s">
        <v>26</v>
      </c>
      <c r="L385">
        <v>24</v>
      </c>
      <c r="M385">
        <v>0.21</v>
      </c>
      <c r="N385" t="s">
        <v>20</v>
      </c>
    </row>
    <row r="386" spans="1:14" x14ac:dyDescent="0.25">
      <c r="A386">
        <v>385</v>
      </c>
      <c r="B386" t="s">
        <v>43</v>
      </c>
      <c r="C386">
        <v>2021</v>
      </c>
      <c r="D386">
        <v>4.4000000000000004</v>
      </c>
      <c r="E386" t="s">
        <v>15</v>
      </c>
      <c r="F386">
        <v>214340</v>
      </c>
      <c r="G386" t="s">
        <v>22</v>
      </c>
      <c r="H386">
        <v>64349.62</v>
      </c>
      <c r="I386" t="s">
        <v>44</v>
      </c>
      <c r="J386" t="s">
        <v>41</v>
      </c>
      <c r="K386" t="s">
        <v>26</v>
      </c>
      <c r="L386">
        <v>5</v>
      </c>
      <c r="M386">
        <v>0.3</v>
      </c>
      <c r="N386" t="s">
        <v>20</v>
      </c>
    </row>
    <row r="387" spans="1:14" x14ac:dyDescent="0.25">
      <c r="A387">
        <v>386</v>
      </c>
      <c r="B387" t="s">
        <v>43</v>
      </c>
      <c r="C387">
        <v>2010</v>
      </c>
      <c r="D387">
        <v>2.9</v>
      </c>
      <c r="E387" t="s">
        <v>15</v>
      </c>
      <c r="F387">
        <v>54708</v>
      </c>
      <c r="G387" t="s">
        <v>30</v>
      </c>
      <c r="H387">
        <v>89477.62</v>
      </c>
      <c r="I387" t="s">
        <v>55</v>
      </c>
      <c r="J387" t="s">
        <v>32</v>
      </c>
      <c r="K387" t="s">
        <v>19</v>
      </c>
      <c r="L387">
        <v>16</v>
      </c>
      <c r="M387">
        <v>1.64</v>
      </c>
      <c r="N387" t="s">
        <v>20</v>
      </c>
    </row>
    <row r="388" spans="1:14" x14ac:dyDescent="0.25">
      <c r="A388">
        <v>387</v>
      </c>
      <c r="B388" t="s">
        <v>43</v>
      </c>
      <c r="C388">
        <v>2014</v>
      </c>
      <c r="D388">
        <v>5.7</v>
      </c>
      <c r="E388" t="s">
        <v>27</v>
      </c>
      <c r="F388">
        <v>70825</v>
      </c>
      <c r="G388" t="s">
        <v>16</v>
      </c>
      <c r="H388">
        <v>24933.53</v>
      </c>
      <c r="I388" t="s">
        <v>48</v>
      </c>
      <c r="J388" t="s">
        <v>32</v>
      </c>
      <c r="K388" t="s">
        <v>19</v>
      </c>
      <c r="L388">
        <v>12</v>
      </c>
      <c r="M388">
        <v>0.35</v>
      </c>
      <c r="N388" t="s">
        <v>20</v>
      </c>
    </row>
    <row r="389" spans="1:14" x14ac:dyDescent="0.25">
      <c r="A389">
        <v>388</v>
      </c>
      <c r="B389" t="s">
        <v>43</v>
      </c>
      <c r="C389">
        <v>2021</v>
      </c>
      <c r="D389">
        <v>1.8</v>
      </c>
      <c r="E389" t="s">
        <v>15</v>
      </c>
      <c r="F389">
        <v>51574</v>
      </c>
      <c r="G389" t="s">
        <v>16</v>
      </c>
      <c r="H389">
        <v>98278.34</v>
      </c>
      <c r="I389" t="s">
        <v>44</v>
      </c>
      <c r="J389" t="s">
        <v>46</v>
      </c>
      <c r="K389" t="s">
        <v>19</v>
      </c>
      <c r="L389">
        <v>5</v>
      </c>
      <c r="M389">
        <v>1.91</v>
      </c>
      <c r="N389" t="s">
        <v>20</v>
      </c>
    </row>
    <row r="390" spans="1:14" x14ac:dyDescent="0.25">
      <c r="A390">
        <v>389</v>
      </c>
      <c r="B390" t="s">
        <v>24</v>
      </c>
      <c r="C390">
        <v>2004</v>
      </c>
      <c r="D390">
        <v>3.5</v>
      </c>
      <c r="E390" t="s">
        <v>15</v>
      </c>
      <c r="F390">
        <v>232409</v>
      </c>
      <c r="G390" t="s">
        <v>30</v>
      </c>
      <c r="H390">
        <v>71685.59</v>
      </c>
      <c r="I390" t="s">
        <v>45</v>
      </c>
      <c r="J390" t="s">
        <v>32</v>
      </c>
      <c r="K390" t="s">
        <v>26</v>
      </c>
      <c r="L390">
        <v>22</v>
      </c>
      <c r="M390">
        <v>0.31</v>
      </c>
      <c r="N390" t="s">
        <v>20</v>
      </c>
    </row>
    <row r="391" spans="1:14" x14ac:dyDescent="0.25">
      <c r="A391">
        <v>390</v>
      </c>
      <c r="B391" t="s">
        <v>29</v>
      </c>
      <c r="C391">
        <v>2019</v>
      </c>
      <c r="D391">
        <v>4.5</v>
      </c>
      <c r="E391" t="s">
        <v>27</v>
      </c>
      <c r="F391">
        <v>186381</v>
      </c>
      <c r="G391" t="s">
        <v>22</v>
      </c>
      <c r="H391">
        <v>52131.56</v>
      </c>
      <c r="I391" t="s">
        <v>38</v>
      </c>
      <c r="J391" t="s">
        <v>18</v>
      </c>
      <c r="K391" t="s">
        <v>26</v>
      </c>
      <c r="L391">
        <v>7</v>
      </c>
      <c r="M391">
        <v>0.28000000000000003</v>
      </c>
      <c r="N391" t="s">
        <v>33</v>
      </c>
    </row>
    <row r="392" spans="1:14" x14ac:dyDescent="0.25">
      <c r="A392">
        <v>391</v>
      </c>
      <c r="B392" t="s">
        <v>43</v>
      </c>
      <c r="C392">
        <v>2009</v>
      </c>
      <c r="D392">
        <v>4.5</v>
      </c>
      <c r="E392" t="s">
        <v>27</v>
      </c>
      <c r="F392">
        <v>64230</v>
      </c>
      <c r="G392" t="s">
        <v>30</v>
      </c>
      <c r="H392">
        <v>45937.45</v>
      </c>
      <c r="I392" t="s">
        <v>48</v>
      </c>
      <c r="J392" t="s">
        <v>41</v>
      </c>
      <c r="K392" t="s">
        <v>19</v>
      </c>
      <c r="L392">
        <v>17</v>
      </c>
      <c r="M392">
        <v>0.72</v>
      </c>
      <c r="N392" t="s">
        <v>20</v>
      </c>
    </row>
    <row r="393" spans="1:14" x14ac:dyDescent="0.25">
      <c r="A393">
        <v>392</v>
      </c>
      <c r="B393" t="s">
        <v>29</v>
      </c>
      <c r="C393">
        <v>2011</v>
      </c>
      <c r="D393">
        <v>4.2</v>
      </c>
      <c r="E393" t="s">
        <v>15</v>
      </c>
      <c r="F393">
        <v>254451</v>
      </c>
      <c r="G393" t="s">
        <v>30</v>
      </c>
      <c r="H393">
        <v>95664.639999999999</v>
      </c>
      <c r="I393" t="s">
        <v>31</v>
      </c>
      <c r="J393" t="s">
        <v>41</v>
      </c>
      <c r="K393" t="s">
        <v>26</v>
      </c>
      <c r="L393">
        <v>15</v>
      </c>
      <c r="M393">
        <v>0.38</v>
      </c>
      <c r="N393" t="s">
        <v>33</v>
      </c>
    </row>
    <row r="394" spans="1:14" x14ac:dyDescent="0.25">
      <c r="A394">
        <v>393</v>
      </c>
      <c r="B394" t="s">
        <v>29</v>
      </c>
      <c r="C394">
        <v>2014</v>
      </c>
      <c r="D394">
        <v>2.4</v>
      </c>
      <c r="E394" t="s">
        <v>15</v>
      </c>
      <c r="F394">
        <v>247174</v>
      </c>
      <c r="G394" t="s">
        <v>22</v>
      </c>
      <c r="H394">
        <v>24543.86</v>
      </c>
      <c r="I394" t="s">
        <v>40</v>
      </c>
      <c r="J394" t="s">
        <v>41</v>
      </c>
      <c r="K394" t="s">
        <v>26</v>
      </c>
      <c r="L394">
        <v>12</v>
      </c>
      <c r="M394">
        <v>0.1</v>
      </c>
      <c r="N394" t="s">
        <v>33</v>
      </c>
    </row>
    <row r="395" spans="1:14" x14ac:dyDescent="0.25">
      <c r="A395">
        <v>394</v>
      </c>
      <c r="B395" t="s">
        <v>36</v>
      </c>
      <c r="C395">
        <v>2016</v>
      </c>
      <c r="D395">
        <v>1.8</v>
      </c>
      <c r="E395" t="s">
        <v>15</v>
      </c>
      <c r="F395">
        <v>219700</v>
      </c>
      <c r="G395" t="s">
        <v>22</v>
      </c>
      <c r="H395">
        <v>34609.910000000003</v>
      </c>
      <c r="I395" t="s">
        <v>51</v>
      </c>
      <c r="J395" t="s">
        <v>32</v>
      </c>
      <c r="K395" t="s">
        <v>26</v>
      </c>
      <c r="L395">
        <v>10</v>
      </c>
      <c r="M395">
        <v>0.16</v>
      </c>
      <c r="N395" t="s">
        <v>33</v>
      </c>
    </row>
    <row r="396" spans="1:14" x14ac:dyDescent="0.25">
      <c r="A396">
        <v>395</v>
      </c>
      <c r="B396" t="s">
        <v>24</v>
      </c>
      <c r="C396">
        <v>2009</v>
      </c>
      <c r="D396">
        <v>4.2</v>
      </c>
      <c r="E396" t="s">
        <v>15</v>
      </c>
      <c r="F396">
        <v>287249</v>
      </c>
      <c r="G396" t="s">
        <v>16</v>
      </c>
      <c r="H396">
        <v>34240.31</v>
      </c>
      <c r="I396" t="s">
        <v>35</v>
      </c>
      <c r="J396" t="s">
        <v>41</v>
      </c>
      <c r="K396" t="s">
        <v>26</v>
      </c>
      <c r="L396">
        <v>17</v>
      </c>
      <c r="M396">
        <v>0.12</v>
      </c>
      <c r="N396" t="s">
        <v>20</v>
      </c>
    </row>
    <row r="397" spans="1:14" x14ac:dyDescent="0.25">
      <c r="A397">
        <v>396</v>
      </c>
      <c r="B397" t="s">
        <v>43</v>
      </c>
      <c r="C397">
        <v>2005</v>
      </c>
      <c r="D397">
        <v>4</v>
      </c>
      <c r="E397" t="s">
        <v>27</v>
      </c>
      <c r="F397">
        <v>246514</v>
      </c>
      <c r="G397" t="s">
        <v>22</v>
      </c>
      <c r="H397">
        <v>32455.599999999999</v>
      </c>
      <c r="I397" t="s">
        <v>44</v>
      </c>
      <c r="J397" t="s">
        <v>41</v>
      </c>
      <c r="K397" t="s">
        <v>26</v>
      </c>
      <c r="L397">
        <v>21</v>
      </c>
      <c r="M397">
        <v>0.13</v>
      </c>
      <c r="N397" t="s">
        <v>20</v>
      </c>
    </row>
    <row r="398" spans="1:14" x14ac:dyDescent="0.25">
      <c r="A398">
        <v>397</v>
      </c>
      <c r="B398" t="s">
        <v>52</v>
      </c>
      <c r="C398">
        <v>2017</v>
      </c>
      <c r="D398">
        <v>1.9</v>
      </c>
      <c r="E398" t="s">
        <v>15</v>
      </c>
      <c r="F398">
        <v>264491</v>
      </c>
      <c r="G398" t="s">
        <v>30</v>
      </c>
      <c r="H398">
        <v>49511.11</v>
      </c>
      <c r="I398" t="s">
        <v>61</v>
      </c>
      <c r="J398" t="s">
        <v>41</v>
      </c>
      <c r="K398" t="s">
        <v>26</v>
      </c>
      <c r="L398">
        <v>9</v>
      </c>
      <c r="M398">
        <v>0.19</v>
      </c>
      <c r="N398" t="s">
        <v>33</v>
      </c>
    </row>
    <row r="399" spans="1:14" x14ac:dyDescent="0.25">
      <c r="A399">
        <v>398</v>
      </c>
      <c r="B399" t="s">
        <v>21</v>
      </c>
      <c r="C399">
        <v>2012</v>
      </c>
      <c r="D399">
        <v>4.5</v>
      </c>
      <c r="E399" t="s">
        <v>15</v>
      </c>
      <c r="F399">
        <v>226094</v>
      </c>
      <c r="G399" t="s">
        <v>30</v>
      </c>
      <c r="H399">
        <v>98972.03</v>
      </c>
      <c r="I399" t="s">
        <v>23</v>
      </c>
      <c r="J399" t="s">
        <v>46</v>
      </c>
      <c r="K399" t="s">
        <v>26</v>
      </c>
      <c r="L399">
        <v>14</v>
      </c>
      <c r="M399">
        <v>0.44</v>
      </c>
      <c r="N399" t="s">
        <v>20</v>
      </c>
    </row>
    <row r="400" spans="1:14" x14ac:dyDescent="0.25">
      <c r="A400">
        <v>399</v>
      </c>
      <c r="B400" t="s">
        <v>14</v>
      </c>
      <c r="C400">
        <v>2002</v>
      </c>
      <c r="D400">
        <v>3.3</v>
      </c>
      <c r="E400" t="s">
        <v>27</v>
      </c>
      <c r="F400">
        <v>148182</v>
      </c>
      <c r="G400" t="s">
        <v>22</v>
      </c>
      <c r="H400">
        <v>89434.74</v>
      </c>
      <c r="I400" t="s">
        <v>17</v>
      </c>
      <c r="J400" t="s">
        <v>18</v>
      </c>
      <c r="K400" t="s">
        <v>19</v>
      </c>
      <c r="L400">
        <v>24</v>
      </c>
      <c r="M400">
        <v>0.6</v>
      </c>
      <c r="N400" t="s">
        <v>20</v>
      </c>
    </row>
    <row r="401" spans="1:14" x14ac:dyDescent="0.25">
      <c r="A401">
        <v>400</v>
      </c>
      <c r="B401" t="s">
        <v>52</v>
      </c>
      <c r="C401">
        <v>2023</v>
      </c>
      <c r="D401">
        <v>4.3</v>
      </c>
      <c r="E401" t="s">
        <v>15</v>
      </c>
      <c r="F401">
        <v>193242</v>
      </c>
      <c r="G401" t="s">
        <v>16</v>
      </c>
      <c r="H401">
        <v>36155.21</v>
      </c>
      <c r="I401" t="s">
        <v>56</v>
      </c>
      <c r="J401" t="s">
        <v>32</v>
      </c>
      <c r="K401" t="s">
        <v>26</v>
      </c>
      <c r="L401">
        <v>3</v>
      </c>
      <c r="M401">
        <v>0.19</v>
      </c>
      <c r="N401" t="s">
        <v>33</v>
      </c>
    </row>
    <row r="402" spans="1:14" x14ac:dyDescent="0.25">
      <c r="A402">
        <v>401</v>
      </c>
      <c r="B402" t="s">
        <v>24</v>
      </c>
      <c r="C402">
        <v>2009</v>
      </c>
      <c r="D402">
        <v>5.2</v>
      </c>
      <c r="E402" t="s">
        <v>15</v>
      </c>
      <c r="F402">
        <v>182873</v>
      </c>
      <c r="G402" t="s">
        <v>30</v>
      </c>
      <c r="H402">
        <v>45172.66</v>
      </c>
      <c r="I402" t="s">
        <v>25</v>
      </c>
      <c r="J402" t="s">
        <v>41</v>
      </c>
      <c r="K402" t="s">
        <v>26</v>
      </c>
      <c r="L402">
        <v>17</v>
      </c>
      <c r="M402">
        <v>0.25</v>
      </c>
      <c r="N402" t="s">
        <v>20</v>
      </c>
    </row>
    <row r="403" spans="1:14" x14ac:dyDescent="0.25">
      <c r="A403">
        <v>402</v>
      </c>
      <c r="B403" t="s">
        <v>21</v>
      </c>
      <c r="C403">
        <v>2013</v>
      </c>
      <c r="D403">
        <v>1.8</v>
      </c>
      <c r="E403" t="s">
        <v>27</v>
      </c>
      <c r="F403">
        <v>124926</v>
      </c>
      <c r="G403" t="s">
        <v>22</v>
      </c>
      <c r="H403">
        <v>68600.67</v>
      </c>
      <c r="I403" t="s">
        <v>60</v>
      </c>
      <c r="J403" t="s">
        <v>32</v>
      </c>
      <c r="K403" t="s">
        <v>19</v>
      </c>
      <c r="L403">
        <v>13</v>
      </c>
      <c r="M403">
        <v>0.55000000000000004</v>
      </c>
      <c r="N403" t="s">
        <v>20</v>
      </c>
    </row>
    <row r="404" spans="1:14" x14ac:dyDescent="0.25">
      <c r="A404">
        <v>403</v>
      </c>
      <c r="B404" t="s">
        <v>24</v>
      </c>
      <c r="C404">
        <v>2005</v>
      </c>
      <c r="D404">
        <v>1.1000000000000001</v>
      </c>
      <c r="E404" t="s">
        <v>27</v>
      </c>
      <c r="F404">
        <v>81147</v>
      </c>
      <c r="G404" t="s">
        <v>16</v>
      </c>
      <c r="H404">
        <v>6629.41</v>
      </c>
      <c r="I404" t="s">
        <v>35</v>
      </c>
      <c r="J404" t="s">
        <v>41</v>
      </c>
      <c r="K404" t="s">
        <v>19</v>
      </c>
      <c r="L404">
        <v>21</v>
      </c>
      <c r="M404">
        <v>0.08</v>
      </c>
      <c r="N404" t="s">
        <v>20</v>
      </c>
    </row>
    <row r="405" spans="1:14" x14ac:dyDescent="0.25">
      <c r="A405">
        <v>404</v>
      </c>
      <c r="B405" t="s">
        <v>29</v>
      </c>
      <c r="C405">
        <v>2002</v>
      </c>
      <c r="D405">
        <v>4.9000000000000004</v>
      </c>
      <c r="E405" t="s">
        <v>15</v>
      </c>
      <c r="F405">
        <v>19199</v>
      </c>
      <c r="G405" t="s">
        <v>16</v>
      </c>
      <c r="H405">
        <v>82914.600000000006</v>
      </c>
      <c r="I405" t="s">
        <v>38</v>
      </c>
      <c r="J405" t="s">
        <v>41</v>
      </c>
      <c r="K405" t="s">
        <v>50</v>
      </c>
      <c r="L405">
        <v>24</v>
      </c>
      <c r="M405">
        <v>4.32</v>
      </c>
      <c r="N405" t="s">
        <v>33</v>
      </c>
    </row>
    <row r="406" spans="1:14" x14ac:dyDescent="0.25">
      <c r="A406">
        <v>405</v>
      </c>
      <c r="B406" t="s">
        <v>21</v>
      </c>
      <c r="C406">
        <v>2015</v>
      </c>
      <c r="D406">
        <v>4</v>
      </c>
      <c r="E406" t="s">
        <v>27</v>
      </c>
      <c r="F406">
        <v>183208</v>
      </c>
      <c r="G406" t="s">
        <v>30</v>
      </c>
      <c r="H406">
        <v>88580.82</v>
      </c>
      <c r="I406" t="s">
        <v>23</v>
      </c>
      <c r="J406" t="s">
        <v>41</v>
      </c>
      <c r="K406" t="s">
        <v>26</v>
      </c>
      <c r="L406">
        <v>11</v>
      </c>
      <c r="M406">
        <v>0.48</v>
      </c>
      <c r="N406" t="s">
        <v>20</v>
      </c>
    </row>
    <row r="407" spans="1:14" x14ac:dyDescent="0.25">
      <c r="A407">
        <v>406</v>
      </c>
      <c r="B407" t="s">
        <v>29</v>
      </c>
      <c r="C407">
        <v>2006</v>
      </c>
      <c r="D407">
        <v>4.5</v>
      </c>
      <c r="E407" t="s">
        <v>27</v>
      </c>
      <c r="F407">
        <v>220868</v>
      </c>
      <c r="G407" t="s">
        <v>30</v>
      </c>
      <c r="H407">
        <v>86434.03</v>
      </c>
      <c r="I407" t="s">
        <v>38</v>
      </c>
      <c r="J407" t="s">
        <v>32</v>
      </c>
      <c r="K407" t="s">
        <v>26</v>
      </c>
      <c r="L407">
        <v>20</v>
      </c>
      <c r="M407">
        <v>0.39</v>
      </c>
      <c r="N407" t="s">
        <v>33</v>
      </c>
    </row>
    <row r="408" spans="1:14" x14ac:dyDescent="0.25">
      <c r="A408">
        <v>407</v>
      </c>
      <c r="B408" t="s">
        <v>52</v>
      </c>
      <c r="C408">
        <v>2019</v>
      </c>
      <c r="D408">
        <v>5.2</v>
      </c>
      <c r="E408" t="s">
        <v>15</v>
      </c>
      <c r="F408">
        <v>120787</v>
      </c>
      <c r="G408" t="s">
        <v>16</v>
      </c>
      <c r="H408">
        <v>40630.17</v>
      </c>
      <c r="I408" t="s">
        <v>56</v>
      </c>
      <c r="J408" t="s">
        <v>32</v>
      </c>
      <c r="K408" t="s">
        <v>19</v>
      </c>
      <c r="L408">
        <v>7</v>
      </c>
      <c r="M408">
        <v>0.34</v>
      </c>
      <c r="N408" t="s">
        <v>33</v>
      </c>
    </row>
    <row r="409" spans="1:14" x14ac:dyDescent="0.25">
      <c r="A409">
        <v>408</v>
      </c>
      <c r="B409" t="s">
        <v>52</v>
      </c>
      <c r="C409">
        <v>2013</v>
      </c>
      <c r="D409">
        <v>5</v>
      </c>
      <c r="E409" t="s">
        <v>27</v>
      </c>
      <c r="F409">
        <v>114427</v>
      </c>
      <c r="G409" t="s">
        <v>16</v>
      </c>
      <c r="H409">
        <v>48889.95</v>
      </c>
      <c r="I409" t="s">
        <v>56</v>
      </c>
      <c r="J409" t="s">
        <v>41</v>
      </c>
      <c r="K409" t="s">
        <v>19</v>
      </c>
      <c r="L409">
        <v>13</v>
      </c>
      <c r="M409">
        <v>0.43</v>
      </c>
      <c r="N409" t="s">
        <v>33</v>
      </c>
    </row>
    <row r="410" spans="1:14" x14ac:dyDescent="0.25">
      <c r="A410">
        <v>409</v>
      </c>
      <c r="B410" t="s">
        <v>21</v>
      </c>
      <c r="C410">
        <v>2008</v>
      </c>
      <c r="D410">
        <v>5.8</v>
      </c>
      <c r="E410" t="s">
        <v>15</v>
      </c>
      <c r="F410">
        <v>148063</v>
      </c>
      <c r="G410" t="s">
        <v>16</v>
      </c>
      <c r="H410">
        <v>6176.89</v>
      </c>
      <c r="I410" t="s">
        <v>60</v>
      </c>
      <c r="J410" t="s">
        <v>18</v>
      </c>
      <c r="K410" t="s">
        <v>19</v>
      </c>
      <c r="L410">
        <v>18</v>
      </c>
      <c r="M410">
        <v>0.04</v>
      </c>
      <c r="N410" t="s">
        <v>20</v>
      </c>
    </row>
    <row r="411" spans="1:14" x14ac:dyDescent="0.25">
      <c r="A411">
        <v>410</v>
      </c>
      <c r="B411" t="s">
        <v>21</v>
      </c>
      <c r="C411">
        <v>2014</v>
      </c>
      <c r="D411">
        <v>3.7</v>
      </c>
      <c r="E411" t="s">
        <v>15</v>
      </c>
      <c r="F411">
        <v>153625</v>
      </c>
      <c r="G411" t="s">
        <v>22</v>
      </c>
      <c r="H411">
        <v>42942.559999999998</v>
      </c>
      <c r="I411" t="s">
        <v>47</v>
      </c>
      <c r="J411" t="s">
        <v>32</v>
      </c>
      <c r="K411" t="s">
        <v>26</v>
      </c>
      <c r="L411">
        <v>12</v>
      </c>
      <c r="M411">
        <v>0.28000000000000003</v>
      </c>
      <c r="N411" t="s">
        <v>20</v>
      </c>
    </row>
    <row r="412" spans="1:14" x14ac:dyDescent="0.25">
      <c r="A412">
        <v>411</v>
      </c>
      <c r="B412" t="s">
        <v>43</v>
      </c>
      <c r="C412">
        <v>2020</v>
      </c>
      <c r="D412">
        <v>3.4</v>
      </c>
      <c r="E412" t="s">
        <v>15</v>
      </c>
      <c r="F412">
        <v>220782</v>
      </c>
      <c r="G412" t="s">
        <v>30</v>
      </c>
      <c r="H412">
        <v>48740.55</v>
      </c>
      <c r="I412" t="s">
        <v>44</v>
      </c>
      <c r="J412" t="s">
        <v>46</v>
      </c>
      <c r="K412" t="s">
        <v>26</v>
      </c>
      <c r="L412">
        <v>6</v>
      </c>
      <c r="M412">
        <v>0.22</v>
      </c>
      <c r="N412" t="s">
        <v>20</v>
      </c>
    </row>
    <row r="413" spans="1:14" x14ac:dyDescent="0.25">
      <c r="A413">
        <v>412</v>
      </c>
      <c r="B413" t="s">
        <v>24</v>
      </c>
      <c r="C413">
        <v>2002</v>
      </c>
      <c r="D413">
        <v>3</v>
      </c>
      <c r="E413" t="s">
        <v>15</v>
      </c>
      <c r="F413">
        <v>87493</v>
      </c>
      <c r="G413" t="s">
        <v>16</v>
      </c>
      <c r="H413">
        <v>91162.559999999998</v>
      </c>
      <c r="I413" t="s">
        <v>34</v>
      </c>
      <c r="J413" t="s">
        <v>32</v>
      </c>
      <c r="K413" t="s">
        <v>19</v>
      </c>
      <c r="L413">
        <v>24</v>
      </c>
      <c r="M413">
        <v>1.04</v>
      </c>
      <c r="N413" t="s">
        <v>20</v>
      </c>
    </row>
    <row r="414" spans="1:14" x14ac:dyDescent="0.25">
      <c r="A414">
        <v>413</v>
      </c>
      <c r="B414" t="s">
        <v>43</v>
      </c>
      <c r="C414">
        <v>2001</v>
      </c>
      <c r="D414">
        <v>1.8</v>
      </c>
      <c r="E414" t="s">
        <v>27</v>
      </c>
      <c r="F414">
        <v>274915</v>
      </c>
      <c r="G414" t="s">
        <v>30</v>
      </c>
      <c r="H414">
        <v>89928.83</v>
      </c>
      <c r="I414" t="s">
        <v>44</v>
      </c>
      <c r="J414" t="s">
        <v>41</v>
      </c>
      <c r="K414" t="s">
        <v>26</v>
      </c>
      <c r="L414">
        <v>25</v>
      </c>
      <c r="M414">
        <v>0.33</v>
      </c>
      <c r="N414" t="s">
        <v>20</v>
      </c>
    </row>
    <row r="415" spans="1:14" x14ac:dyDescent="0.25">
      <c r="A415">
        <v>414</v>
      </c>
      <c r="B415" t="s">
        <v>24</v>
      </c>
      <c r="C415">
        <v>2001</v>
      </c>
      <c r="D415">
        <v>3.9</v>
      </c>
      <c r="E415" t="s">
        <v>15</v>
      </c>
      <c r="F415">
        <v>125607</v>
      </c>
      <c r="G415" t="s">
        <v>30</v>
      </c>
      <c r="H415">
        <v>96779.22</v>
      </c>
      <c r="I415" t="s">
        <v>34</v>
      </c>
      <c r="J415" t="s">
        <v>18</v>
      </c>
      <c r="K415" t="s">
        <v>19</v>
      </c>
      <c r="L415">
        <v>25</v>
      </c>
      <c r="M415">
        <v>0.77</v>
      </c>
      <c r="N415" t="s">
        <v>20</v>
      </c>
    </row>
    <row r="416" spans="1:14" x14ac:dyDescent="0.25">
      <c r="A416">
        <v>415</v>
      </c>
      <c r="B416" t="s">
        <v>43</v>
      </c>
      <c r="C416">
        <v>2002</v>
      </c>
      <c r="D416">
        <v>2.4</v>
      </c>
      <c r="E416" t="s">
        <v>15</v>
      </c>
      <c r="F416">
        <v>246834</v>
      </c>
      <c r="G416" t="s">
        <v>30</v>
      </c>
      <c r="H416">
        <v>89084.97</v>
      </c>
      <c r="I416" t="s">
        <v>44</v>
      </c>
      <c r="J416" t="s">
        <v>41</v>
      </c>
      <c r="K416" t="s">
        <v>26</v>
      </c>
      <c r="L416">
        <v>24</v>
      </c>
      <c r="M416">
        <v>0.36</v>
      </c>
      <c r="N416" t="s">
        <v>20</v>
      </c>
    </row>
    <row r="417" spans="1:14" x14ac:dyDescent="0.25">
      <c r="A417">
        <v>416</v>
      </c>
      <c r="B417" t="s">
        <v>29</v>
      </c>
      <c r="C417">
        <v>2017</v>
      </c>
      <c r="D417">
        <v>5.6</v>
      </c>
      <c r="E417" t="s">
        <v>15</v>
      </c>
      <c r="F417">
        <v>79876</v>
      </c>
      <c r="G417" t="s">
        <v>16</v>
      </c>
      <c r="H417">
        <v>5779.07</v>
      </c>
      <c r="I417" t="s">
        <v>40</v>
      </c>
      <c r="J417" t="s">
        <v>46</v>
      </c>
      <c r="K417" t="s">
        <v>19</v>
      </c>
      <c r="L417">
        <v>9</v>
      </c>
      <c r="M417">
        <v>7.0000000000000007E-2</v>
      </c>
      <c r="N417" t="s">
        <v>33</v>
      </c>
    </row>
    <row r="418" spans="1:14" x14ac:dyDescent="0.25">
      <c r="A418">
        <v>417</v>
      </c>
      <c r="B418" t="s">
        <v>21</v>
      </c>
      <c r="C418">
        <v>2013</v>
      </c>
      <c r="D418">
        <v>3.9</v>
      </c>
      <c r="E418" t="s">
        <v>15</v>
      </c>
      <c r="F418">
        <v>167071</v>
      </c>
      <c r="G418" t="s">
        <v>22</v>
      </c>
      <c r="H418">
        <v>65938.78</v>
      </c>
      <c r="I418" t="s">
        <v>60</v>
      </c>
      <c r="J418" t="s">
        <v>32</v>
      </c>
      <c r="K418" t="s">
        <v>26</v>
      </c>
      <c r="L418">
        <v>13</v>
      </c>
      <c r="M418">
        <v>0.39</v>
      </c>
      <c r="N418" t="s">
        <v>20</v>
      </c>
    </row>
    <row r="419" spans="1:14" x14ac:dyDescent="0.25">
      <c r="A419">
        <v>418</v>
      </c>
      <c r="B419" t="s">
        <v>52</v>
      </c>
      <c r="C419">
        <v>2019</v>
      </c>
      <c r="D419">
        <v>4</v>
      </c>
      <c r="E419" t="s">
        <v>27</v>
      </c>
      <c r="F419">
        <v>202959</v>
      </c>
      <c r="G419" t="s">
        <v>16</v>
      </c>
      <c r="H419">
        <v>11482.58</v>
      </c>
      <c r="I419" t="s">
        <v>59</v>
      </c>
      <c r="J419" t="s">
        <v>32</v>
      </c>
      <c r="K419" t="s">
        <v>26</v>
      </c>
      <c r="L419">
        <v>7</v>
      </c>
      <c r="M419">
        <v>0.06</v>
      </c>
      <c r="N419" t="s">
        <v>33</v>
      </c>
    </row>
    <row r="420" spans="1:14" x14ac:dyDescent="0.25">
      <c r="A420">
        <v>419</v>
      </c>
      <c r="B420" t="s">
        <v>24</v>
      </c>
      <c r="C420">
        <v>2017</v>
      </c>
      <c r="D420">
        <v>2.8</v>
      </c>
      <c r="E420" t="s">
        <v>27</v>
      </c>
      <c r="F420">
        <v>243722</v>
      </c>
      <c r="G420" t="s">
        <v>30</v>
      </c>
      <c r="H420">
        <v>30896.46</v>
      </c>
      <c r="I420" t="s">
        <v>25</v>
      </c>
      <c r="J420" t="s">
        <v>41</v>
      </c>
      <c r="K420" t="s">
        <v>26</v>
      </c>
      <c r="L420">
        <v>9</v>
      </c>
      <c r="M420">
        <v>0.13</v>
      </c>
      <c r="N420" t="s">
        <v>20</v>
      </c>
    </row>
    <row r="421" spans="1:14" x14ac:dyDescent="0.25">
      <c r="A421">
        <v>420</v>
      </c>
      <c r="B421" t="s">
        <v>24</v>
      </c>
      <c r="C421">
        <v>2009</v>
      </c>
      <c r="D421">
        <v>1.3</v>
      </c>
      <c r="E421" t="s">
        <v>27</v>
      </c>
      <c r="F421">
        <v>44440</v>
      </c>
      <c r="G421" t="s">
        <v>16</v>
      </c>
      <c r="H421">
        <v>59939.22</v>
      </c>
      <c r="I421" t="s">
        <v>34</v>
      </c>
      <c r="J421" t="s">
        <v>41</v>
      </c>
      <c r="K421" t="s">
        <v>50</v>
      </c>
      <c r="L421">
        <v>17</v>
      </c>
      <c r="M421">
        <v>1.35</v>
      </c>
      <c r="N421" t="s">
        <v>20</v>
      </c>
    </row>
    <row r="422" spans="1:14" x14ac:dyDescent="0.25">
      <c r="A422">
        <v>421</v>
      </c>
      <c r="B422" t="s">
        <v>52</v>
      </c>
      <c r="C422">
        <v>2001</v>
      </c>
      <c r="D422">
        <v>1.2</v>
      </c>
      <c r="E422" t="s">
        <v>15</v>
      </c>
      <c r="F422">
        <v>31655</v>
      </c>
      <c r="G422" t="s">
        <v>16</v>
      </c>
      <c r="H422">
        <v>71558.31</v>
      </c>
      <c r="I422" t="s">
        <v>53</v>
      </c>
      <c r="J422" t="s">
        <v>46</v>
      </c>
      <c r="K422" t="s">
        <v>50</v>
      </c>
      <c r="L422">
        <v>25</v>
      </c>
      <c r="M422">
        <v>2.2599999999999998</v>
      </c>
      <c r="N422" t="s">
        <v>33</v>
      </c>
    </row>
    <row r="423" spans="1:14" x14ac:dyDescent="0.25">
      <c r="A423">
        <v>422</v>
      </c>
      <c r="B423" t="s">
        <v>43</v>
      </c>
      <c r="C423">
        <v>2021</v>
      </c>
      <c r="D423">
        <v>3.1</v>
      </c>
      <c r="E423" t="s">
        <v>27</v>
      </c>
      <c r="F423">
        <v>43039</v>
      </c>
      <c r="G423" t="s">
        <v>30</v>
      </c>
      <c r="H423">
        <v>67190.039999999994</v>
      </c>
      <c r="I423" t="s">
        <v>44</v>
      </c>
      <c r="J423" t="s">
        <v>18</v>
      </c>
      <c r="K423" t="s">
        <v>50</v>
      </c>
      <c r="L423">
        <v>5</v>
      </c>
      <c r="M423">
        <v>1.56</v>
      </c>
      <c r="N423" t="s">
        <v>20</v>
      </c>
    </row>
    <row r="424" spans="1:14" x14ac:dyDescent="0.25">
      <c r="A424">
        <v>423</v>
      </c>
      <c r="B424" t="s">
        <v>24</v>
      </c>
      <c r="C424">
        <v>2000</v>
      </c>
      <c r="D424">
        <v>1.4</v>
      </c>
      <c r="E424" t="s">
        <v>27</v>
      </c>
      <c r="F424">
        <v>72219</v>
      </c>
      <c r="G424" t="s">
        <v>30</v>
      </c>
      <c r="H424">
        <v>9660.5400000000009</v>
      </c>
      <c r="I424" t="s">
        <v>34</v>
      </c>
      <c r="J424" t="s">
        <v>46</v>
      </c>
      <c r="K424" t="s">
        <v>19</v>
      </c>
      <c r="L424">
        <v>26</v>
      </c>
      <c r="M424">
        <v>0.13</v>
      </c>
      <c r="N424" t="s">
        <v>20</v>
      </c>
    </row>
    <row r="425" spans="1:14" x14ac:dyDescent="0.25">
      <c r="A425">
        <v>424</v>
      </c>
      <c r="B425" t="s">
        <v>14</v>
      </c>
      <c r="C425">
        <v>2003</v>
      </c>
      <c r="D425">
        <v>4</v>
      </c>
      <c r="E425" t="s">
        <v>15</v>
      </c>
      <c r="F425">
        <v>186061</v>
      </c>
      <c r="G425" t="s">
        <v>16</v>
      </c>
      <c r="H425">
        <v>14842.37</v>
      </c>
      <c r="I425" t="s">
        <v>58</v>
      </c>
      <c r="J425" t="s">
        <v>18</v>
      </c>
      <c r="K425" t="s">
        <v>26</v>
      </c>
      <c r="L425">
        <v>23</v>
      </c>
      <c r="M425">
        <v>0.08</v>
      </c>
      <c r="N425" t="s">
        <v>20</v>
      </c>
    </row>
    <row r="426" spans="1:14" x14ac:dyDescent="0.25">
      <c r="A426">
        <v>425</v>
      </c>
      <c r="B426" t="s">
        <v>29</v>
      </c>
      <c r="C426">
        <v>2013</v>
      </c>
      <c r="D426">
        <v>5.4</v>
      </c>
      <c r="E426" t="s">
        <v>27</v>
      </c>
      <c r="F426">
        <v>273388</v>
      </c>
      <c r="G426" t="s">
        <v>16</v>
      </c>
      <c r="H426">
        <v>17215.75</v>
      </c>
      <c r="I426" t="s">
        <v>40</v>
      </c>
      <c r="J426" t="s">
        <v>32</v>
      </c>
      <c r="K426" t="s">
        <v>26</v>
      </c>
      <c r="L426">
        <v>13</v>
      </c>
      <c r="M426">
        <v>0.06</v>
      </c>
      <c r="N426" t="s">
        <v>33</v>
      </c>
    </row>
    <row r="427" spans="1:14" x14ac:dyDescent="0.25">
      <c r="A427">
        <v>426</v>
      </c>
      <c r="B427" t="s">
        <v>21</v>
      </c>
      <c r="C427">
        <v>2000</v>
      </c>
      <c r="D427">
        <v>5.4</v>
      </c>
      <c r="E427" t="s">
        <v>15</v>
      </c>
      <c r="F427">
        <v>94594</v>
      </c>
      <c r="G427" t="s">
        <v>16</v>
      </c>
      <c r="H427">
        <v>13684.37</v>
      </c>
      <c r="I427" t="s">
        <v>42</v>
      </c>
      <c r="J427" t="s">
        <v>18</v>
      </c>
      <c r="K427" t="s">
        <v>19</v>
      </c>
      <c r="L427">
        <v>26</v>
      </c>
      <c r="M427">
        <v>0.14000000000000001</v>
      </c>
      <c r="N427" t="s">
        <v>20</v>
      </c>
    </row>
    <row r="428" spans="1:14" x14ac:dyDescent="0.25">
      <c r="A428">
        <v>427</v>
      </c>
      <c r="B428" t="s">
        <v>52</v>
      </c>
      <c r="C428">
        <v>2013</v>
      </c>
      <c r="D428">
        <v>4.3</v>
      </c>
      <c r="E428" t="s">
        <v>27</v>
      </c>
      <c r="F428">
        <v>170623</v>
      </c>
      <c r="G428" t="s">
        <v>16</v>
      </c>
      <c r="H428">
        <v>21932.27</v>
      </c>
      <c r="I428" t="s">
        <v>59</v>
      </c>
      <c r="J428" t="s">
        <v>18</v>
      </c>
      <c r="K428" t="s">
        <v>26</v>
      </c>
      <c r="L428">
        <v>13</v>
      </c>
      <c r="M428">
        <v>0.13</v>
      </c>
      <c r="N428" t="s">
        <v>33</v>
      </c>
    </row>
    <row r="429" spans="1:14" x14ac:dyDescent="0.25">
      <c r="A429">
        <v>428</v>
      </c>
      <c r="B429" t="s">
        <v>21</v>
      </c>
      <c r="C429">
        <v>2015</v>
      </c>
      <c r="D429">
        <v>2.1</v>
      </c>
      <c r="E429" t="s">
        <v>27</v>
      </c>
      <c r="F429">
        <v>194302</v>
      </c>
      <c r="G429" t="s">
        <v>22</v>
      </c>
      <c r="H429">
        <v>70406.34</v>
      </c>
      <c r="I429" t="s">
        <v>23</v>
      </c>
      <c r="J429" t="s">
        <v>32</v>
      </c>
      <c r="K429" t="s">
        <v>26</v>
      </c>
      <c r="L429">
        <v>11</v>
      </c>
      <c r="M429">
        <v>0.36</v>
      </c>
      <c r="N429" t="s">
        <v>20</v>
      </c>
    </row>
    <row r="430" spans="1:14" x14ac:dyDescent="0.25">
      <c r="A430">
        <v>429</v>
      </c>
      <c r="B430" t="s">
        <v>14</v>
      </c>
      <c r="C430">
        <v>2021</v>
      </c>
      <c r="D430">
        <v>5.3</v>
      </c>
      <c r="E430" t="s">
        <v>27</v>
      </c>
      <c r="F430">
        <v>290515</v>
      </c>
      <c r="G430" t="s">
        <v>16</v>
      </c>
      <c r="H430">
        <v>83929.54</v>
      </c>
      <c r="I430" t="s">
        <v>39</v>
      </c>
      <c r="J430" t="s">
        <v>18</v>
      </c>
      <c r="K430" t="s">
        <v>26</v>
      </c>
      <c r="L430">
        <v>5</v>
      </c>
      <c r="M430">
        <v>0.28999999999999998</v>
      </c>
      <c r="N430" t="s">
        <v>20</v>
      </c>
    </row>
    <row r="431" spans="1:14" x14ac:dyDescent="0.25">
      <c r="A431">
        <v>430</v>
      </c>
      <c r="B431" t="s">
        <v>24</v>
      </c>
      <c r="C431">
        <v>2013</v>
      </c>
      <c r="D431">
        <v>5.4</v>
      </c>
      <c r="E431" t="s">
        <v>27</v>
      </c>
      <c r="F431">
        <v>159950</v>
      </c>
      <c r="G431" t="s">
        <v>22</v>
      </c>
      <c r="H431">
        <v>43837.32</v>
      </c>
      <c r="I431" t="s">
        <v>35</v>
      </c>
      <c r="J431" t="s">
        <v>32</v>
      </c>
      <c r="K431" t="s">
        <v>26</v>
      </c>
      <c r="L431">
        <v>13</v>
      </c>
      <c r="M431">
        <v>0.27</v>
      </c>
      <c r="N431" t="s">
        <v>20</v>
      </c>
    </row>
    <row r="432" spans="1:14" x14ac:dyDescent="0.25">
      <c r="A432">
        <v>431</v>
      </c>
      <c r="B432" t="s">
        <v>24</v>
      </c>
      <c r="C432">
        <v>2019</v>
      </c>
      <c r="D432">
        <v>2</v>
      </c>
      <c r="E432" t="s">
        <v>15</v>
      </c>
      <c r="F432">
        <v>167229</v>
      </c>
      <c r="G432" t="s">
        <v>30</v>
      </c>
      <c r="H432">
        <v>70814.240000000005</v>
      </c>
      <c r="I432" t="s">
        <v>45</v>
      </c>
      <c r="J432" t="s">
        <v>46</v>
      </c>
      <c r="K432" t="s">
        <v>26</v>
      </c>
      <c r="L432">
        <v>7</v>
      </c>
      <c r="M432">
        <v>0.42</v>
      </c>
      <c r="N432" t="s">
        <v>20</v>
      </c>
    </row>
    <row r="433" spans="1:14" x14ac:dyDescent="0.25">
      <c r="A433">
        <v>432</v>
      </c>
      <c r="B433" t="s">
        <v>14</v>
      </c>
      <c r="C433">
        <v>2002</v>
      </c>
      <c r="D433">
        <v>4.7</v>
      </c>
      <c r="E433" t="s">
        <v>15</v>
      </c>
      <c r="F433">
        <v>5914</v>
      </c>
      <c r="G433" t="s">
        <v>22</v>
      </c>
      <c r="H433">
        <v>24001.54</v>
      </c>
      <c r="I433" t="s">
        <v>28</v>
      </c>
      <c r="J433" t="s">
        <v>18</v>
      </c>
      <c r="K433" t="s">
        <v>50</v>
      </c>
      <c r="L433">
        <v>24</v>
      </c>
      <c r="M433">
        <v>4.0599999999999996</v>
      </c>
      <c r="N433" t="s">
        <v>20</v>
      </c>
    </row>
    <row r="434" spans="1:14" x14ac:dyDescent="0.25">
      <c r="A434">
        <v>433</v>
      </c>
      <c r="B434" t="s">
        <v>52</v>
      </c>
      <c r="C434">
        <v>2002</v>
      </c>
      <c r="D434">
        <v>2.4</v>
      </c>
      <c r="E434" t="s">
        <v>27</v>
      </c>
      <c r="F434">
        <v>214772</v>
      </c>
      <c r="G434" t="s">
        <v>30</v>
      </c>
      <c r="H434">
        <v>97461.61</v>
      </c>
      <c r="I434" t="s">
        <v>59</v>
      </c>
      <c r="J434" t="s">
        <v>41</v>
      </c>
      <c r="K434" t="s">
        <v>26</v>
      </c>
      <c r="L434">
        <v>24</v>
      </c>
      <c r="M434">
        <v>0.45</v>
      </c>
      <c r="N434" t="s">
        <v>33</v>
      </c>
    </row>
    <row r="435" spans="1:14" x14ac:dyDescent="0.25">
      <c r="A435">
        <v>434</v>
      </c>
      <c r="B435" t="s">
        <v>29</v>
      </c>
      <c r="C435">
        <v>2008</v>
      </c>
      <c r="D435">
        <v>5</v>
      </c>
      <c r="E435" t="s">
        <v>15</v>
      </c>
      <c r="F435">
        <v>289324</v>
      </c>
      <c r="G435" t="s">
        <v>22</v>
      </c>
      <c r="H435">
        <v>38249.760000000002</v>
      </c>
      <c r="I435" t="s">
        <v>40</v>
      </c>
      <c r="J435" t="s">
        <v>32</v>
      </c>
      <c r="K435" t="s">
        <v>26</v>
      </c>
      <c r="L435">
        <v>18</v>
      </c>
      <c r="M435">
        <v>0.13</v>
      </c>
      <c r="N435" t="s">
        <v>33</v>
      </c>
    </row>
    <row r="436" spans="1:14" x14ac:dyDescent="0.25">
      <c r="A436">
        <v>435</v>
      </c>
      <c r="B436" t="s">
        <v>36</v>
      </c>
      <c r="C436">
        <v>2005</v>
      </c>
      <c r="D436">
        <v>6</v>
      </c>
      <c r="E436" t="s">
        <v>27</v>
      </c>
      <c r="F436">
        <v>227561</v>
      </c>
      <c r="G436" t="s">
        <v>30</v>
      </c>
      <c r="H436">
        <v>85357.36</v>
      </c>
      <c r="I436" t="s">
        <v>54</v>
      </c>
      <c r="J436" t="s">
        <v>32</v>
      </c>
      <c r="K436" t="s">
        <v>26</v>
      </c>
      <c r="L436">
        <v>21</v>
      </c>
      <c r="M436">
        <v>0.38</v>
      </c>
      <c r="N436" t="s">
        <v>33</v>
      </c>
    </row>
    <row r="437" spans="1:14" x14ac:dyDescent="0.25">
      <c r="A437">
        <v>436</v>
      </c>
      <c r="B437" t="s">
        <v>52</v>
      </c>
      <c r="C437">
        <v>2012</v>
      </c>
      <c r="D437">
        <v>1.2</v>
      </c>
      <c r="E437" t="s">
        <v>27</v>
      </c>
      <c r="F437">
        <v>187435</v>
      </c>
      <c r="G437" t="s">
        <v>16</v>
      </c>
      <c r="H437">
        <v>94809.81</v>
      </c>
      <c r="I437" t="s">
        <v>53</v>
      </c>
      <c r="J437" t="s">
        <v>32</v>
      </c>
      <c r="K437" t="s">
        <v>26</v>
      </c>
      <c r="L437">
        <v>14</v>
      </c>
      <c r="M437">
        <v>0.51</v>
      </c>
      <c r="N437" t="s">
        <v>33</v>
      </c>
    </row>
    <row r="438" spans="1:14" x14ac:dyDescent="0.25">
      <c r="A438">
        <v>437</v>
      </c>
      <c r="B438" t="s">
        <v>36</v>
      </c>
      <c r="C438">
        <v>2020</v>
      </c>
      <c r="D438">
        <v>5.5</v>
      </c>
      <c r="E438" t="s">
        <v>27</v>
      </c>
      <c r="F438">
        <v>95213</v>
      </c>
      <c r="G438" t="s">
        <v>22</v>
      </c>
      <c r="H438">
        <v>87147.83</v>
      </c>
      <c r="I438" t="s">
        <v>57</v>
      </c>
      <c r="J438" t="s">
        <v>18</v>
      </c>
      <c r="K438" t="s">
        <v>19</v>
      </c>
      <c r="L438">
        <v>6</v>
      </c>
      <c r="M438">
        <v>0.92</v>
      </c>
      <c r="N438" t="s">
        <v>33</v>
      </c>
    </row>
    <row r="439" spans="1:14" x14ac:dyDescent="0.25">
      <c r="A439">
        <v>438</v>
      </c>
      <c r="B439" t="s">
        <v>14</v>
      </c>
      <c r="C439">
        <v>2001</v>
      </c>
      <c r="D439">
        <v>4.0999999999999996</v>
      </c>
      <c r="E439" t="s">
        <v>27</v>
      </c>
      <c r="F439">
        <v>37805</v>
      </c>
      <c r="G439" t="s">
        <v>22</v>
      </c>
      <c r="H439">
        <v>11371.43</v>
      </c>
      <c r="I439" t="s">
        <v>58</v>
      </c>
      <c r="J439" t="s">
        <v>18</v>
      </c>
      <c r="K439" t="s">
        <v>50</v>
      </c>
      <c r="L439">
        <v>25</v>
      </c>
      <c r="M439">
        <v>0.3</v>
      </c>
      <c r="N439" t="s">
        <v>20</v>
      </c>
    </row>
    <row r="440" spans="1:14" x14ac:dyDescent="0.25">
      <c r="A440">
        <v>439</v>
      </c>
      <c r="B440" t="s">
        <v>43</v>
      </c>
      <c r="C440">
        <v>2007</v>
      </c>
      <c r="D440">
        <v>5.9</v>
      </c>
      <c r="E440" t="s">
        <v>27</v>
      </c>
      <c r="F440">
        <v>126599</v>
      </c>
      <c r="G440" t="s">
        <v>30</v>
      </c>
      <c r="H440">
        <v>66779.179999999993</v>
      </c>
      <c r="I440" t="s">
        <v>48</v>
      </c>
      <c r="J440" t="s">
        <v>32</v>
      </c>
      <c r="K440" t="s">
        <v>19</v>
      </c>
      <c r="L440">
        <v>19</v>
      </c>
      <c r="M440">
        <v>0.53</v>
      </c>
      <c r="N440" t="s">
        <v>20</v>
      </c>
    </row>
    <row r="441" spans="1:14" x14ac:dyDescent="0.25">
      <c r="A441">
        <v>440</v>
      </c>
      <c r="B441" t="s">
        <v>36</v>
      </c>
      <c r="C441">
        <v>2020</v>
      </c>
      <c r="D441">
        <v>3.3</v>
      </c>
      <c r="E441" t="s">
        <v>27</v>
      </c>
      <c r="F441">
        <v>153775</v>
      </c>
      <c r="G441" t="s">
        <v>30</v>
      </c>
      <c r="H441">
        <v>16408.62</v>
      </c>
      <c r="I441" t="s">
        <v>37</v>
      </c>
      <c r="J441" t="s">
        <v>46</v>
      </c>
      <c r="K441" t="s">
        <v>26</v>
      </c>
      <c r="L441">
        <v>6</v>
      </c>
      <c r="M441">
        <v>0.11</v>
      </c>
      <c r="N441" t="s">
        <v>33</v>
      </c>
    </row>
    <row r="442" spans="1:14" x14ac:dyDescent="0.25">
      <c r="A442">
        <v>441</v>
      </c>
      <c r="B442" t="s">
        <v>29</v>
      </c>
      <c r="C442">
        <v>2001</v>
      </c>
      <c r="D442">
        <v>5.2</v>
      </c>
      <c r="E442" t="s">
        <v>15</v>
      </c>
      <c r="F442">
        <v>190093</v>
      </c>
      <c r="G442" t="s">
        <v>22</v>
      </c>
      <c r="H442">
        <v>5537.99</v>
      </c>
      <c r="I442" t="s">
        <v>31</v>
      </c>
      <c r="J442" t="s">
        <v>41</v>
      </c>
      <c r="K442" t="s">
        <v>26</v>
      </c>
      <c r="L442">
        <v>25</v>
      </c>
      <c r="M442">
        <v>0.03</v>
      </c>
      <c r="N442" t="s">
        <v>33</v>
      </c>
    </row>
    <row r="443" spans="1:14" x14ac:dyDescent="0.25">
      <c r="A443">
        <v>442</v>
      </c>
      <c r="B443" t="s">
        <v>43</v>
      </c>
      <c r="C443">
        <v>2003</v>
      </c>
      <c r="D443">
        <v>1.3</v>
      </c>
      <c r="E443" t="s">
        <v>15</v>
      </c>
      <c r="F443">
        <v>74176</v>
      </c>
      <c r="G443" t="s">
        <v>30</v>
      </c>
      <c r="H443">
        <v>9919.43</v>
      </c>
      <c r="I443" t="s">
        <v>44</v>
      </c>
      <c r="J443" t="s">
        <v>41</v>
      </c>
      <c r="K443" t="s">
        <v>19</v>
      </c>
      <c r="L443">
        <v>23</v>
      </c>
      <c r="M443">
        <v>0.13</v>
      </c>
      <c r="N443" t="s">
        <v>20</v>
      </c>
    </row>
    <row r="444" spans="1:14" x14ac:dyDescent="0.25">
      <c r="A444">
        <v>443</v>
      </c>
      <c r="B444" t="s">
        <v>36</v>
      </c>
      <c r="C444">
        <v>2014</v>
      </c>
      <c r="D444">
        <v>2.7</v>
      </c>
      <c r="E444" t="s">
        <v>27</v>
      </c>
      <c r="F444">
        <v>94799</v>
      </c>
      <c r="G444" t="s">
        <v>16</v>
      </c>
      <c r="H444">
        <v>92034.17</v>
      </c>
      <c r="I444" t="s">
        <v>37</v>
      </c>
      <c r="J444" t="s">
        <v>32</v>
      </c>
      <c r="K444" t="s">
        <v>19</v>
      </c>
      <c r="L444">
        <v>12</v>
      </c>
      <c r="M444">
        <v>0.97</v>
      </c>
      <c r="N444" t="s">
        <v>33</v>
      </c>
    </row>
    <row r="445" spans="1:14" x14ac:dyDescent="0.25">
      <c r="A445">
        <v>444</v>
      </c>
      <c r="B445" t="s">
        <v>14</v>
      </c>
      <c r="C445">
        <v>2003</v>
      </c>
      <c r="D445">
        <v>1.3</v>
      </c>
      <c r="E445" t="s">
        <v>15</v>
      </c>
      <c r="F445">
        <v>98385</v>
      </c>
      <c r="G445" t="s">
        <v>22</v>
      </c>
      <c r="H445">
        <v>91304.03</v>
      </c>
      <c r="I445" t="s">
        <v>39</v>
      </c>
      <c r="J445" t="s">
        <v>18</v>
      </c>
      <c r="K445" t="s">
        <v>19</v>
      </c>
      <c r="L445">
        <v>23</v>
      </c>
      <c r="M445">
        <v>0.93</v>
      </c>
      <c r="N445" t="s">
        <v>20</v>
      </c>
    </row>
    <row r="446" spans="1:14" x14ac:dyDescent="0.25">
      <c r="A446">
        <v>445</v>
      </c>
      <c r="B446" t="s">
        <v>43</v>
      </c>
      <c r="C446">
        <v>2012</v>
      </c>
      <c r="D446">
        <v>5.9</v>
      </c>
      <c r="E446" t="s">
        <v>27</v>
      </c>
      <c r="F446">
        <v>235654</v>
      </c>
      <c r="G446" t="s">
        <v>16</v>
      </c>
      <c r="H446">
        <v>26453.32</v>
      </c>
      <c r="I446" t="s">
        <v>48</v>
      </c>
      <c r="J446" t="s">
        <v>46</v>
      </c>
      <c r="K446" t="s">
        <v>26</v>
      </c>
      <c r="L446">
        <v>14</v>
      </c>
      <c r="M446">
        <v>0.11</v>
      </c>
      <c r="N446" t="s">
        <v>20</v>
      </c>
    </row>
    <row r="447" spans="1:14" x14ac:dyDescent="0.25">
      <c r="A447">
        <v>446</v>
      </c>
      <c r="B447" t="s">
        <v>14</v>
      </c>
      <c r="C447">
        <v>2011</v>
      </c>
      <c r="D447">
        <v>5.0999999999999996</v>
      </c>
      <c r="E447" t="s">
        <v>15</v>
      </c>
      <c r="F447">
        <v>88919</v>
      </c>
      <c r="G447" t="s">
        <v>22</v>
      </c>
      <c r="H447">
        <v>56970.82</v>
      </c>
      <c r="I447" t="s">
        <v>28</v>
      </c>
      <c r="J447" t="s">
        <v>18</v>
      </c>
      <c r="K447" t="s">
        <v>19</v>
      </c>
      <c r="L447">
        <v>15</v>
      </c>
      <c r="M447">
        <v>0.64</v>
      </c>
      <c r="N447" t="s">
        <v>20</v>
      </c>
    </row>
    <row r="448" spans="1:14" x14ac:dyDescent="0.25">
      <c r="A448">
        <v>447</v>
      </c>
      <c r="B448" t="s">
        <v>36</v>
      </c>
      <c r="C448">
        <v>2012</v>
      </c>
      <c r="D448">
        <v>5.3</v>
      </c>
      <c r="E448" t="s">
        <v>15</v>
      </c>
      <c r="F448">
        <v>81462</v>
      </c>
      <c r="G448" t="s">
        <v>16</v>
      </c>
      <c r="H448">
        <v>95727.679999999993</v>
      </c>
      <c r="I448" t="s">
        <v>54</v>
      </c>
      <c r="J448" t="s">
        <v>32</v>
      </c>
      <c r="K448" t="s">
        <v>19</v>
      </c>
      <c r="L448">
        <v>14</v>
      </c>
      <c r="M448">
        <v>1.18</v>
      </c>
      <c r="N448" t="s">
        <v>33</v>
      </c>
    </row>
    <row r="449" spans="1:14" x14ac:dyDescent="0.25">
      <c r="A449">
        <v>448</v>
      </c>
      <c r="B449" t="s">
        <v>14</v>
      </c>
      <c r="C449">
        <v>2013</v>
      </c>
      <c r="D449">
        <v>5.7</v>
      </c>
      <c r="E449" t="s">
        <v>15</v>
      </c>
      <c r="F449">
        <v>179340</v>
      </c>
      <c r="G449" t="s">
        <v>22</v>
      </c>
      <c r="H449">
        <v>52187.08</v>
      </c>
      <c r="I449" t="s">
        <v>28</v>
      </c>
      <c r="J449" t="s">
        <v>18</v>
      </c>
      <c r="K449" t="s">
        <v>26</v>
      </c>
      <c r="L449">
        <v>13</v>
      </c>
      <c r="M449">
        <v>0.28999999999999998</v>
      </c>
      <c r="N449" t="s">
        <v>20</v>
      </c>
    </row>
    <row r="450" spans="1:14" x14ac:dyDescent="0.25">
      <c r="A450">
        <v>449</v>
      </c>
      <c r="B450" t="s">
        <v>29</v>
      </c>
      <c r="C450">
        <v>2019</v>
      </c>
      <c r="D450">
        <v>1.4</v>
      </c>
      <c r="E450" t="s">
        <v>27</v>
      </c>
      <c r="F450">
        <v>165320</v>
      </c>
      <c r="G450" t="s">
        <v>30</v>
      </c>
      <c r="H450">
        <v>42389.89</v>
      </c>
      <c r="I450" t="s">
        <v>31</v>
      </c>
      <c r="J450" t="s">
        <v>46</v>
      </c>
      <c r="K450" t="s">
        <v>26</v>
      </c>
      <c r="L450">
        <v>7</v>
      </c>
      <c r="M450">
        <v>0.26</v>
      </c>
      <c r="N450" t="s">
        <v>33</v>
      </c>
    </row>
    <row r="451" spans="1:14" x14ac:dyDescent="0.25">
      <c r="A451">
        <v>450</v>
      </c>
      <c r="B451" t="s">
        <v>36</v>
      </c>
      <c r="C451">
        <v>2017</v>
      </c>
      <c r="D451">
        <v>2.9</v>
      </c>
      <c r="E451" t="s">
        <v>15</v>
      </c>
      <c r="F451">
        <v>31159</v>
      </c>
      <c r="G451" t="s">
        <v>22</v>
      </c>
      <c r="H451">
        <v>50908.63</v>
      </c>
      <c r="I451" t="s">
        <v>51</v>
      </c>
      <c r="J451" t="s">
        <v>46</v>
      </c>
      <c r="K451" t="s">
        <v>50</v>
      </c>
      <c r="L451">
        <v>9</v>
      </c>
      <c r="M451">
        <v>1.63</v>
      </c>
      <c r="N451" t="s">
        <v>33</v>
      </c>
    </row>
    <row r="452" spans="1:14" x14ac:dyDescent="0.25">
      <c r="A452">
        <v>451</v>
      </c>
      <c r="B452" t="s">
        <v>36</v>
      </c>
      <c r="C452">
        <v>2005</v>
      </c>
      <c r="D452">
        <v>1.4</v>
      </c>
      <c r="E452" t="s">
        <v>27</v>
      </c>
      <c r="F452">
        <v>42039</v>
      </c>
      <c r="G452" t="s">
        <v>16</v>
      </c>
      <c r="H452">
        <v>80070.5</v>
      </c>
      <c r="I452" t="s">
        <v>57</v>
      </c>
      <c r="J452" t="s">
        <v>41</v>
      </c>
      <c r="K452" t="s">
        <v>50</v>
      </c>
      <c r="L452">
        <v>21</v>
      </c>
      <c r="M452">
        <v>1.9</v>
      </c>
      <c r="N452" t="s">
        <v>33</v>
      </c>
    </row>
    <row r="453" spans="1:14" x14ac:dyDescent="0.25">
      <c r="A453">
        <v>452</v>
      </c>
      <c r="B453" t="s">
        <v>36</v>
      </c>
      <c r="C453">
        <v>2010</v>
      </c>
      <c r="D453">
        <v>2.1</v>
      </c>
      <c r="E453" t="s">
        <v>27</v>
      </c>
      <c r="F453">
        <v>232974</v>
      </c>
      <c r="G453" t="s">
        <v>22</v>
      </c>
      <c r="H453">
        <v>50341.38</v>
      </c>
      <c r="I453" t="s">
        <v>37</v>
      </c>
      <c r="J453" t="s">
        <v>46</v>
      </c>
      <c r="K453" t="s">
        <v>26</v>
      </c>
      <c r="L453">
        <v>16</v>
      </c>
      <c r="M453">
        <v>0.22</v>
      </c>
      <c r="N453" t="s">
        <v>33</v>
      </c>
    </row>
    <row r="454" spans="1:14" x14ac:dyDescent="0.25">
      <c r="A454">
        <v>453</v>
      </c>
      <c r="B454" t="s">
        <v>52</v>
      </c>
      <c r="C454">
        <v>2001</v>
      </c>
      <c r="D454">
        <v>2.1</v>
      </c>
      <c r="E454" t="s">
        <v>27</v>
      </c>
      <c r="F454">
        <v>47800</v>
      </c>
      <c r="G454" t="s">
        <v>16</v>
      </c>
      <c r="H454">
        <v>79411.38</v>
      </c>
      <c r="I454" t="s">
        <v>53</v>
      </c>
      <c r="J454" t="s">
        <v>46</v>
      </c>
      <c r="K454" t="s">
        <v>50</v>
      </c>
      <c r="L454">
        <v>25</v>
      </c>
      <c r="M454">
        <v>1.66</v>
      </c>
      <c r="N454" t="s">
        <v>33</v>
      </c>
    </row>
    <row r="455" spans="1:14" x14ac:dyDescent="0.25">
      <c r="A455">
        <v>454</v>
      </c>
      <c r="B455" t="s">
        <v>52</v>
      </c>
      <c r="C455">
        <v>2022</v>
      </c>
      <c r="D455">
        <v>3.3</v>
      </c>
      <c r="E455" t="s">
        <v>15</v>
      </c>
      <c r="F455">
        <v>94626</v>
      </c>
      <c r="G455" t="s">
        <v>16</v>
      </c>
      <c r="H455">
        <v>46011.26</v>
      </c>
      <c r="I455" t="s">
        <v>56</v>
      </c>
      <c r="J455" t="s">
        <v>32</v>
      </c>
      <c r="K455" t="s">
        <v>19</v>
      </c>
      <c r="L455">
        <v>4</v>
      </c>
      <c r="M455">
        <v>0.49</v>
      </c>
      <c r="N455" t="s">
        <v>33</v>
      </c>
    </row>
    <row r="456" spans="1:14" x14ac:dyDescent="0.25">
      <c r="A456">
        <v>455</v>
      </c>
      <c r="B456" t="s">
        <v>52</v>
      </c>
      <c r="C456">
        <v>2018</v>
      </c>
      <c r="D456">
        <v>2.2999999999999998</v>
      </c>
      <c r="E456" t="s">
        <v>15</v>
      </c>
      <c r="F456">
        <v>118368</v>
      </c>
      <c r="G456" t="s">
        <v>16</v>
      </c>
      <c r="H456">
        <v>28940.54</v>
      </c>
      <c r="I456" t="s">
        <v>61</v>
      </c>
      <c r="J456" t="s">
        <v>46</v>
      </c>
      <c r="K456" t="s">
        <v>19</v>
      </c>
      <c r="L456">
        <v>8</v>
      </c>
      <c r="M456">
        <v>0.24</v>
      </c>
      <c r="N456" t="s">
        <v>33</v>
      </c>
    </row>
    <row r="457" spans="1:14" x14ac:dyDescent="0.25">
      <c r="A457">
        <v>456</v>
      </c>
      <c r="B457" t="s">
        <v>29</v>
      </c>
      <c r="C457">
        <v>2018</v>
      </c>
      <c r="D457">
        <v>1.5</v>
      </c>
      <c r="E457" t="s">
        <v>15</v>
      </c>
      <c r="F457">
        <v>174735</v>
      </c>
      <c r="G457" t="s">
        <v>30</v>
      </c>
      <c r="H457">
        <v>36014.910000000003</v>
      </c>
      <c r="I457" t="s">
        <v>38</v>
      </c>
      <c r="J457" t="s">
        <v>41</v>
      </c>
      <c r="K457" t="s">
        <v>26</v>
      </c>
      <c r="L457">
        <v>8</v>
      </c>
      <c r="M457">
        <v>0.21</v>
      </c>
      <c r="N457" t="s">
        <v>33</v>
      </c>
    </row>
    <row r="458" spans="1:14" x14ac:dyDescent="0.25">
      <c r="A458">
        <v>457</v>
      </c>
      <c r="B458" t="s">
        <v>43</v>
      </c>
      <c r="C458">
        <v>2004</v>
      </c>
      <c r="D458">
        <v>1.8</v>
      </c>
      <c r="E458" t="s">
        <v>27</v>
      </c>
      <c r="F458">
        <v>80903</v>
      </c>
      <c r="G458" t="s">
        <v>22</v>
      </c>
      <c r="H458">
        <v>12393.23</v>
      </c>
      <c r="I458" t="s">
        <v>48</v>
      </c>
      <c r="J458" t="s">
        <v>32</v>
      </c>
      <c r="K458" t="s">
        <v>19</v>
      </c>
      <c r="L458">
        <v>22</v>
      </c>
      <c r="M458">
        <v>0.15</v>
      </c>
      <c r="N458" t="s">
        <v>20</v>
      </c>
    </row>
    <row r="459" spans="1:14" x14ac:dyDescent="0.25">
      <c r="A459">
        <v>458</v>
      </c>
      <c r="B459" t="s">
        <v>14</v>
      </c>
      <c r="C459">
        <v>2018</v>
      </c>
      <c r="D459">
        <v>1.7</v>
      </c>
      <c r="E459" t="s">
        <v>27</v>
      </c>
      <c r="F459">
        <v>118998</v>
      </c>
      <c r="G459" t="s">
        <v>16</v>
      </c>
      <c r="H459">
        <v>52251.21</v>
      </c>
      <c r="I459" t="s">
        <v>17</v>
      </c>
      <c r="J459" t="s">
        <v>18</v>
      </c>
      <c r="K459" t="s">
        <v>19</v>
      </c>
      <c r="L459">
        <v>8</v>
      </c>
      <c r="M459">
        <v>0.44</v>
      </c>
      <c r="N459" t="s">
        <v>20</v>
      </c>
    </row>
    <row r="460" spans="1:14" x14ac:dyDescent="0.25">
      <c r="A460">
        <v>459</v>
      </c>
      <c r="B460" t="s">
        <v>24</v>
      </c>
      <c r="C460">
        <v>2001</v>
      </c>
      <c r="D460">
        <v>5.9</v>
      </c>
      <c r="E460" t="s">
        <v>15</v>
      </c>
      <c r="F460">
        <v>241324</v>
      </c>
      <c r="G460" t="s">
        <v>30</v>
      </c>
      <c r="H460">
        <v>19070.54</v>
      </c>
      <c r="I460" t="s">
        <v>35</v>
      </c>
      <c r="J460" t="s">
        <v>18</v>
      </c>
      <c r="K460" t="s">
        <v>26</v>
      </c>
      <c r="L460">
        <v>25</v>
      </c>
      <c r="M460">
        <v>0.08</v>
      </c>
      <c r="N460" t="s">
        <v>20</v>
      </c>
    </row>
    <row r="461" spans="1:14" x14ac:dyDescent="0.25">
      <c r="A461">
        <v>460</v>
      </c>
      <c r="B461" t="s">
        <v>36</v>
      </c>
      <c r="C461">
        <v>2009</v>
      </c>
      <c r="D461">
        <v>4.8</v>
      </c>
      <c r="E461" t="s">
        <v>27</v>
      </c>
      <c r="F461">
        <v>233229</v>
      </c>
      <c r="G461" t="s">
        <v>16</v>
      </c>
      <c r="H461">
        <v>82096.97</v>
      </c>
      <c r="I461" t="s">
        <v>54</v>
      </c>
      <c r="J461" t="s">
        <v>41</v>
      </c>
      <c r="K461" t="s">
        <v>26</v>
      </c>
      <c r="L461">
        <v>17</v>
      </c>
      <c r="M461">
        <v>0.35</v>
      </c>
      <c r="N461" t="s">
        <v>33</v>
      </c>
    </row>
    <row r="462" spans="1:14" x14ac:dyDescent="0.25">
      <c r="A462">
        <v>461</v>
      </c>
      <c r="B462" t="s">
        <v>14</v>
      </c>
      <c r="C462">
        <v>2001</v>
      </c>
      <c r="D462">
        <v>5.8</v>
      </c>
      <c r="E462" t="s">
        <v>15</v>
      </c>
      <c r="F462">
        <v>61748</v>
      </c>
      <c r="G462" t="s">
        <v>22</v>
      </c>
      <c r="H462">
        <v>44956.1</v>
      </c>
      <c r="I462" t="s">
        <v>58</v>
      </c>
      <c r="J462" t="s">
        <v>18</v>
      </c>
      <c r="K462" t="s">
        <v>19</v>
      </c>
      <c r="L462">
        <v>25</v>
      </c>
      <c r="M462">
        <v>0.73</v>
      </c>
      <c r="N462" t="s">
        <v>20</v>
      </c>
    </row>
    <row r="463" spans="1:14" x14ac:dyDescent="0.25">
      <c r="A463">
        <v>462</v>
      </c>
      <c r="B463" t="s">
        <v>36</v>
      </c>
      <c r="C463">
        <v>2010</v>
      </c>
      <c r="D463">
        <v>3.2</v>
      </c>
      <c r="E463" t="s">
        <v>15</v>
      </c>
      <c r="F463">
        <v>41190</v>
      </c>
      <c r="G463" t="s">
        <v>30</v>
      </c>
      <c r="H463">
        <v>77675.22</v>
      </c>
      <c r="I463" t="s">
        <v>51</v>
      </c>
      <c r="J463" t="s">
        <v>32</v>
      </c>
      <c r="K463" t="s">
        <v>50</v>
      </c>
      <c r="L463">
        <v>16</v>
      </c>
      <c r="M463">
        <v>1.89</v>
      </c>
      <c r="N463" t="s">
        <v>33</v>
      </c>
    </row>
    <row r="464" spans="1:14" x14ac:dyDescent="0.25">
      <c r="A464">
        <v>463</v>
      </c>
      <c r="B464" t="s">
        <v>29</v>
      </c>
      <c r="C464">
        <v>2017</v>
      </c>
      <c r="D464">
        <v>2.4</v>
      </c>
      <c r="E464" t="s">
        <v>15</v>
      </c>
      <c r="F464">
        <v>40318</v>
      </c>
      <c r="G464" t="s">
        <v>16</v>
      </c>
      <c r="H464">
        <v>95673.74</v>
      </c>
      <c r="I464" t="s">
        <v>38</v>
      </c>
      <c r="J464" t="s">
        <v>46</v>
      </c>
      <c r="K464" t="s">
        <v>50</v>
      </c>
      <c r="L464">
        <v>9</v>
      </c>
      <c r="M464">
        <v>2.37</v>
      </c>
      <c r="N464" t="s">
        <v>33</v>
      </c>
    </row>
    <row r="465" spans="1:14" x14ac:dyDescent="0.25">
      <c r="A465">
        <v>464</v>
      </c>
      <c r="B465" t="s">
        <v>36</v>
      </c>
      <c r="C465">
        <v>2023</v>
      </c>
      <c r="D465">
        <v>5</v>
      </c>
      <c r="E465" t="s">
        <v>15</v>
      </c>
      <c r="F465">
        <v>168090</v>
      </c>
      <c r="G465" t="s">
        <v>16</v>
      </c>
      <c r="H465">
        <v>85700.41</v>
      </c>
      <c r="I465" t="s">
        <v>54</v>
      </c>
      <c r="J465" t="s">
        <v>41</v>
      </c>
      <c r="K465" t="s">
        <v>26</v>
      </c>
      <c r="L465">
        <v>3</v>
      </c>
      <c r="M465">
        <v>0.51</v>
      </c>
      <c r="N465" t="s">
        <v>33</v>
      </c>
    </row>
    <row r="466" spans="1:14" x14ac:dyDescent="0.25">
      <c r="A466">
        <v>465</v>
      </c>
      <c r="B466" t="s">
        <v>52</v>
      </c>
      <c r="C466">
        <v>2014</v>
      </c>
      <c r="D466">
        <v>2.6</v>
      </c>
      <c r="E466" t="s">
        <v>27</v>
      </c>
      <c r="F466">
        <v>124078</v>
      </c>
      <c r="G466" t="s">
        <v>16</v>
      </c>
      <c r="H466">
        <v>95389.05</v>
      </c>
      <c r="I466" t="s">
        <v>53</v>
      </c>
      <c r="J466" t="s">
        <v>32</v>
      </c>
      <c r="K466" t="s">
        <v>19</v>
      </c>
      <c r="L466">
        <v>12</v>
      </c>
      <c r="M466">
        <v>0.77</v>
      </c>
      <c r="N466" t="s">
        <v>33</v>
      </c>
    </row>
    <row r="467" spans="1:14" x14ac:dyDescent="0.25">
      <c r="A467">
        <v>466</v>
      </c>
      <c r="B467" t="s">
        <v>24</v>
      </c>
      <c r="C467">
        <v>2008</v>
      </c>
      <c r="D467">
        <v>2.5</v>
      </c>
      <c r="E467" t="s">
        <v>15</v>
      </c>
      <c r="F467">
        <v>39759</v>
      </c>
      <c r="G467" t="s">
        <v>22</v>
      </c>
      <c r="H467">
        <v>58953.97</v>
      </c>
      <c r="I467" t="s">
        <v>34</v>
      </c>
      <c r="J467" t="s">
        <v>18</v>
      </c>
      <c r="K467" t="s">
        <v>50</v>
      </c>
      <c r="L467">
        <v>18</v>
      </c>
      <c r="M467">
        <v>1.48</v>
      </c>
      <c r="N467" t="s">
        <v>20</v>
      </c>
    </row>
    <row r="468" spans="1:14" x14ac:dyDescent="0.25">
      <c r="A468">
        <v>467</v>
      </c>
      <c r="B468" t="s">
        <v>21</v>
      </c>
      <c r="C468">
        <v>2022</v>
      </c>
      <c r="D468">
        <v>2.2000000000000002</v>
      </c>
      <c r="E468" t="s">
        <v>15</v>
      </c>
      <c r="F468">
        <v>278642</v>
      </c>
      <c r="G468" t="s">
        <v>30</v>
      </c>
      <c r="H468">
        <v>20705.82</v>
      </c>
      <c r="I468" t="s">
        <v>42</v>
      </c>
      <c r="J468" t="s">
        <v>32</v>
      </c>
      <c r="K468" t="s">
        <v>26</v>
      </c>
      <c r="L468">
        <v>4</v>
      </c>
      <c r="M468">
        <v>7.0000000000000007E-2</v>
      </c>
      <c r="N468" t="s">
        <v>20</v>
      </c>
    </row>
    <row r="469" spans="1:14" x14ac:dyDescent="0.25">
      <c r="A469">
        <v>468</v>
      </c>
      <c r="B469" t="s">
        <v>36</v>
      </c>
      <c r="C469">
        <v>2018</v>
      </c>
      <c r="D469">
        <v>1.6</v>
      </c>
      <c r="E469" t="s">
        <v>15</v>
      </c>
      <c r="F469">
        <v>25989</v>
      </c>
      <c r="G469" t="s">
        <v>30</v>
      </c>
      <c r="H469">
        <v>93862.62</v>
      </c>
      <c r="I469" t="s">
        <v>54</v>
      </c>
      <c r="J469" t="s">
        <v>32</v>
      </c>
      <c r="K469" t="s">
        <v>50</v>
      </c>
      <c r="L469">
        <v>8</v>
      </c>
      <c r="M469">
        <v>3.61</v>
      </c>
      <c r="N469" t="s">
        <v>33</v>
      </c>
    </row>
    <row r="470" spans="1:14" x14ac:dyDescent="0.25">
      <c r="A470">
        <v>469</v>
      </c>
      <c r="B470" t="s">
        <v>14</v>
      </c>
      <c r="C470">
        <v>2008</v>
      </c>
      <c r="D470">
        <v>2.2999999999999998</v>
      </c>
      <c r="E470" t="s">
        <v>15</v>
      </c>
      <c r="F470">
        <v>156640</v>
      </c>
      <c r="G470" t="s">
        <v>30</v>
      </c>
      <c r="H470">
        <v>87507.92</v>
      </c>
      <c r="I470" t="s">
        <v>17</v>
      </c>
      <c r="J470" t="s">
        <v>18</v>
      </c>
      <c r="K470" t="s">
        <v>26</v>
      </c>
      <c r="L470">
        <v>18</v>
      </c>
      <c r="M470">
        <v>0.56000000000000005</v>
      </c>
      <c r="N470" t="s">
        <v>20</v>
      </c>
    </row>
    <row r="471" spans="1:14" x14ac:dyDescent="0.25">
      <c r="A471">
        <v>470</v>
      </c>
      <c r="B471" t="s">
        <v>52</v>
      </c>
      <c r="C471">
        <v>2002</v>
      </c>
      <c r="D471">
        <v>2.8</v>
      </c>
      <c r="E471" t="s">
        <v>15</v>
      </c>
      <c r="F471">
        <v>161171</v>
      </c>
      <c r="G471" t="s">
        <v>16</v>
      </c>
      <c r="H471">
        <v>87119.23</v>
      </c>
      <c r="I471" t="s">
        <v>56</v>
      </c>
      <c r="J471" t="s">
        <v>41</v>
      </c>
      <c r="K471" t="s">
        <v>26</v>
      </c>
      <c r="L471">
        <v>24</v>
      </c>
      <c r="M471">
        <v>0.54</v>
      </c>
      <c r="N471" t="s">
        <v>33</v>
      </c>
    </row>
    <row r="472" spans="1:14" x14ac:dyDescent="0.25">
      <c r="A472">
        <v>471</v>
      </c>
      <c r="B472" t="s">
        <v>21</v>
      </c>
      <c r="C472">
        <v>2020</v>
      </c>
      <c r="D472">
        <v>4.4000000000000004</v>
      </c>
      <c r="E472" t="s">
        <v>15</v>
      </c>
      <c r="F472">
        <v>285626</v>
      </c>
      <c r="G472" t="s">
        <v>30</v>
      </c>
      <c r="H472">
        <v>70861.070000000007</v>
      </c>
      <c r="I472" t="s">
        <v>60</v>
      </c>
      <c r="J472" t="s">
        <v>18</v>
      </c>
      <c r="K472" t="s">
        <v>26</v>
      </c>
      <c r="L472">
        <v>6</v>
      </c>
      <c r="M472">
        <v>0.25</v>
      </c>
      <c r="N472" t="s">
        <v>20</v>
      </c>
    </row>
    <row r="473" spans="1:14" x14ac:dyDescent="0.25">
      <c r="A473">
        <v>472</v>
      </c>
      <c r="B473" t="s">
        <v>24</v>
      </c>
      <c r="C473">
        <v>2008</v>
      </c>
      <c r="D473">
        <v>1.3</v>
      </c>
      <c r="E473" t="s">
        <v>15</v>
      </c>
      <c r="F473">
        <v>292192</v>
      </c>
      <c r="G473" t="s">
        <v>16</v>
      </c>
      <c r="H473">
        <v>64367.040000000001</v>
      </c>
      <c r="I473" t="s">
        <v>34</v>
      </c>
      <c r="J473" t="s">
        <v>32</v>
      </c>
      <c r="K473" t="s">
        <v>26</v>
      </c>
      <c r="L473">
        <v>18</v>
      </c>
      <c r="M473">
        <v>0.22</v>
      </c>
      <c r="N473" t="s">
        <v>20</v>
      </c>
    </row>
    <row r="474" spans="1:14" x14ac:dyDescent="0.25">
      <c r="A474">
        <v>473</v>
      </c>
      <c r="B474" t="s">
        <v>21</v>
      </c>
      <c r="C474">
        <v>2013</v>
      </c>
      <c r="D474">
        <v>2.1</v>
      </c>
      <c r="E474" t="s">
        <v>27</v>
      </c>
      <c r="F474">
        <v>35814</v>
      </c>
      <c r="G474" t="s">
        <v>22</v>
      </c>
      <c r="H474">
        <v>6398.77</v>
      </c>
      <c r="I474" t="s">
        <v>47</v>
      </c>
      <c r="J474" t="s">
        <v>41</v>
      </c>
      <c r="K474" t="s">
        <v>50</v>
      </c>
      <c r="L474">
        <v>13</v>
      </c>
      <c r="M474">
        <v>0.18</v>
      </c>
      <c r="N474" t="s">
        <v>20</v>
      </c>
    </row>
    <row r="475" spans="1:14" x14ac:dyDescent="0.25">
      <c r="A475">
        <v>474</v>
      </c>
      <c r="B475" t="s">
        <v>52</v>
      </c>
      <c r="C475">
        <v>2018</v>
      </c>
      <c r="D475">
        <v>5</v>
      </c>
      <c r="E475" t="s">
        <v>27</v>
      </c>
      <c r="F475">
        <v>190766</v>
      </c>
      <c r="G475" t="s">
        <v>30</v>
      </c>
      <c r="H475">
        <v>76065.14</v>
      </c>
      <c r="I475" t="s">
        <v>56</v>
      </c>
      <c r="J475" t="s">
        <v>41</v>
      </c>
      <c r="K475" t="s">
        <v>26</v>
      </c>
      <c r="L475">
        <v>8</v>
      </c>
      <c r="M475">
        <v>0.4</v>
      </c>
      <c r="N475" t="s">
        <v>33</v>
      </c>
    </row>
    <row r="476" spans="1:14" x14ac:dyDescent="0.25">
      <c r="A476">
        <v>475</v>
      </c>
      <c r="B476" t="s">
        <v>43</v>
      </c>
      <c r="C476">
        <v>2006</v>
      </c>
      <c r="D476">
        <v>1.7</v>
      </c>
      <c r="E476" t="s">
        <v>27</v>
      </c>
      <c r="F476">
        <v>60204</v>
      </c>
      <c r="G476" t="s">
        <v>16</v>
      </c>
      <c r="H476">
        <v>13695.84</v>
      </c>
      <c r="I476" t="s">
        <v>49</v>
      </c>
      <c r="J476" t="s">
        <v>32</v>
      </c>
      <c r="K476" t="s">
        <v>19</v>
      </c>
      <c r="L476">
        <v>20</v>
      </c>
      <c r="M476">
        <v>0.23</v>
      </c>
      <c r="N476" t="s">
        <v>20</v>
      </c>
    </row>
    <row r="477" spans="1:14" x14ac:dyDescent="0.25">
      <c r="A477">
        <v>476</v>
      </c>
      <c r="B477" t="s">
        <v>43</v>
      </c>
      <c r="C477">
        <v>2015</v>
      </c>
      <c r="D477">
        <v>2.7</v>
      </c>
      <c r="E477" t="s">
        <v>27</v>
      </c>
      <c r="F477">
        <v>32844</v>
      </c>
      <c r="G477" t="s">
        <v>30</v>
      </c>
      <c r="H477">
        <v>29676.34</v>
      </c>
      <c r="I477" t="s">
        <v>44</v>
      </c>
      <c r="J477" t="s">
        <v>41</v>
      </c>
      <c r="K477" t="s">
        <v>50</v>
      </c>
      <c r="L477">
        <v>11</v>
      </c>
      <c r="M477">
        <v>0.9</v>
      </c>
      <c r="N477" t="s">
        <v>20</v>
      </c>
    </row>
    <row r="478" spans="1:14" x14ac:dyDescent="0.25">
      <c r="A478">
        <v>477</v>
      </c>
      <c r="B478" t="s">
        <v>21</v>
      </c>
      <c r="C478">
        <v>2015</v>
      </c>
      <c r="D478">
        <v>5.3</v>
      </c>
      <c r="E478" t="s">
        <v>15</v>
      </c>
      <c r="F478">
        <v>248827</v>
      </c>
      <c r="G478" t="s">
        <v>30</v>
      </c>
      <c r="H478">
        <v>57391.58</v>
      </c>
      <c r="I478" t="s">
        <v>42</v>
      </c>
      <c r="J478" t="s">
        <v>32</v>
      </c>
      <c r="K478" t="s">
        <v>26</v>
      </c>
      <c r="L478">
        <v>11</v>
      </c>
      <c r="M478">
        <v>0.23</v>
      </c>
      <c r="N478" t="s">
        <v>20</v>
      </c>
    </row>
    <row r="479" spans="1:14" x14ac:dyDescent="0.25">
      <c r="A479">
        <v>478</v>
      </c>
      <c r="B479" t="s">
        <v>29</v>
      </c>
      <c r="C479">
        <v>2000</v>
      </c>
      <c r="D479">
        <v>1.8</v>
      </c>
      <c r="E479" t="s">
        <v>27</v>
      </c>
      <c r="F479">
        <v>245256</v>
      </c>
      <c r="G479" t="s">
        <v>22</v>
      </c>
      <c r="H479">
        <v>47914.6</v>
      </c>
      <c r="I479" t="s">
        <v>40</v>
      </c>
      <c r="J479" t="s">
        <v>32</v>
      </c>
      <c r="K479" t="s">
        <v>26</v>
      </c>
      <c r="L479">
        <v>26</v>
      </c>
      <c r="M479">
        <v>0.2</v>
      </c>
      <c r="N479" t="s">
        <v>33</v>
      </c>
    </row>
    <row r="480" spans="1:14" x14ac:dyDescent="0.25">
      <c r="A480">
        <v>479</v>
      </c>
      <c r="B480" t="s">
        <v>14</v>
      </c>
      <c r="C480">
        <v>2003</v>
      </c>
      <c r="D480">
        <v>1.4</v>
      </c>
      <c r="E480" t="s">
        <v>27</v>
      </c>
      <c r="F480">
        <v>21518</v>
      </c>
      <c r="G480" t="s">
        <v>30</v>
      </c>
      <c r="H480">
        <v>6498.57</v>
      </c>
      <c r="I480" t="s">
        <v>17</v>
      </c>
      <c r="J480" t="s">
        <v>18</v>
      </c>
      <c r="K480" t="s">
        <v>50</v>
      </c>
      <c r="L480">
        <v>23</v>
      </c>
      <c r="M480">
        <v>0.3</v>
      </c>
      <c r="N480" t="s">
        <v>20</v>
      </c>
    </row>
    <row r="481" spans="1:14" x14ac:dyDescent="0.25">
      <c r="A481">
        <v>480</v>
      </c>
      <c r="B481" t="s">
        <v>14</v>
      </c>
      <c r="C481">
        <v>2003</v>
      </c>
      <c r="D481">
        <v>3.4</v>
      </c>
      <c r="E481" t="s">
        <v>27</v>
      </c>
      <c r="F481">
        <v>23052</v>
      </c>
      <c r="G481" t="s">
        <v>22</v>
      </c>
      <c r="H481">
        <v>83278.58</v>
      </c>
      <c r="I481" t="s">
        <v>58</v>
      </c>
      <c r="J481" t="s">
        <v>18</v>
      </c>
      <c r="K481" t="s">
        <v>50</v>
      </c>
      <c r="L481">
        <v>23</v>
      </c>
      <c r="M481">
        <v>3.61</v>
      </c>
      <c r="N481" t="s">
        <v>20</v>
      </c>
    </row>
    <row r="482" spans="1:14" x14ac:dyDescent="0.25">
      <c r="A482">
        <v>481</v>
      </c>
      <c r="B482" t="s">
        <v>21</v>
      </c>
      <c r="C482">
        <v>2006</v>
      </c>
      <c r="D482">
        <v>2.5</v>
      </c>
      <c r="E482" t="s">
        <v>15</v>
      </c>
      <c r="F482">
        <v>256346</v>
      </c>
      <c r="G482" t="s">
        <v>30</v>
      </c>
      <c r="H482">
        <v>88486.09</v>
      </c>
      <c r="I482" t="s">
        <v>42</v>
      </c>
      <c r="J482" t="s">
        <v>32</v>
      </c>
      <c r="K482" t="s">
        <v>26</v>
      </c>
      <c r="L482">
        <v>20</v>
      </c>
      <c r="M482">
        <v>0.35</v>
      </c>
      <c r="N482" t="s">
        <v>20</v>
      </c>
    </row>
    <row r="483" spans="1:14" x14ac:dyDescent="0.25">
      <c r="A483">
        <v>482</v>
      </c>
      <c r="B483" t="s">
        <v>36</v>
      </c>
      <c r="C483">
        <v>2007</v>
      </c>
      <c r="D483">
        <v>3.8</v>
      </c>
      <c r="E483" t="s">
        <v>27</v>
      </c>
      <c r="F483">
        <v>69803</v>
      </c>
      <c r="G483" t="s">
        <v>30</v>
      </c>
      <c r="H483">
        <v>69777.929999999993</v>
      </c>
      <c r="I483" t="s">
        <v>57</v>
      </c>
      <c r="J483" t="s">
        <v>46</v>
      </c>
      <c r="K483" t="s">
        <v>19</v>
      </c>
      <c r="L483">
        <v>19</v>
      </c>
      <c r="M483">
        <v>1</v>
      </c>
      <c r="N483" t="s">
        <v>33</v>
      </c>
    </row>
    <row r="484" spans="1:14" x14ac:dyDescent="0.25">
      <c r="A484">
        <v>483</v>
      </c>
      <c r="B484" t="s">
        <v>36</v>
      </c>
      <c r="C484">
        <v>2016</v>
      </c>
      <c r="D484">
        <v>5</v>
      </c>
      <c r="E484" t="s">
        <v>27</v>
      </c>
      <c r="F484">
        <v>71524</v>
      </c>
      <c r="G484" t="s">
        <v>30</v>
      </c>
      <c r="H484">
        <v>56401.45</v>
      </c>
      <c r="I484" t="s">
        <v>54</v>
      </c>
      <c r="J484" t="s">
        <v>41</v>
      </c>
      <c r="K484" t="s">
        <v>19</v>
      </c>
      <c r="L484">
        <v>10</v>
      </c>
      <c r="M484">
        <v>0.79</v>
      </c>
      <c r="N484" t="s">
        <v>33</v>
      </c>
    </row>
    <row r="485" spans="1:14" x14ac:dyDescent="0.25">
      <c r="A485">
        <v>484</v>
      </c>
      <c r="B485" t="s">
        <v>14</v>
      </c>
      <c r="C485">
        <v>2004</v>
      </c>
      <c r="D485">
        <v>1.7</v>
      </c>
      <c r="E485" t="s">
        <v>15</v>
      </c>
      <c r="F485">
        <v>224582</v>
      </c>
      <c r="G485" t="s">
        <v>30</v>
      </c>
      <c r="H485">
        <v>96270.09</v>
      </c>
      <c r="I485" t="s">
        <v>17</v>
      </c>
      <c r="J485" t="s">
        <v>18</v>
      </c>
      <c r="K485" t="s">
        <v>26</v>
      </c>
      <c r="L485">
        <v>22</v>
      </c>
      <c r="M485">
        <v>0.43</v>
      </c>
      <c r="N485" t="s">
        <v>20</v>
      </c>
    </row>
    <row r="486" spans="1:14" x14ac:dyDescent="0.25">
      <c r="A486">
        <v>485</v>
      </c>
      <c r="B486" t="s">
        <v>14</v>
      </c>
      <c r="C486">
        <v>2006</v>
      </c>
      <c r="D486">
        <v>3.9</v>
      </c>
      <c r="E486" t="s">
        <v>27</v>
      </c>
      <c r="F486">
        <v>67021</v>
      </c>
      <c r="G486" t="s">
        <v>30</v>
      </c>
      <c r="H486">
        <v>16395.84</v>
      </c>
      <c r="I486" t="s">
        <v>39</v>
      </c>
      <c r="J486" t="s">
        <v>18</v>
      </c>
      <c r="K486" t="s">
        <v>19</v>
      </c>
      <c r="L486">
        <v>20</v>
      </c>
      <c r="M486">
        <v>0.24</v>
      </c>
      <c r="N486" t="s">
        <v>20</v>
      </c>
    </row>
    <row r="487" spans="1:14" x14ac:dyDescent="0.25">
      <c r="A487">
        <v>486</v>
      </c>
      <c r="B487" t="s">
        <v>43</v>
      </c>
      <c r="C487">
        <v>2019</v>
      </c>
      <c r="D487">
        <v>3.5</v>
      </c>
      <c r="E487" t="s">
        <v>15</v>
      </c>
      <c r="F487">
        <v>211321</v>
      </c>
      <c r="G487" t="s">
        <v>30</v>
      </c>
      <c r="H487">
        <v>75101.460000000006</v>
      </c>
      <c r="I487" t="s">
        <v>44</v>
      </c>
      <c r="J487" t="s">
        <v>18</v>
      </c>
      <c r="K487" t="s">
        <v>26</v>
      </c>
      <c r="L487">
        <v>7</v>
      </c>
      <c r="M487">
        <v>0.36</v>
      </c>
      <c r="N487" t="s">
        <v>20</v>
      </c>
    </row>
    <row r="488" spans="1:14" x14ac:dyDescent="0.25">
      <c r="A488">
        <v>487</v>
      </c>
      <c r="B488" t="s">
        <v>29</v>
      </c>
      <c r="C488">
        <v>2019</v>
      </c>
      <c r="D488">
        <v>1.7</v>
      </c>
      <c r="E488" t="s">
        <v>27</v>
      </c>
      <c r="F488">
        <v>282187</v>
      </c>
      <c r="G488" t="s">
        <v>22</v>
      </c>
      <c r="H488">
        <v>17194.259999999998</v>
      </c>
      <c r="I488" t="s">
        <v>38</v>
      </c>
      <c r="J488" t="s">
        <v>46</v>
      </c>
      <c r="K488" t="s">
        <v>26</v>
      </c>
      <c r="L488">
        <v>7</v>
      </c>
      <c r="M488">
        <v>0.06</v>
      </c>
      <c r="N488" t="s">
        <v>33</v>
      </c>
    </row>
    <row r="489" spans="1:14" x14ac:dyDescent="0.25">
      <c r="A489">
        <v>488</v>
      </c>
      <c r="B489" t="s">
        <v>52</v>
      </c>
      <c r="C489">
        <v>2003</v>
      </c>
      <c r="D489">
        <v>4.0999999999999996</v>
      </c>
      <c r="E489" t="s">
        <v>15</v>
      </c>
      <c r="F489">
        <v>2419</v>
      </c>
      <c r="G489" t="s">
        <v>22</v>
      </c>
      <c r="H489">
        <v>41275.26</v>
      </c>
      <c r="I489" t="s">
        <v>59</v>
      </c>
      <c r="J489" t="s">
        <v>18</v>
      </c>
      <c r="K489" t="s">
        <v>50</v>
      </c>
      <c r="L489">
        <v>23</v>
      </c>
      <c r="M489">
        <v>17.059999999999999</v>
      </c>
      <c r="N489" t="s">
        <v>33</v>
      </c>
    </row>
    <row r="490" spans="1:14" x14ac:dyDescent="0.25">
      <c r="A490">
        <v>489</v>
      </c>
      <c r="B490" t="s">
        <v>36</v>
      </c>
      <c r="C490">
        <v>2005</v>
      </c>
      <c r="D490">
        <v>2.4</v>
      </c>
      <c r="E490" t="s">
        <v>27</v>
      </c>
      <c r="F490">
        <v>187964</v>
      </c>
      <c r="G490" t="s">
        <v>16</v>
      </c>
      <c r="H490">
        <v>60621.03</v>
      </c>
      <c r="I490" t="s">
        <v>37</v>
      </c>
      <c r="J490" t="s">
        <v>18</v>
      </c>
      <c r="K490" t="s">
        <v>26</v>
      </c>
      <c r="L490">
        <v>21</v>
      </c>
      <c r="M490">
        <v>0.32</v>
      </c>
      <c r="N490" t="s">
        <v>33</v>
      </c>
    </row>
    <row r="491" spans="1:14" x14ac:dyDescent="0.25">
      <c r="A491">
        <v>490</v>
      </c>
      <c r="B491" t="s">
        <v>14</v>
      </c>
      <c r="C491">
        <v>2006</v>
      </c>
      <c r="D491">
        <v>3.4</v>
      </c>
      <c r="E491" t="s">
        <v>27</v>
      </c>
      <c r="F491">
        <v>121831</v>
      </c>
      <c r="G491" t="s">
        <v>30</v>
      </c>
      <c r="H491">
        <v>75023.33</v>
      </c>
      <c r="I491" t="s">
        <v>58</v>
      </c>
      <c r="J491" t="s">
        <v>18</v>
      </c>
      <c r="K491" t="s">
        <v>19</v>
      </c>
      <c r="L491">
        <v>20</v>
      </c>
      <c r="M491">
        <v>0.62</v>
      </c>
      <c r="N491" t="s">
        <v>20</v>
      </c>
    </row>
    <row r="492" spans="1:14" x14ac:dyDescent="0.25">
      <c r="A492">
        <v>491</v>
      </c>
      <c r="B492" t="s">
        <v>43</v>
      </c>
      <c r="C492">
        <v>2017</v>
      </c>
      <c r="D492">
        <v>1.4</v>
      </c>
      <c r="E492" t="s">
        <v>27</v>
      </c>
      <c r="F492">
        <v>244688</v>
      </c>
      <c r="G492" t="s">
        <v>22</v>
      </c>
      <c r="H492">
        <v>5353.03</v>
      </c>
      <c r="I492" t="s">
        <v>44</v>
      </c>
      <c r="J492" t="s">
        <v>41</v>
      </c>
      <c r="K492" t="s">
        <v>26</v>
      </c>
      <c r="L492">
        <v>9</v>
      </c>
      <c r="M492">
        <v>0.02</v>
      </c>
      <c r="N492" t="s">
        <v>20</v>
      </c>
    </row>
    <row r="493" spans="1:14" x14ac:dyDescent="0.25">
      <c r="A493">
        <v>492</v>
      </c>
      <c r="B493" t="s">
        <v>24</v>
      </c>
      <c r="C493">
        <v>2004</v>
      </c>
      <c r="D493">
        <v>3.3</v>
      </c>
      <c r="E493" t="s">
        <v>15</v>
      </c>
      <c r="F493">
        <v>101799</v>
      </c>
      <c r="G493" t="s">
        <v>30</v>
      </c>
      <c r="H493">
        <v>29756.799999999999</v>
      </c>
      <c r="I493" t="s">
        <v>35</v>
      </c>
      <c r="J493" t="s">
        <v>32</v>
      </c>
      <c r="K493" t="s">
        <v>19</v>
      </c>
      <c r="L493">
        <v>22</v>
      </c>
      <c r="M493">
        <v>0.28999999999999998</v>
      </c>
      <c r="N493" t="s">
        <v>20</v>
      </c>
    </row>
    <row r="494" spans="1:14" x14ac:dyDescent="0.25">
      <c r="A494">
        <v>493</v>
      </c>
      <c r="B494" t="s">
        <v>43</v>
      </c>
      <c r="C494">
        <v>2019</v>
      </c>
      <c r="D494">
        <v>2.5</v>
      </c>
      <c r="E494" t="s">
        <v>27</v>
      </c>
      <c r="F494">
        <v>194941</v>
      </c>
      <c r="G494" t="s">
        <v>30</v>
      </c>
      <c r="H494">
        <v>56129.04</v>
      </c>
      <c r="I494" t="s">
        <v>44</v>
      </c>
      <c r="J494" t="s">
        <v>41</v>
      </c>
      <c r="K494" t="s">
        <v>26</v>
      </c>
      <c r="L494">
        <v>7</v>
      </c>
      <c r="M494">
        <v>0.28999999999999998</v>
      </c>
      <c r="N494" t="s">
        <v>20</v>
      </c>
    </row>
    <row r="495" spans="1:14" x14ac:dyDescent="0.25">
      <c r="A495">
        <v>494</v>
      </c>
      <c r="B495" t="s">
        <v>36</v>
      </c>
      <c r="C495">
        <v>2002</v>
      </c>
      <c r="D495">
        <v>5.0999999999999996</v>
      </c>
      <c r="E495" t="s">
        <v>15</v>
      </c>
      <c r="F495">
        <v>176282</v>
      </c>
      <c r="G495" t="s">
        <v>22</v>
      </c>
      <c r="H495">
        <v>55623</v>
      </c>
      <c r="I495" t="s">
        <v>57</v>
      </c>
      <c r="J495" t="s">
        <v>32</v>
      </c>
      <c r="K495" t="s">
        <v>26</v>
      </c>
      <c r="L495">
        <v>24</v>
      </c>
      <c r="M495">
        <v>0.32</v>
      </c>
      <c r="N495" t="s">
        <v>33</v>
      </c>
    </row>
    <row r="496" spans="1:14" x14ac:dyDescent="0.25">
      <c r="A496">
        <v>495</v>
      </c>
      <c r="B496" t="s">
        <v>36</v>
      </c>
      <c r="C496">
        <v>2006</v>
      </c>
      <c r="D496">
        <v>1.3</v>
      </c>
      <c r="E496" t="s">
        <v>15</v>
      </c>
      <c r="F496">
        <v>108611</v>
      </c>
      <c r="G496" t="s">
        <v>30</v>
      </c>
      <c r="H496">
        <v>65574.509999999995</v>
      </c>
      <c r="I496" t="s">
        <v>37</v>
      </c>
      <c r="J496" t="s">
        <v>41</v>
      </c>
      <c r="K496" t="s">
        <v>19</v>
      </c>
      <c r="L496">
        <v>20</v>
      </c>
      <c r="M496">
        <v>0.6</v>
      </c>
      <c r="N496" t="s">
        <v>33</v>
      </c>
    </row>
    <row r="497" spans="1:14" x14ac:dyDescent="0.25">
      <c r="A497">
        <v>496</v>
      </c>
      <c r="B497" t="s">
        <v>43</v>
      </c>
      <c r="C497">
        <v>2021</v>
      </c>
      <c r="D497">
        <v>3.1</v>
      </c>
      <c r="E497" t="s">
        <v>15</v>
      </c>
      <c r="F497">
        <v>137559</v>
      </c>
      <c r="G497" t="s">
        <v>22</v>
      </c>
      <c r="H497">
        <v>33866.089999999997</v>
      </c>
      <c r="I497" t="s">
        <v>48</v>
      </c>
      <c r="J497" t="s">
        <v>46</v>
      </c>
      <c r="K497" t="s">
        <v>19</v>
      </c>
      <c r="L497">
        <v>5</v>
      </c>
      <c r="M497">
        <v>0.25</v>
      </c>
      <c r="N497" t="s">
        <v>20</v>
      </c>
    </row>
    <row r="498" spans="1:14" x14ac:dyDescent="0.25">
      <c r="A498">
        <v>497</v>
      </c>
      <c r="B498" t="s">
        <v>52</v>
      </c>
      <c r="C498">
        <v>2013</v>
      </c>
      <c r="D498">
        <v>3.3</v>
      </c>
      <c r="E498" t="s">
        <v>15</v>
      </c>
      <c r="F498">
        <v>62112</v>
      </c>
      <c r="G498" t="s">
        <v>22</v>
      </c>
      <c r="H498">
        <v>56350.28</v>
      </c>
      <c r="I498" t="s">
        <v>56</v>
      </c>
      <c r="J498" t="s">
        <v>46</v>
      </c>
      <c r="K498" t="s">
        <v>19</v>
      </c>
      <c r="L498">
        <v>13</v>
      </c>
      <c r="M498">
        <v>0.91</v>
      </c>
      <c r="N498" t="s">
        <v>33</v>
      </c>
    </row>
    <row r="499" spans="1:14" x14ac:dyDescent="0.25">
      <c r="A499">
        <v>498</v>
      </c>
      <c r="B499" t="s">
        <v>21</v>
      </c>
      <c r="C499">
        <v>2006</v>
      </c>
      <c r="D499">
        <v>4.5999999999999996</v>
      </c>
      <c r="E499" t="s">
        <v>27</v>
      </c>
      <c r="F499">
        <v>239040</v>
      </c>
      <c r="G499" t="s">
        <v>16</v>
      </c>
      <c r="H499">
        <v>23029.74</v>
      </c>
      <c r="I499" t="s">
        <v>23</v>
      </c>
      <c r="J499" t="s">
        <v>18</v>
      </c>
      <c r="K499" t="s">
        <v>26</v>
      </c>
      <c r="L499">
        <v>20</v>
      </c>
      <c r="M499">
        <v>0.1</v>
      </c>
      <c r="N499" t="s">
        <v>20</v>
      </c>
    </row>
    <row r="500" spans="1:14" x14ac:dyDescent="0.25">
      <c r="A500">
        <v>499</v>
      </c>
      <c r="B500" t="s">
        <v>36</v>
      </c>
      <c r="C500">
        <v>2004</v>
      </c>
      <c r="D500">
        <v>3.9</v>
      </c>
      <c r="E500" t="s">
        <v>27</v>
      </c>
      <c r="F500">
        <v>278504</v>
      </c>
      <c r="G500" t="s">
        <v>16</v>
      </c>
      <c r="H500">
        <v>22752.86</v>
      </c>
      <c r="I500" t="s">
        <v>51</v>
      </c>
      <c r="J500" t="s">
        <v>46</v>
      </c>
      <c r="K500" t="s">
        <v>26</v>
      </c>
      <c r="L500">
        <v>22</v>
      </c>
      <c r="M500">
        <v>0.08</v>
      </c>
      <c r="N500" t="s">
        <v>33</v>
      </c>
    </row>
    <row r="501" spans="1:14" x14ac:dyDescent="0.25">
      <c r="A501">
        <v>500</v>
      </c>
      <c r="B501" t="s">
        <v>43</v>
      </c>
      <c r="C501">
        <v>2021</v>
      </c>
      <c r="D501">
        <v>4.3</v>
      </c>
      <c r="E501" t="s">
        <v>27</v>
      </c>
      <c r="F501">
        <v>233451</v>
      </c>
      <c r="G501" t="s">
        <v>16</v>
      </c>
      <c r="H501">
        <v>59773.58</v>
      </c>
      <c r="I501" t="s">
        <v>44</v>
      </c>
      <c r="J501" t="s">
        <v>18</v>
      </c>
      <c r="K501" t="s">
        <v>26</v>
      </c>
      <c r="L501">
        <v>5</v>
      </c>
      <c r="M501">
        <v>0.26</v>
      </c>
      <c r="N501" t="s">
        <v>20</v>
      </c>
    </row>
    <row r="502" spans="1:14" x14ac:dyDescent="0.25">
      <c r="A502">
        <v>501</v>
      </c>
      <c r="B502" t="s">
        <v>14</v>
      </c>
      <c r="C502">
        <v>2004</v>
      </c>
      <c r="D502">
        <v>4.9000000000000004</v>
      </c>
      <c r="E502" t="s">
        <v>15</v>
      </c>
      <c r="F502">
        <v>221490</v>
      </c>
      <c r="G502" t="s">
        <v>16</v>
      </c>
      <c r="H502">
        <v>70119.899999999994</v>
      </c>
      <c r="I502" t="s">
        <v>17</v>
      </c>
      <c r="J502" t="s">
        <v>18</v>
      </c>
      <c r="K502" t="s">
        <v>26</v>
      </c>
      <c r="L502">
        <v>22</v>
      </c>
      <c r="M502">
        <v>0.32</v>
      </c>
      <c r="N502" t="s">
        <v>20</v>
      </c>
    </row>
    <row r="503" spans="1:14" x14ac:dyDescent="0.25">
      <c r="A503">
        <v>502</v>
      </c>
      <c r="B503" t="s">
        <v>43</v>
      </c>
      <c r="C503">
        <v>2022</v>
      </c>
      <c r="D503">
        <v>5.3</v>
      </c>
      <c r="E503" t="s">
        <v>27</v>
      </c>
      <c r="F503">
        <v>265161</v>
      </c>
      <c r="G503" t="s">
        <v>30</v>
      </c>
      <c r="H503">
        <v>16438</v>
      </c>
      <c r="I503" t="s">
        <v>44</v>
      </c>
      <c r="J503" t="s">
        <v>46</v>
      </c>
      <c r="K503" t="s">
        <v>26</v>
      </c>
      <c r="L503">
        <v>4</v>
      </c>
      <c r="M503">
        <v>0.06</v>
      </c>
      <c r="N503" t="s">
        <v>20</v>
      </c>
    </row>
    <row r="504" spans="1:14" x14ac:dyDescent="0.25">
      <c r="A504">
        <v>503</v>
      </c>
      <c r="B504" t="s">
        <v>29</v>
      </c>
      <c r="C504">
        <v>2001</v>
      </c>
      <c r="D504">
        <v>2.6</v>
      </c>
      <c r="E504" t="s">
        <v>15</v>
      </c>
      <c r="F504">
        <v>191196</v>
      </c>
      <c r="G504" t="s">
        <v>30</v>
      </c>
      <c r="H504">
        <v>16665.04</v>
      </c>
      <c r="I504" t="s">
        <v>31</v>
      </c>
      <c r="J504" t="s">
        <v>32</v>
      </c>
      <c r="K504" t="s">
        <v>26</v>
      </c>
      <c r="L504">
        <v>25</v>
      </c>
      <c r="M504">
        <v>0.09</v>
      </c>
      <c r="N504" t="s">
        <v>33</v>
      </c>
    </row>
    <row r="505" spans="1:14" x14ac:dyDescent="0.25">
      <c r="A505">
        <v>504</v>
      </c>
      <c r="B505" t="s">
        <v>21</v>
      </c>
      <c r="C505">
        <v>2020</v>
      </c>
      <c r="D505">
        <v>3.7</v>
      </c>
      <c r="E505" t="s">
        <v>15</v>
      </c>
      <c r="F505">
        <v>247418</v>
      </c>
      <c r="G505" t="s">
        <v>16</v>
      </c>
      <c r="H505">
        <v>58703.76</v>
      </c>
      <c r="I505" t="s">
        <v>23</v>
      </c>
      <c r="J505" t="s">
        <v>41</v>
      </c>
      <c r="K505" t="s">
        <v>26</v>
      </c>
      <c r="L505">
        <v>6</v>
      </c>
      <c r="M505">
        <v>0.24</v>
      </c>
      <c r="N505" t="s">
        <v>20</v>
      </c>
    </row>
    <row r="506" spans="1:14" x14ac:dyDescent="0.25">
      <c r="A506">
        <v>505</v>
      </c>
      <c r="B506" t="s">
        <v>24</v>
      </c>
      <c r="C506">
        <v>2021</v>
      </c>
      <c r="D506">
        <v>5.2</v>
      </c>
      <c r="E506" t="s">
        <v>15</v>
      </c>
      <c r="F506">
        <v>221370</v>
      </c>
      <c r="G506" t="s">
        <v>22</v>
      </c>
      <c r="H506">
        <v>30659.1</v>
      </c>
      <c r="I506" t="s">
        <v>34</v>
      </c>
      <c r="J506" t="s">
        <v>32</v>
      </c>
      <c r="K506" t="s">
        <v>26</v>
      </c>
      <c r="L506">
        <v>5</v>
      </c>
      <c r="M506">
        <v>0.14000000000000001</v>
      </c>
      <c r="N506" t="s">
        <v>20</v>
      </c>
    </row>
    <row r="507" spans="1:14" x14ac:dyDescent="0.25">
      <c r="A507">
        <v>506</v>
      </c>
      <c r="B507" t="s">
        <v>52</v>
      </c>
      <c r="C507">
        <v>2005</v>
      </c>
      <c r="D507">
        <v>5.9</v>
      </c>
      <c r="E507" t="s">
        <v>27</v>
      </c>
      <c r="F507">
        <v>189340</v>
      </c>
      <c r="G507" t="s">
        <v>22</v>
      </c>
      <c r="H507">
        <v>42277.91</v>
      </c>
      <c r="I507" t="s">
        <v>56</v>
      </c>
      <c r="J507" t="s">
        <v>41</v>
      </c>
      <c r="K507" t="s">
        <v>26</v>
      </c>
      <c r="L507">
        <v>21</v>
      </c>
      <c r="M507">
        <v>0.22</v>
      </c>
      <c r="N507" t="s">
        <v>33</v>
      </c>
    </row>
    <row r="508" spans="1:14" x14ac:dyDescent="0.25">
      <c r="A508">
        <v>507</v>
      </c>
      <c r="B508" t="s">
        <v>24</v>
      </c>
      <c r="C508">
        <v>2014</v>
      </c>
      <c r="D508">
        <v>5.4</v>
      </c>
      <c r="E508" t="s">
        <v>27</v>
      </c>
      <c r="F508">
        <v>66320</v>
      </c>
      <c r="G508" t="s">
        <v>22</v>
      </c>
      <c r="H508">
        <v>43071.1</v>
      </c>
      <c r="I508" t="s">
        <v>45</v>
      </c>
      <c r="J508" t="s">
        <v>32</v>
      </c>
      <c r="K508" t="s">
        <v>19</v>
      </c>
      <c r="L508">
        <v>12</v>
      </c>
      <c r="M508">
        <v>0.65</v>
      </c>
      <c r="N508" t="s">
        <v>20</v>
      </c>
    </row>
    <row r="509" spans="1:14" x14ac:dyDescent="0.25">
      <c r="A509">
        <v>508</v>
      </c>
      <c r="B509" t="s">
        <v>21</v>
      </c>
      <c r="C509">
        <v>2020</v>
      </c>
      <c r="D509">
        <v>2.9</v>
      </c>
      <c r="E509" t="s">
        <v>15</v>
      </c>
      <c r="F509">
        <v>235067</v>
      </c>
      <c r="G509" t="s">
        <v>22</v>
      </c>
      <c r="H509">
        <v>21962.52</v>
      </c>
      <c r="I509" t="s">
        <v>42</v>
      </c>
      <c r="J509" t="s">
        <v>32</v>
      </c>
      <c r="K509" t="s">
        <v>26</v>
      </c>
      <c r="L509">
        <v>6</v>
      </c>
      <c r="M509">
        <v>0.09</v>
      </c>
      <c r="N509" t="s">
        <v>20</v>
      </c>
    </row>
    <row r="510" spans="1:14" x14ac:dyDescent="0.25">
      <c r="A510">
        <v>509</v>
      </c>
      <c r="B510" t="s">
        <v>21</v>
      </c>
      <c r="C510">
        <v>2009</v>
      </c>
      <c r="D510">
        <v>2</v>
      </c>
      <c r="E510" t="s">
        <v>27</v>
      </c>
      <c r="F510">
        <v>212373</v>
      </c>
      <c r="G510" t="s">
        <v>30</v>
      </c>
      <c r="H510">
        <v>5124.8900000000003</v>
      </c>
      <c r="I510" t="s">
        <v>60</v>
      </c>
      <c r="J510" t="s">
        <v>46</v>
      </c>
      <c r="K510" t="s">
        <v>26</v>
      </c>
      <c r="L510">
        <v>17</v>
      </c>
      <c r="M510">
        <v>0.02</v>
      </c>
      <c r="N510" t="s">
        <v>20</v>
      </c>
    </row>
    <row r="511" spans="1:14" x14ac:dyDescent="0.25">
      <c r="A511">
        <v>510</v>
      </c>
      <c r="B511" t="s">
        <v>21</v>
      </c>
      <c r="C511">
        <v>2022</v>
      </c>
      <c r="D511">
        <v>3.4</v>
      </c>
      <c r="E511" t="s">
        <v>27</v>
      </c>
      <c r="F511">
        <v>293271</v>
      </c>
      <c r="G511" t="s">
        <v>22</v>
      </c>
      <c r="H511">
        <v>86049.42</v>
      </c>
      <c r="I511" t="s">
        <v>23</v>
      </c>
      <c r="J511" t="s">
        <v>32</v>
      </c>
      <c r="K511" t="s">
        <v>26</v>
      </c>
      <c r="L511">
        <v>4</v>
      </c>
      <c r="M511">
        <v>0.28999999999999998</v>
      </c>
      <c r="N511" t="s">
        <v>20</v>
      </c>
    </row>
    <row r="512" spans="1:14" x14ac:dyDescent="0.25">
      <c r="A512">
        <v>511</v>
      </c>
      <c r="B512" t="s">
        <v>24</v>
      </c>
      <c r="C512">
        <v>2023</v>
      </c>
      <c r="D512">
        <v>4.7</v>
      </c>
      <c r="E512" t="s">
        <v>15</v>
      </c>
      <c r="F512">
        <v>180786</v>
      </c>
      <c r="G512" t="s">
        <v>22</v>
      </c>
      <c r="H512">
        <v>72925.19</v>
      </c>
      <c r="I512" t="s">
        <v>34</v>
      </c>
      <c r="J512" t="s">
        <v>46</v>
      </c>
      <c r="K512" t="s">
        <v>26</v>
      </c>
      <c r="L512">
        <v>3</v>
      </c>
      <c r="M512">
        <v>0.4</v>
      </c>
      <c r="N512" t="s">
        <v>20</v>
      </c>
    </row>
    <row r="513" spans="1:14" x14ac:dyDescent="0.25">
      <c r="A513">
        <v>512</v>
      </c>
      <c r="B513" t="s">
        <v>14</v>
      </c>
      <c r="C513">
        <v>2006</v>
      </c>
      <c r="D513">
        <v>3.5</v>
      </c>
      <c r="E513" t="s">
        <v>15</v>
      </c>
      <c r="F513">
        <v>294065</v>
      </c>
      <c r="G513" t="s">
        <v>16</v>
      </c>
      <c r="H513">
        <v>70601.16</v>
      </c>
      <c r="I513" t="s">
        <v>39</v>
      </c>
      <c r="J513" t="s">
        <v>18</v>
      </c>
      <c r="K513" t="s">
        <v>26</v>
      </c>
      <c r="L513">
        <v>20</v>
      </c>
      <c r="M513">
        <v>0.24</v>
      </c>
      <c r="N513" t="s">
        <v>20</v>
      </c>
    </row>
    <row r="514" spans="1:14" x14ac:dyDescent="0.25">
      <c r="A514">
        <v>513</v>
      </c>
      <c r="B514" t="s">
        <v>21</v>
      </c>
      <c r="C514">
        <v>2004</v>
      </c>
      <c r="D514">
        <v>3.4</v>
      </c>
      <c r="E514" t="s">
        <v>27</v>
      </c>
      <c r="F514">
        <v>266890</v>
      </c>
      <c r="G514" t="s">
        <v>22</v>
      </c>
      <c r="H514">
        <v>56917.99</v>
      </c>
      <c r="I514" t="s">
        <v>60</v>
      </c>
      <c r="J514" t="s">
        <v>18</v>
      </c>
      <c r="K514" t="s">
        <v>26</v>
      </c>
      <c r="L514">
        <v>22</v>
      </c>
      <c r="M514">
        <v>0.21</v>
      </c>
      <c r="N514" t="s">
        <v>20</v>
      </c>
    </row>
    <row r="515" spans="1:14" x14ac:dyDescent="0.25">
      <c r="A515">
        <v>514</v>
      </c>
      <c r="B515" t="s">
        <v>43</v>
      </c>
      <c r="C515">
        <v>2000</v>
      </c>
      <c r="D515">
        <v>5.2</v>
      </c>
      <c r="E515" t="s">
        <v>15</v>
      </c>
      <c r="F515">
        <v>65350</v>
      </c>
      <c r="G515" t="s">
        <v>30</v>
      </c>
      <c r="H515">
        <v>71592.12</v>
      </c>
      <c r="I515" t="s">
        <v>49</v>
      </c>
      <c r="J515" t="s">
        <v>18</v>
      </c>
      <c r="K515" t="s">
        <v>19</v>
      </c>
      <c r="L515">
        <v>26</v>
      </c>
      <c r="M515">
        <v>1.1000000000000001</v>
      </c>
      <c r="N515" t="s">
        <v>20</v>
      </c>
    </row>
    <row r="516" spans="1:14" x14ac:dyDescent="0.25">
      <c r="A516">
        <v>515</v>
      </c>
      <c r="B516" t="s">
        <v>24</v>
      </c>
      <c r="C516">
        <v>2012</v>
      </c>
      <c r="D516">
        <v>2.8</v>
      </c>
      <c r="E516" t="s">
        <v>15</v>
      </c>
      <c r="F516">
        <v>181417</v>
      </c>
      <c r="G516" t="s">
        <v>22</v>
      </c>
      <c r="H516">
        <v>93890.4</v>
      </c>
      <c r="I516" t="s">
        <v>25</v>
      </c>
      <c r="J516" t="s">
        <v>41</v>
      </c>
      <c r="K516" t="s">
        <v>26</v>
      </c>
      <c r="L516">
        <v>14</v>
      </c>
      <c r="M516">
        <v>0.52</v>
      </c>
      <c r="N516" t="s">
        <v>20</v>
      </c>
    </row>
    <row r="517" spans="1:14" x14ac:dyDescent="0.25">
      <c r="A517">
        <v>516</v>
      </c>
      <c r="B517" t="s">
        <v>21</v>
      </c>
      <c r="C517">
        <v>2020</v>
      </c>
      <c r="D517">
        <v>5.3</v>
      </c>
      <c r="E517" t="s">
        <v>27</v>
      </c>
      <c r="F517">
        <v>240678</v>
      </c>
      <c r="G517" t="s">
        <v>22</v>
      </c>
      <c r="H517">
        <v>68239</v>
      </c>
      <c r="I517" t="s">
        <v>47</v>
      </c>
      <c r="J517" t="s">
        <v>32</v>
      </c>
      <c r="K517" t="s">
        <v>26</v>
      </c>
      <c r="L517">
        <v>6</v>
      </c>
      <c r="M517">
        <v>0.28000000000000003</v>
      </c>
      <c r="N517" t="s">
        <v>20</v>
      </c>
    </row>
    <row r="518" spans="1:14" x14ac:dyDescent="0.25">
      <c r="A518">
        <v>517</v>
      </c>
      <c r="B518" t="s">
        <v>43</v>
      </c>
      <c r="C518">
        <v>2017</v>
      </c>
      <c r="D518">
        <v>3</v>
      </c>
      <c r="E518" t="s">
        <v>27</v>
      </c>
      <c r="F518">
        <v>22063</v>
      </c>
      <c r="G518" t="s">
        <v>30</v>
      </c>
      <c r="H518">
        <v>30183.68</v>
      </c>
      <c r="I518" t="s">
        <v>44</v>
      </c>
      <c r="J518" t="s">
        <v>41</v>
      </c>
      <c r="K518" t="s">
        <v>50</v>
      </c>
      <c r="L518">
        <v>9</v>
      </c>
      <c r="M518">
        <v>1.37</v>
      </c>
      <c r="N518" t="s">
        <v>20</v>
      </c>
    </row>
    <row r="519" spans="1:14" x14ac:dyDescent="0.25">
      <c r="A519">
        <v>518</v>
      </c>
      <c r="B519" t="s">
        <v>14</v>
      </c>
      <c r="C519">
        <v>2012</v>
      </c>
      <c r="D519">
        <v>2.6</v>
      </c>
      <c r="E519" t="s">
        <v>15</v>
      </c>
      <c r="F519">
        <v>117116</v>
      </c>
      <c r="G519" t="s">
        <v>16</v>
      </c>
      <c r="H519">
        <v>59203.199999999997</v>
      </c>
      <c r="I519" t="s">
        <v>17</v>
      </c>
      <c r="J519" t="s">
        <v>18</v>
      </c>
      <c r="K519" t="s">
        <v>19</v>
      </c>
      <c r="L519">
        <v>14</v>
      </c>
      <c r="M519">
        <v>0.51</v>
      </c>
      <c r="N519" t="s">
        <v>20</v>
      </c>
    </row>
    <row r="520" spans="1:14" x14ac:dyDescent="0.25">
      <c r="A520">
        <v>519</v>
      </c>
      <c r="B520" t="s">
        <v>29</v>
      </c>
      <c r="C520">
        <v>2020</v>
      </c>
      <c r="D520">
        <v>3.3</v>
      </c>
      <c r="E520" t="s">
        <v>27</v>
      </c>
      <c r="F520">
        <v>177043</v>
      </c>
      <c r="G520" t="s">
        <v>30</v>
      </c>
      <c r="H520">
        <v>47020.82</v>
      </c>
      <c r="I520" t="s">
        <v>40</v>
      </c>
      <c r="J520" t="s">
        <v>18</v>
      </c>
      <c r="K520" t="s">
        <v>26</v>
      </c>
      <c r="L520">
        <v>6</v>
      </c>
      <c r="M520">
        <v>0.27</v>
      </c>
      <c r="N520" t="s">
        <v>33</v>
      </c>
    </row>
    <row r="521" spans="1:14" x14ac:dyDescent="0.25">
      <c r="A521">
        <v>520</v>
      </c>
      <c r="B521" t="s">
        <v>14</v>
      </c>
      <c r="C521">
        <v>2020</v>
      </c>
      <c r="D521">
        <v>4.8</v>
      </c>
      <c r="E521" t="s">
        <v>15</v>
      </c>
      <c r="F521">
        <v>134670</v>
      </c>
      <c r="G521" t="s">
        <v>16</v>
      </c>
      <c r="H521">
        <v>57859.82</v>
      </c>
      <c r="I521" t="s">
        <v>28</v>
      </c>
      <c r="J521" t="s">
        <v>18</v>
      </c>
      <c r="K521" t="s">
        <v>19</v>
      </c>
      <c r="L521">
        <v>6</v>
      </c>
      <c r="M521">
        <v>0.43</v>
      </c>
      <c r="N521" t="s">
        <v>20</v>
      </c>
    </row>
    <row r="522" spans="1:14" x14ac:dyDescent="0.25">
      <c r="A522">
        <v>521</v>
      </c>
      <c r="B522" t="s">
        <v>21</v>
      </c>
      <c r="C522">
        <v>2017</v>
      </c>
      <c r="D522">
        <v>1.6</v>
      </c>
      <c r="E522" t="s">
        <v>15</v>
      </c>
      <c r="F522">
        <v>10564</v>
      </c>
      <c r="G522" t="s">
        <v>22</v>
      </c>
      <c r="H522">
        <v>54173</v>
      </c>
      <c r="I522" t="s">
        <v>23</v>
      </c>
      <c r="J522" t="s">
        <v>32</v>
      </c>
      <c r="K522" t="s">
        <v>50</v>
      </c>
      <c r="L522">
        <v>9</v>
      </c>
      <c r="M522">
        <v>5.13</v>
      </c>
      <c r="N522" t="s">
        <v>20</v>
      </c>
    </row>
    <row r="523" spans="1:14" x14ac:dyDescent="0.25">
      <c r="A523">
        <v>522</v>
      </c>
      <c r="B523" t="s">
        <v>24</v>
      </c>
      <c r="C523">
        <v>2004</v>
      </c>
      <c r="D523">
        <v>2</v>
      </c>
      <c r="E523" t="s">
        <v>27</v>
      </c>
      <c r="F523">
        <v>242124</v>
      </c>
      <c r="G523" t="s">
        <v>16</v>
      </c>
      <c r="H523">
        <v>86583.65</v>
      </c>
      <c r="I523" t="s">
        <v>25</v>
      </c>
      <c r="J523" t="s">
        <v>32</v>
      </c>
      <c r="K523" t="s">
        <v>26</v>
      </c>
      <c r="L523">
        <v>22</v>
      </c>
      <c r="M523">
        <v>0.36</v>
      </c>
      <c r="N523" t="s">
        <v>20</v>
      </c>
    </row>
    <row r="524" spans="1:14" x14ac:dyDescent="0.25">
      <c r="A524">
        <v>523</v>
      </c>
      <c r="B524" t="s">
        <v>36</v>
      </c>
      <c r="C524">
        <v>2012</v>
      </c>
      <c r="D524">
        <v>5.8</v>
      </c>
      <c r="E524" t="s">
        <v>15</v>
      </c>
      <c r="F524">
        <v>227506</v>
      </c>
      <c r="G524" t="s">
        <v>16</v>
      </c>
      <c r="H524">
        <v>66921.009999999995</v>
      </c>
      <c r="I524" t="s">
        <v>51</v>
      </c>
      <c r="J524" t="s">
        <v>18</v>
      </c>
      <c r="K524" t="s">
        <v>26</v>
      </c>
      <c r="L524">
        <v>14</v>
      </c>
      <c r="M524">
        <v>0.28999999999999998</v>
      </c>
      <c r="N524" t="s">
        <v>33</v>
      </c>
    </row>
    <row r="525" spans="1:14" x14ac:dyDescent="0.25">
      <c r="A525">
        <v>524</v>
      </c>
      <c r="B525" t="s">
        <v>21</v>
      </c>
      <c r="C525">
        <v>2003</v>
      </c>
      <c r="D525">
        <v>1.9</v>
      </c>
      <c r="E525" t="s">
        <v>15</v>
      </c>
      <c r="F525">
        <v>86134</v>
      </c>
      <c r="G525" t="s">
        <v>16</v>
      </c>
      <c r="H525">
        <v>22932.06</v>
      </c>
      <c r="I525" t="s">
        <v>60</v>
      </c>
      <c r="J525" t="s">
        <v>18</v>
      </c>
      <c r="K525" t="s">
        <v>19</v>
      </c>
      <c r="L525">
        <v>23</v>
      </c>
      <c r="M525">
        <v>0.27</v>
      </c>
      <c r="N525" t="s">
        <v>20</v>
      </c>
    </row>
    <row r="526" spans="1:14" x14ac:dyDescent="0.25">
      <c r="A526">
        <v>525</v>
      </c>
      <c r="B526" t="s">
        <v>36</v>
      </c>
      <c r="C526">
        <v>2016</v>
      </c>
      <c r="D526">
        <v>3.8</v>
      </c>
      <c r="E526" t="s">
        <v>15</v>
      </c>
      <c r="F526">
        <v>105940</v>
      </c>
      <c r="G526" t="s">
        <v>22</v>
      </c>
      <c r="H526">
        <v>10986.59</v>
      </c>
      <c r="I526" t="s">
        <v>54</v>
      </c>
      <c r="J526" t="s">
        <v>41</v>
      </c>
      <c r="K526" t="s">
        <v>19</v>
      </c>
      <c r="L526">
        <v>10</v>
      </c>
      <c r="M526">
        <v>0.1</v>
      </c>
      <c r="N526" t="s">
        <v>33</v>
      </c>
    </row>
    <row r="527" spans="1:14" x14ac:dyDescent="0.25">
      <c r="A527">
        <v>526</v>
      </c>
      <c r="B527" t="s">
        <v>43</v>
      </c>
      <c r="C527">
        <v>2002</v>
      </c>
      <c r="D527">
        <v>3.9</v>
      </c>
      <c r="E527" t="s">
        <v>27</v>
      </c>
      <c r="F527">
        <v>62085</v>
      </c>
      <c r="G527" t="s">
        <v>16</v>
      </c>
      <c r="H527">
        <v>45314.559999999998</v>
      </c>
      <c r="I527" t="s">
        <v>49</v>
      </c>
      <c r="J527" t="s">
        <v>18</v>
      </c>
      <c r="K527" t="s">
        <v>19</v>
      </c>
      <c r="L527">
        <v>24</v>
      </c>
      <c r="M527">
        <v>0.73</v>
      </c>
      <c r="N527" t="s">
        <v>20</v>
      </c>
    </row>
    <row r="528" spans="1:14" x14ac:dyDescent="0.25">
      <c r="A528">
        <v>527</v>
      </c>
      <c r="B528" t="s">
        <v>29</v>
      </c>
      <c r="C528">
        <v>2016</v>
      </c>
      <c r="D528">
        <v>3.4</v>
      </c>
      <c r="E528" t="s">
        <v>27</v>
      </c>
      <c r="F528">
        <v>17862</v>
      </c>
      <c r="G528" t="s">
        <v>16</v>
      </c>
      <c r="H528">
        <v>6483.01</v>
      </c>
      <c r="I528" t="s">
        <v>62</v>
      </c>
      <c r="J528" t="s">
        <v>32</v>
      </c>
      <c r="K528" t="s">
        <v>50</v>
      </c>
      <c r="L528">
        <v>10</v>
      </c>
      <c r="M528">
        <v>0.36</v>
      </c>
      <c r="N528" t="s">
        <v>33</v>
      </c>
    </row>
    <row r="529" spans="1:14" x14ac:dyDescent="0.25">
      <c r="A529">
        <v>528</v>
      </c>
      <c r="B529" t="s">
        <v>52</v>
      </c>
      <c r="C529">
        <v>2010</v>
      </c>
      <c r="D529">
        <v>4.2</v>
      </c>
      <c r="E529" t="s">
        <v>27</v>
      </c>
      <c r="F529">
        <v>272409</v>
      </c>
      <c r="G529" t="s">
        <v>22</v>
      </c>
      <c r="H529">
        <v>35238.25</v>
      </c>
      <c r="I529" t="s">
        <v>61</v>
      </c>
      <c r="J529" t="s">
        <v>41</v>
      </c>
      <c r="K529" t="s">
        <v>26</v>
      </c>
      <c r="L529">
        <v>16</v>
      </c>
      <c r="M529">
        <v>0.13</v>
      </c>
      <c r="N529" t="s">
        <v>33</v>
      </c>
    </row>
    <row r="530" spans="1:14" x14ac:dyDescent="0.25">
      <c r="A530">
        <v>529</v>
      </c>
      <c r="B530" t="s">
        <v>14</v>
      </c>
      <c r="C530">
        <v>2020</v>
      </c>
      <c r="D530">
        <v>2.1</v>
      </c>
      <c r="E530" t="s">
        <v>15</v>
      </c>
      <c r="F530">
        <v>140777</v>
      </c>
      <c r="G530" t="s">
        <v>30</v>
      </c>
      <c r="H530">
        <v>39962.04</v>
      </c>
      <c r="I530" t="s">
        <v>28</v>
      </c>
      <c r="J530" t="s">
        <v>18</v>
      </c>
      <c r="K530" t="s">
        <v>19</v>
      </c>
      <c r="L530">
        <v>6</v>
      </c>
      <c r="M530">
        <v>0.28000000000000003</v>
      </c>
      <c r="N530" t="s">
        <v>20</v>
      </c>
    </row>
    <row r="531" spans="1:14" x14ac:dyDescent="0.25">
      <c r="A531">
        <v>530</v>
      </c>
      <c r="B531" t="s">
        <v>29</v>
      </c>
      <c r="C531">
        <v>2019</v>
      </c>
      <c r="D531">
        <v>3.8</v>
      </c>
      <c r="E531" t="s">
        <v>15</v>
      </c>
      <c r="F531">
        <v>186351</v>
      </c>
      <c r="G531" t="s">
        <v>30</v>
      </c>
      <c r="H531">
        <v>40680.94</v>
      </c>
      <c r="I531" t="s">
        <v>38</v>
      </c>
      <c r="J531" t="s">
        <v>46</v>
      </c>
      <c r="K531" t="s">
        <v>26</v>
      </c>
      <c r="L531">
        <v>7</v>
      </c>
      <c r="M531">
        <v>0.22</v>
      </c>
      <c r="N531" t="s">
        <v>33</v>
      </c>
    </row>
    <row r="532" spans="1:14" x14ac:dyDescent="0.25">
      <c r="A532">
        <v>531</v>
      </c>
      <c r="B532" t="s">
        <v>21</v>
      </c>
      <c r="C532">
        <v>2022</v>
      </c>
      <c r="D532">
        <v>2.9</v>
      </c>
      <c r="E532" t="s">
        <v>27</v>
      </c>
      <c r="F532">
        <v>62471</v>
      </c>
      <c r="G532" t="s">
        <v>30</v>
      </c>
      <c r="H532">
        <v>98038.25</v>
      </c>
      <c r="I532" t="s">
        <v>42</v>
      </c>
      <c r="J532" t="s">
        <v>41</v>
      </c>
      <c r="K532" t="s">
        <v>19</v>
      </c>
      <c r="L532">
        <v>4</v>
      </c>
      <c r="M532">
        <v>1.57</v>
      </c>
      <c r="N532" t="s">
        <v>20</v>
      </c>
    </row>
    <row r="533" spans="1:14" x14ac:dyDescent="0.25">
      <c r="A533">
        <v>532</v>
      </c>
      <c r="B533" t="s">
        <v>36</v>
      </c>
      <c r="C533">
        <v>2020</v>
      </c>
      <c r="D533">
        <v>4.3</v>
      </c>
      <c r="E533" t="s">
        <v>27</v>
      </c>
      <c r="F533">
        <v>91080</v>
      </c>
      <c r="G533" t="s">
        <v>22</v>
      </c>
      <c r="H533">
        <v>33870.58</v>
      </c>
      <c r="I533" t="s">
        <v>37</v>
      </c>
      <c r="J533" t="s">
        <v>32</v>
      </c>
      <c r="K533" t="s">
        <v>19</v>
      </c>
      <c r="L533">
        <v>6</v>
      </c>
      <c r="M533">
        <v>0.37</v>
      </c>
      <c r="N533" t="s">
        <v>33</v>
      </c>
    </row>
    <row r="534" spans="1:14" x14ac:dyDescent="0.25">
      <c r="A534">
        <v>533</v>
      </c>
      <c r="B534" t="s">
        <v>14</v>
      </c>
      <c r="C534">
        <v>2003</v>
      </c>
      <c r="D534">
        <v>1.7</v>
      </c>
      <c r="E534" t="s">
        <v>27</v>
      </c>
      <c r="F534">
        <v>108007</v>
      </c>
      <c r="G534" t="s">
        <v>22</v>
      </c>
      <c r="H534">
        <v>30196.61</v>
      </c>
      <c r="I534" t="s">
        <v>17</v>
      </c>
      <c r="J534" t="s">
        <v>18</v>
      </c>
      <c r="K534" t="s">
        <v>19</v>
      </c>
      <c r="L534">
        <v>23</v>
      </c>
      <c r="M534">
        <v>0.28000000000000003</v>
      </c>
      <c r="N534" t="s">
        <v>20</v>
      </c>
    </row>
    <row r="535" spans="1:14" x14ac:dyDescent="0.25">
      <c r="A535">
        <v>534</v>
      </c>
      <c r="B535" t="s">
        <v>36</v>
      </c>
      <c r="C535">
        <v>2001</v>
      </c>
      <c r="D535">
        <v>3.9</v>
      </c>
      <c r="E535" t="s">
        <v>15</v>
      </c>
      <c r="F535">
        <v>46104</v>
      </c>
      <c r="G535" t="s">
        <v>30</v>
      </c>
      <c r="H535">
        <v>17291.189999999999</v>
      </c>
      <c r="I535" t="s">
        <v>54</v>
      </c>
      <c r="J535" t="s">
        <v>46</v>
      </c>
      <c r="K535" t="s">
        <v>50</v>
      </c>
      <c r="L535">
        <v>25</v>
      </c>
      <c r="M535">
        <v>0.38</v>
      </c>
      <c r="N535" t="s">
        <v>33</v>
      </c>
    </row>
    <row r="536" spans="1:14" x14ac:dyDescent="0.25">
      <c r="A536">
        <v>535</v>
      </c>
      <c r="B536" t="s">
        <v>24</v>
      </c>
      <c r="C536">
        <v>2019</v>
      </c>
      <c r="D536">
        <v>1.9</v>
      </c>
      <c r="E536" t="s">
        <v>27</v>
      </c>
      <c r="F536">
        <v>40934</v>
      </c>
      <c r="G536" t="s">
        <v>16</v>
      </c>
      <c r="H536">
        <v>53545.84</v>
      </c>
      <c r="I536" t="s">
        <v>25</v>
      </c>
      <c r="J536" t="s">
        <v>32</v>
      </c>
      <c r="K536" t="s">
        <v>50</v>
      </c>
      <c r="L536">
        <v>7</v>
      </c>
      <c r="M536">
        <v>1.31</v>
      </c>
      <c r="N536" t="s">
        <v>20</v>
      </c>
    </row>
    <row r="537" spans="1:14" x14ac:dyDescent="0.25">
      <c r="A537">
        <v>536</v>
      </c>
      <c r="B537" t="s">
        <v>36</v>
      </c>
      <c r="C537">
        <v>2015</v>
      </c>
      <c r="D537">
        <v>2.4</v>
      </c>
      <c r="E537" t="s">
        <v>15</v>
      </c>
      <c r="F537">
        <v>254606</v>
      </c>
      <c r="G537" t="s">
        <v>30</v>
      </c>
      <c r="H537">
        <v>19599.060000000001</v>
      </c>
      <c r="I537" t="s">
        <v>57</v>
      </c>
      <c r="J537" t="s">
        <v>41</v>
      </c>
      <c r="K537" t="s">
        <v>26</v>
      </c>
      <c r="L537">
        <v>11</v>
      </c>
      <c r="M537">
        <v>0.08</v>
      </c>
      <c r="N537" t="s">
        <v>33</v>
      </c>
    </row>
    <row r="538" spans="1:14" x14ac:dyDescent="0.25">
      <c r="A538">
        <v>537</v>
      </c>
      <c r="B538" t="s">
        <v>24</v>
      </c>
      <c r="C538">
        <v>2017</v>
      </c>
      <c r="D538">
        <v>2.1</v>
      </c>
      <c r="E538" t="s">
        <v>27</v>
      </c>
      <c r="F538">
        <v>6050</v>
      </c>
      <c r="G538" t="s">
        <v>22</v>
      </c>
      <c r="H538">
        <v>63548</v>
      </c>
      <c r="I538" t="s">
        <v>45</v>
      </c>
      <c r="J538" t="s">
        <v>32</v>
      </c>
      <c r="K538" t="s">
        <v>50</v>
      </c>
      <c r="L538">
        <v>9</v>
      </c>
      <c r="M538">
        <v>10.5</v>
      </c>
      <c r="N538" t="s">
        <v>20</v>
      </c>
    </row>
    <row r="539" spans="1:14" x14ac:dyDescent="0.25">
      <c r="A539">
        <v>538</v>
      </c>
      <c r="B539" t="s">
        <v>43</v>
      </c>
      <c r="C539">
        <v>2007</v>
      </c>
      <c r="D539">
        <v>1.9</v>
      </c>
      <c r="E539" t="s">
        <v>15</v>
      </c>
      <c r="F539">
        <v>175024</v>
      </c>
      <c r="G539" t="s">
        <v>16</v>
      </c>
      <c r="H539">
        <v>19740.18</v>
      </c>
      <c r="I539" t="s">
        <v>49</v>
      </c>
      <c r="J539" t="s">
        <v>46</v>
      </c>
      <c r="K539" t="s">
        <v>26</v>
      </c>
      <c r="L539">
        <v>19</v>
      </c>
      <c r="M539">
        <v>0.11</v>
      </c>
      <c r="N539" t="s">
        <v>20</v>
      </c>
    </row>
    <row r="540" spans="1:14" x14ac:dyDescent="0.25">
      <c r="A540">
        <v>539</v>
      </c>
      <c r="B540" t="s">
        <v>14</v>
      </c>
      <c r="C540">
        <v>2002</v>
      </c>
      <c r="D540">
        <v>5.0999999999999996</v>
      </c>
      <c r="E540" t="s">
        <v>15</v>
      </c>
      <c r="F540">
        <v>270628</v>
      </c>
      <c r="G540" t="s">
        <v>16</v>
      </c>
      <c r="H540">
        <v>59783.97</v>
      </c>
      <c r="I540" t="s">
        <v>17</v>
      </c>
      <c r="J540" t="s">
        <v>18</v>
      </c>
      <c r="K540" t="s">
        <v>26</v>
      </c>
      <c r="L540">
        <v>24</v>
      </c>
      <c r="M540">
        <v>0.22</v>
      </c>
      <c r="N540" t="s">
        <v>20</v>
      </c>
    </row>
    <row r="541" spans="1:14" x14ac:dyDescent="0.25">
      <c r="A541">
        <v>540</v>
      </c>
      <c r="B541" t="s">
        <v>14</v>
      </c>
      <c r="C541">
        <v>2008</v>
      </c>
      <c r="D541">
        <v>2.4</v>
      </c>
      <c r="E541" t="s">
        <v>27</v>
      </c>
      <c r="F541">
        <v>184750</v>
      </c>
      <c r="G541" t="s">
        <v>22</v>
      </c>
      <c r="H541">
        <v>83495.58</v>
      </c>
      <c r="I541" t="s">
        <v>58</v>
      </c>
      <c r="J541" t="s">
        <v>18</v>
      </c>
      <c r="K541" t="s">
        <v>26</v>
      </c>
      <c r="L541">
        <v>18</v>
      </c>
      <c r="M541">
        <v>0.45</v>
      </c>
      <c r="N541" t="s">
        <v>20</v>
      </c>
    </row>
    <row r="542" spans="1:14" x14ac:dyDescent="0.25">
      <c r="A542">
        <v>541</v>
      </c>
      <c r="B542" t="s">
        <v>52</v>
      </c>
      <c r="C542">
        <v>2019</v>
      </c>
      <c r="D542">
        <v>5.6</v>
      </c>
      <c r="E542" t="s">
        <v>15</v>
      </c>
      <c r="F542">
        <v>31323</v>
      </c>
      <c r="G542" t="s">
        <v>16</v>
      </c>
      <c r="H542">
        <v>9039.84</v>
      </c>
      <c r="I542" t="s">
        <v>61</v>
      </c>
      <c r="J542" t="s">
        <v>32</v>
      </c>
      <c r="K542" t="s">
        <v>50</v>
      </c>
      <c r="L542">
        <v>7</v>
      </c>
      <c r="M542">
        <v>0.28999999999999998</v>
      </c>
      <c r="N542" t="s">
        <v>33</v>
      </c>
    </row>
    <row r="543" spans="1:14" x14ac:dyDescent="0.25">
      <c r="A543">
        <v>542</v>
      </c>
      <c r="B543" t="s">
        <v>21</v>
      </c>
      <c r="C543">
        <v>2005</v>
      </c>
      <c r="D543">
        <v>5.8</v>
      </c>
      <c r="E543" t="s">
        <v>27</v>
      </c>
      <c r="F543">
        <v>86332</v>
      </c>
      <c r="G543" t="s">
        <v>30</v>
      </c>
      <c r="H543">
        <v>44875.96</v>
      </c>
      <c r="I543" t="s">
        <v>23</v>
      </c>
      <c r="J543" t="s">
        <v>18</v>
      </c>
      <c r="K543" t="s">
        <v>19</v>
      </c>
      <c r="L543">
        <v>21</v>
      </c>
      <c r="M543">
        <v>0.52</v>
      </c>
      <c r="N543" t="s">
        <v>20</v>
      </c>
    </row>
    <row r="544" spans="1:14" x14ac:dyDescent="0.25">
      <c r="A544">
        <v>543</v>
      </c>
      <c r="B544" t="s">
        <v>24</v>
      </c>
      <c r="C544">
        <v>2009</v>
      </c>
      <c r="D544">
        <v>3.9</v>
      </c>
      <c r="E544" t="s">
        <v>15</v>
      </c>
      <c r="F544">
        <v>255540</v>
      </c>
      <c r="G544" t="s">
        <v>22</v>
      </c>
      <c r="H544">
        <v>48799.65</v>
      </c>
      <c r="I544" t="s">
        <v>45</v>
      </c>
      <c r="J544" t="s">
        <v>18</v>
      </c>
      <c r="K544" t="s">
        <v>26</v>
      </c>
      <c r="L544">
        <v>17</v>
      </c>
      <c r="M544">
        <v>0.19</v>
      </c>
      <c r="N544" t="s">
        <v>20</v>
      </c>
    </row>
    <row r="545" spans="1:14" x14ac:dyDescent="0.25">
      <c r="A545">
        <v>544</v>
      </c>
      <c r="B545" t="s">
        <v>52</v>
      </c>
      <c r="C545">
        <v>2020</v>
      </c>
      <c r="D545">
        <v>1.7</v>
      </c>
      <c r="E545" t="s">
        <v>15</v>
      </c>
      <c r="F545">
        <v>254547</v>
      </c>
      <c r="G545" t="s">
        <v>22</v>
      </c>
      <c r="H545">
        <v>80151.850000000006</v>
      </c>
      <c r="I545" t="s">
        <v>59</v>
      </c>
      <c r="J545" t="s">
        <v>32</v>
      </c>
      <c r="K545" t="s">
        <v>26</v>
      </c>
      <c r="L545">
        <v>6</v>
      </c>
      <c r="M545">
        <v>0.31</v>
      </c>
      <c r="N545" t="s">
        <v>33</v>
      </c>
    </row>
    <row r="546" spans="1:14" x14ac:dyDescent="0.25">
      <c r="A546">
        <v>545</v>
      </c>
      <c r="B546" t="s">
        <v>36</v>
      </c>
      <c r="C546">
        <v>2009</v>
      </c>
      <c r="D546">
        <v>2.9</v>
      </c>
      <c r="E546" t="s">
        <v>27</v>
      </c>
      <c r="F546">
        <v>272459</v>
      </c>
      <c r="G546" t="s">
        <v>22</v>
      </c>
      <c r="H546">
        <v>49451.99</v>
      </c>
      <c r="I546" t="s">
        <v>51</v>
      </c>
      <c r="J546" t="s">
        <v>32</v>
      </c>
      <c r="K546" t="s">
        <v>26</v>
      </c>
      <c r="L546">
        <v>17</v>
      </c>
      <c r="M546">
        <v>0.18</v>
      </c>
      <c r="N546" t="s">
        <v>33</v>
      </c>
    </row>
    <row r="547" spans="1:14" x14ac:dyDescent="0.25">
      <c r="A547">
        <v>546</v>
      </c>
      <c r="B547" t="s">
        <v>36</v>
      </c>
      <c r="C547">
        <v>2012</v>
      </c>
      <c r="D547">
        <v>5</v>
      </c>
      <c r="E547" t="s">
        <v>15</v>
      </c>
      <c r="F547">
        <v>157591</v>
      </c>
      <c r="G547" t="s">
        <v>22</v>
      </c>
      <c r="H547">
        <v>58915.9</v>
      </c>
      <c r="I547" t="s">
        <v>54</v>
      </c>
      <c r="J547" t="s">
        <v>32</v>
      </c>
      <c r="K547" t="s">
        <v>26</v>
      </c>
      <c r="L547">
        <v>14</v>
      </c>
      <c r="M547">
        <v>0.37</v>
      </c>
      <c r="N547" t="s">
        <v>33</v>
      </c>
    </row>
    <row r="548" spans="1:14" x14ac:dyDescent="0.25">
      <c r="A548">
        <v>547</v>
      </c>
      <c r="B548" t="s">
        <v>52</v>
      </c>
      <c r="C548">
        <v>2016</v>
      </c>
      <c r="D548">
        <v>2.8</v>
      </c>
      <c r="E548" t="s">
        <v>27</v>
      </c>
      <c r="F548">
        <v>271251</v>
      </c>
      <c r="G548" t="s">
        <v>16</v>
      </c>
      <c r="H548">
        <v>80164.399999999994</v>
      </c>
      <c r="I548" t="s">
        <v>59</v>
      </c>
      <c r="J548" t="s">
        <v>41</v>
      </c>
      <c r="K548" t="s">
        <v>26</v>
      </c>
      <c r="L548">
        <v>10</v>
      </c>
      <c r="M548">
        <v>0.3</v>
      </c>
      <c r="N548" t="s">
        <v>33</v>
      </c>
    </row>
    <row r="549" spans="1:14" x14ac:dyDescent="0.25">
      <c r="A549">
        <v>548</v>
      </c>
      <c r="B549" t="s">
        <v>14</v>
      </c>
      <c r="C549">
        <v>2008</v>
      </c>
      <c r="D549">
        <v>1.4</v>
      </c>
      <c r="E549" t="s">
        <v>27</v>
      </c>
      <c r="F549">
        <v>55781</v>
      </c>
      <c r="G549" t="s">
        <v>22</v>
      </c>
      <c r="H549">
        <v>58177.06</v>
      </c>
      <c r="I549" t="s">
        <v>58</v>
      </c>
      <c r="J549" t="s">
        <v>18</v>
      </c>
      <c r="K549" t="s">
        <v>19</v>
      </c>
      <c r="L549">
        <v>18</v>
      </c>
      <c r="M549">
        <v>1.04</v>
      </c>
      <c r="N549" t="s">
        <v>20</v>
      </c>
    </row>
    <row r="550" spans="1:14" x14ac:dyDescent="0.25">
      <c r="A550">
        <v>549</v>
      </c>
      <c r="B550" t="s">
        <v>36</v>
      </c>
      <c r="C550">
        <v>2016</v>
      </c>
      <c r="D550">
        <v>3.8</v>
      </c>
      <c r="E550" t="s">
        <v>27</v>
      </c>
      <c r="F550">
        <v>266013</v>
      </c>
      <c r="G550" t="s">
        <v>22</v>
      </c>
      <c r="H550">
        <v>39038.44</v>
      </c>
      <c r="I550" t="s">
        <v>54</v>
      </c>
      <c r="J550" t="s">
        <v>46</v>
      </c>
      <c r="K550" t="s">
        <v>26</v>
      </c>
      <c r="L550">
        <v>10</v>
      </c>
      <c r="M550">
        <v>0.15</v>
      </c>
      <c r="N550" t="s">
        <v>33</v>
      </c>
    </row>
    <row r="551" spans="1:14" x14ac:dyDescent="0.25">
      <c r="A551">
        <v>550</v>
      </c>
      <c r="B551" t="s">
        <v>43</v>
      </c>
      <c r="C551">
        <v>2023</v>
      </c>
      <c r="D551">
        <v>5.2</v>
      </c>
      <c r="E551" t="s">
        <v>15</v>
      </c>
      <c r="F551">
        <v>7971</v>
      </c>
      <c r="G551" t="s">
        <v>16</v>
      </c>
      <c r="H551">
        <v>13155.02</v>
      </c>
      <c r="I551" t="s">
        <v>48</v>
      </c>
      <c r="J551" t="s">
        <v>46</v>
      </c>
      <c r="K551" t="s">
        <v>50</v>
      </c>
      <c r="L551">
        <v>3</v>
      </c>
      <c r="M551">
        <v>1.65</v>
      </c>
      <c r="N551" t="s">
        <v>20</v>
      </c>
    </row>
    <row r="552" spans="1:14" x14ac:dyDescent="0.25">
      <c r="A552">
        <v>551</v>
      </c>
      <c r="B552" t="s">
        <v>43</v>
      </c>
      <c r="C552">
        <v>2008</v>
      </c>
      <c r="D552">
        <v>5</v>
      </c>
      <c r="E552" t="s">
        <v>15</v>
      </c>
      <c r="F552">
        <v>254927</v>
      </c>
      <c r="G552" t="s">
        <v>22</v>
      </c>
      <c r="H552">
        <v>74341.98</v>
      </c>
      <c r="I552" t="s">
        <v>55</v>
      </c>
      <c r="J552" t="s">
        <v>32</v>
      </c>
      <c r="K552" t="s">
        <v>26</v>
      </c>
      <c r="L552">
        <v>18</v>
      </c>
      <c r="M552">
        <v>0.28999999999999998</v>
      </c>
      <c r="N552" t="s">
        <v>20</v>
      </c>
    </row>
    <row r="553" spans="1:14" x14ac:dyDescent="0.25">
      <c r="A553">
        <v>552</v>
      </c>
      <c r="B553" t="s">
        <v>52</v>
      </c>
      <c r="C553">
        <v>2008</v>
      </c>
      <c r="D553">
        <v>1.9</v>
      </c>
      <c r="E553" t="s">
        <v>15</v>
      </c>
      <c r="F553">
        <v>287795</v>
      </c>
      <c r="G553" t="s">
        <v>16</v>
      </c>
      <c r="H553">
        <v>87758.12</v>
      </c>
      <c r="I553" t="s">
        <v>61</v>
      </c>
      <c r="J553" t="s">
        <v>46</v>
      </c>
      <c r="K553" t="s">
        <v>26</v>
      </c>
      <c r="L553">
        <v>18</v>
      </c>
      <c r="M553">
        <v>0.3</v>
      </c>
      <c r="N553" t="s">
        <v>33</v>
      </c>
    </row>
    <row r="554" spans="1:14" x14ac:dyDescent="0.25">
      <c r="A554">
        <v>553</v>
      </c>
      <c r="B554" t="s">
        <v>24</v>
      </c>
      <c r="C554">
        <v>2000</v>
      </c>
      <c r="D554">
        <v>4.4000000000000004</v>
      </c>
      <c r="E554" t="s">
        <v>27</v>
      </c>
      <c r="F554">
        <v>23446</v>
      </c>
      <c r="G554" t="s">
        <v>16</v>
      </c>
      <c r="H554">
        <v>97156.13</v>
      </c>
      <c r="I554" t="s">
        <v>25</v>
      </c>
      <c r="J554" t="s">
        <v>32</v>
      </c>
      <c r="K554" t="s">
        <v>50</v>
      </c>
      <c r="L554">
        <v>26</v>
      </c>
      <c r="M554">
        <v>4.1399999999999997</v>
      </c>
      <c r="N554" t="s">
        <v>20</v>
      </c>
    </row>
    <row r="555" spans="1:14" x14ac:dyDescent="0.25">
      <c r="A555">
        <v>554</v>
      </c>
      <c r="B555" t="s">
        <v>24</v>
      </c>
      <c r="C555">
        <v>2001</v>
      </c>
      <c r="D555">
        <v>2.1</v>
      </c>
      <c r="E555" t="s">
        <v>27</v>
      </c>
      <c r="F555">
        <v>257419</v>
      </c>
      <c r="G555" t="s">
        <v>22</v>
      </c>
      <c r="H555">
        <v>93026.99</v>
      </c>
      <c r="I555" t="s">
        <v>25</v>
      </c>
      <c r="J555" t="s">
        <v>41</v>
      </c>
      <c r="K555" t="s">
        <v>26</v>
      </c>
      <c r="L555">
        <v>25</v>
      </c>
      <c r="M555">
        <v>0.36</v>
      </c>
      <c r="N555" t="s">
        <v>20</v>
      </c>
    </row>
    <row r="556" spans="1:14" x14ac:dyDescent="0.25">
      <c r="A556">
        <v>555</v>
      </c>
      <c r="B556" t="s">
        <v>52</v>
      </c>
      <c r="C556">
        <v>2015</v>
      </c>
      <c r="D556">
        <v>2.1</v>
      </c>
      <c r="E556" t="s">
        <v>15</v>
      </c>
      <c r="F556">
        <v>169180</v>
      </c>
      <c r="G556" t="s">
        <v>30</v>
      </c>
      <c r="H556">
        <v>80754.7</v>
      </c>
      <c r="I556" t="s">
        <v>56</v>
      </c>
      <c r="J556" t="s">
        <v>18</v>
      </c>
      <c r="K556" t="s">
        <v>26</v>
      </c>
      <c r="L556">
        <v>11</v>
      </c>
      <c r="M556">
        <v>0.48</v>
      </c>
      <c r="N556" t="s">
        <v>33</v>
      </c>
    </row>
    <row r="557" spans="1:14" x14ac:dyDescent="0.25">
      <c r="A557">
        <v>556</v>
      </c>
      <c r="B557" t="s">
        <v>24</v>
      </c>
      <c r="C557">
        <v>2000</v>
      </c>
      <c r="D557">
        <v>5.4</v>
      </c>
      <c r="E557" t="s">
        <v>15</v>
      </c>
      <c r="F557">
        <v>3823</v>
      </c>
      <c r="G557" t="s">
        <v>22</v>
      </c>
      <c r="H557">
        <v>66129.83</v>
      </c>
      <c r="I557" t="s">
        <v>35</v>
      </c>
      <c r="J557" t="s">
        <v>32</v>
      </c>
      <c r="K557" t="s">
        <v>50</v>
      </c>
      <c r="L557">
        <v>26</v>
      </c>
      <c r="M557">
        <v>17.3</v>
      </c>
      <c r="N557" t="s">
        <v>20</v>
      </c>
    </row>
    <row r="558" spans="1:14" x14ac:dyDescent="0.25">
      <c r="A558">
        <v>557</v>
      </c>
      <c r="B558" t="s">
        <v>14</v>
      </c>
      <c r="C558">
        <v>2009</v>
      </c>
      <c r="D558">
        <v>2.2000000000000002</v>
      </c>
      <c r="E558" t="s">
        <v>27</v>
      </c>
      <c r="F558">
        <v>144526</v>
      </c>
      <c r="G558" t="s">
        <v>30</v>
      </c>
      <c r="H558">
        <v>79238.710000000006</v>
      </c>
      <c r="I558" t="s">
        <v>17</v>
      </c>
      <c r="J558" t="s">
        <v>18</v>
      </c>
      <c r="K558" t="s">
        <v>19</v>
      </c>
      <c r="L558">
        <v>17</v>
      </c>
      <c r="M558">
        <v>0.55000000000000004</v>
      </c>
      <c r="N558" t="s">
        <v>20</v>
      </c>
    </row>
    <row r="559" spans="1:14" x14ac:dyDescent="0.25">
      <c r="A559">
        <v>558</v>
      </c>
      <c r="B559" t="s">
        <v>14</v>
      </c>
      <c r="C559">
        <v>2017</v>
      </c>
      <c r="D559">
        <v>2.2999999999999998</v>
      </c>
      <c r="E559" t="s">
        <v>15</v>
      </c>
      <c r="F559">
        <v>135004</v>
      </c>
      <c r="G559" t="s">
        <v>16</v>
      </c>
      <c r="H559">
        <v>46047.95</v>
      </c>
      <c r="I559" t="s">
        <v>17</v>
      </c>
      <c r="J559" t="s">
        <v>18</v>
      </c>
      <c r="K559" t="s">
        <v>19</v>
      </c>
      <c r="L559">
        <v>9</v>
      </c>
      <c r="M559">
        <v>0.34</v>
      </c>
      <c r="N559" t="s">
        <v>20</v>
      </c>
    </row>
    <row r="560" spans="1:14" x14ac:dyDescent="0.25">
      <c r="A560">
        <v>559</v>
      </c>
      <c r="B560" t="s">
        <v>24</v>
      </c>
      <c r="C560">
        <v>2007</v>
      </c>
      <c r="D560">
        <v>1</v>
      </c>
      <c r="E560" t="s">
        <v>27</v>
      </c>
      <c r="F560">
        <v>205162</v>
      </c>
      <c r="G560" t="s">
        <v>30</v>
      </c>
      <c r="H560">
        <v>61503.74</v>
      </c>
      <c r="I560" t="s">
        <v>25</v>
      </c>
      <c r="J560" t="s">
        <v>18</v>
      </c>
      <c r="K560" t="s">
        <v>26</v>
      </c>
      <c r="L560">
        <v>19</v>
      </c>
      <c r="M560">
        <v>0.3</v>
      </c>
      <c r="N560" t="s">
        <v>20</v>
      </c>
    </row>
    <row r="561" spans="1:14" x14ac:dyDescent="0.25">
      <c r="A561">
        <v>560</v>
      </c>
      <c r="B561" t="s">
        <v>43</v>
      </c>
      <c r="C561">
        <v>2020</v>
      </c>
      <c r="D561">
        <v>5.4</v>
      </c>
      <c r="E561" t="s">
        <v>15</v>
      </c>
      <c r="F561">
        <v>67965</v>
      </c>
      <c r="G561" t="s">
        <v>22</v>
      </c>
      <c r="H561">
        <v>38126.480000000003</v>
      </c>
      <c r="I561" t="s">
        <v>44</v>
      </c>
      <c r="J561" t="s">
        <v>41</v>
      </c>
      <c r="K561" t="s">
        <v>19</v>
      </c>
      <c r="L561">
        <v>6</v>
      </c>
      <c r="M561">
        <v>0.56000000000000005</v>
      </c>
      <c r="N561" t="s">
        <v>20</v>
      </c>
    </row>
    <row r="562" spans="1:14" x14ac:dyDescent="0.25">
      <c r="A562">
        <v>561</v>
      </c>
      <c r="B562" t="s">
        <v>24</v>
      </c>
      <c r="C562">
        <v>2010</v>
      </c>
      <c r="D562">
        <v>5</v>
      </c>
      <c r="E562" t="s">
        <v>27</v>
      </c>
      <c r="F562">
        <v>272654</v>
      </c>
      <c r="G562" t="s">
        <v>22</v>
      </c>
      <c r="H562">
        <v>36037.379999999997</v>
      </c>
      <c r="I562" t="s">
        <v>34</v>
      </c>
      <c r="J562" t="s">
        <v>46</v>
      </c>
      <c r="K562" t="s">
        <v>26</v>
      </c>
      <c r="L562">
        <v>16</v>
      </c>
      <c r="M562">
        <v>0.13</v>
      </c>
      <c r="N562" t="s">
        <v>20</v>
      </c>
    </row>
    <row r="563" spans="1:14" x14ac:dyDescent="0.25">
      <c r="A563">
        <v>562</v>
      </c>
      <c r="B563" t="s">
        <v>14</v>
      </c>
      <c r="C563">
        <v>2022</v>
      </c>
      <c r="D563">
        <v>4.0999999999999996</v>
      </c>
      <c r="E563" t="s">
        <v>15</v>
      </c>
      <c r="F563">
        <v>141609</v>
      </c>
      <c r="G563" t="s">
        <v>30</v>
      </c>
      <c r="H563">
        <v>76885.72</v>
      </c>
      <c r="I563" t="s">
        <v>17</v>
      </c>
      <c r="J563" t="s">
        <v>18</v>
      </c>
      <c r="K563" t="s">
        <v>19</v>
      </c>
      <c r="L563">
        <v>4</v>
      </c>
      <c r="M563">
        <v>0.54</v>
      </c>
      <c r="N563" t="s">
        <v>20</v>
      </c>
    </row>
    <row r="564" spans="1:14" x14ac:dyDescent="0.25">
      <c r="A564">
        <v>563</v>
      </c>
      <c r="B564" t="s">
        <v>29</v>
      </c>
      <c r="C564">
        <v>2001</v>
      </c>
      <c r="D564">
        <v>4.8</v>
      </c>
      <c r="E564" t="s">
        <v>15</v>
      </c>
      <c r="F564">
        <v>105935</v>
      </c>
      <c r="G564" t="s">
        <v>22</v>
      </c>
      <c r="H564">
        <v>48123.61</v>
      </c>
      <c r="I564" t="s">
        <v>38</v>
      </c>
      <c r="J564" t="s">
        <v>46</v>
      </c>
      <c r="K564" t="s">
        <v>19</v>
      </c>
      <c r="L564">
        <v>25</v>
      </c>
      <c r="M564">
        <v>0.45</v>
      </c>
      <c r="N564" t="s">
        <v>33</v>
      </c>
    </row>
    <row r="565" spans="1:14" x14ac:dyDescent="0.25">
      <c r="A565">
        <v>564</v>
      </c>
      <c r="B565" t="s">
        <v>21</v>
      </c>
      <c r="C565">
        <v>2007</v>
      </c>
      <c r="D565">
        <v>1.8</v>
      </c>
      <c r="E565" t="s">
        <v>27</v>
      </c>
      <c r="F565">
        <v>233705</v>
      </c>
      <c r="G565" t="s">
        <v>30</v>
      </c>
      <c r="H565">
        <v>25155.32</v>
      </c>
      <c r="I565" t="s">
        <v>47</v>
      </c>
      <c r="J565" t="s">
        <v>32</v>
      </c>
      <c r="K565" t="s">
        <v>26</v>
      </c>
      <c r="L565">
        <v>19</v>
      </c>
      <c r="M565">
        <v>0.11</v>
      </c>
      <c r="N565" t="s">
        <v>20</v>
      </c>
    </row>
    <row r="566" spans="1:14" x14ac:dyDescent="0.25">
      <c r="A566">
        <v>565</v>
      </c>
      <c r="B566" t="s">
        <v>36</v>
      </c>
      <c r="C566">
        <v>2021</v>
      </c>
      <c r="D566">
        <v>3.3</v>
      </c>
      <c r="E566" t="s">
        <v>27</v>
      </c>
      <c r="F566">
        <v>253978</v>
      </c>
      <c r="G566" t="s">
        <v>16</v>
      </c>
      <c r="H566">
        <v>24184.13</v>
      </c>
      <c r="I566" t="s">
        <v>51</v>
      </c>
      <c r="J566" t="s">
        <v>41</v>
      </c>
      <c r="K566" t="s">
        <v>26</v>
      </c>
      <c r="L566">
        <v>5</v>
      </c>
      <c r="M566">
        <v>0.1</v>
      </c>
      <c r="N566" t="s">
        <v>33</v>
      </c>
    </row>
    <row r="567" spans="1:14" x14ac:dyDescent="0.25">
      <c r="A567">
        <v>566</v>
      </c>
      <c r="B567" t="s">
        <v>29</v>
      </c>
      <c r="C567">
        <v>2007</v>
      </c>
      <c r="D567">
        <v>2.8</v>
      </c>
      <c r="E567" t="s">
        <v>27</v>
      </c>
      <c r="F567">
        <v>144854</v>
      </c>
      <c r="G567" t="s">
        <v>30</v>
      </c>
      <c r="H567">
        <v>86621.37</v>
      </c>
      <c r="I567" t="s">
        <v>31</v>
      </c>
      <c r="J567" t="s">
        <v>18</v>
      </c>
      <c r="K567" t="s">
        <v>19</v>
      </c>
      <c r="L567">
        <v>19</v>
      </c>
      <c r="M567">
        <v>0.6</v>
      </c>
      <c r="N567" t="s">
        <v>33</v>
      </c>
    </row>
    <row r="568" spans="1:14" x14ac:dyDescent="0.25">
      <c r="A568">
        <v>567</v>
      </c>
      <c r="B568" t="s">
        <v>24</v>
      </c>
      <c r="C568">
        <v>2016</v>
      </c>
      <c r="D568">
        <v>1.5</v>
      </c>
      <c r="E568" t="s">
        <v>15</v>
      </c>
      <c r="F568">
        <v>78004</v>
      </c>
      <c r="G568" t="s">
        <v>30</v>
      </c>
      <c r="H568">
        <v>69387.25</v>
      </c>
      <c r="I568" t="s">
        <v>25</v>
      </c>
      <c r="J568" t="s">
        <v>41</v>
      </c>
      <c r="K568" t="s">
        <v>19</v>
      </c>
      <c r="L568">
        <v>10</v>
      </c>
      <c r="M568">
        <v>0.89</v>
      </c>
      <c r="N568" t="s">
        <v>20</v>
      </c>
    </row>
    <row r="569" spans="1:14" x14ac:dyDescent="0.25">
      <c r="A569">
        <v>568</v>
      </c>
      <c r="B569" t="s">
        <v>43</v>
      </c>
      <c r="C569">
        <v>2014</v>
      </c>
      <c r="D569">
        <v>3.4</v>
      </c>
      <c r="E569" t="s">
        <v>27</v>
      </c>
      <c r="F569">
        <v>22072</v>
      </c>
      <c r="G569" t="s">
        <v>30</v>
      </c>
      <c r="H569">
        <v>56874.38</v>
      </c>
      <c r="I569" t="s">
        <v>55</v>
      </c>
      <c r="J569" t="s">
        <v>18</v>
      </c>
      <c r="K569" t="s">
        <v>50</v>
      </c>
      <c r="L569">
        <v>12</v>
      </c>
      <c r="M569">
        <v>2.58</v>
      </c>
      <c r="N569" t="s">
        <v>20</v>
      </c>
    </row>
    <row r="570" spans="1:14" x14ac:dyDescent="0.25">
      <c r="A570">
        <v>569</v>
      </c>
      <c r="B570" t="s">
        <v>52</v>
      </c>
      <c r="C570">
        <v>2016</v>
      </c>
      <c r="D570">
        <v>5.6</v>
      </c>
      <c r="E570" t="s">
        <v>27</v>
      </c>
      <c r="F570">
        <v>81015</v>
      </c>
      <c r="G570" t="s">
        <v>30</v>
      </c>
      <c r="H570">
        <v>43089.18</v>
      </c>
      <c r="I570" t="s">
        <v>56</v>
      </c>
      <c r="J570" t="s">
        <v>46</v>
      </c>
      <c r="K570" t="s">
        <v>19</v>
      </c>
      <c r="L570">
        <v>10</v>
      </c>
      <c r="M570">
        <v>0.53</v>
      </c>
      <c r="N570" t="s">
        <v>33</v>
      </c>
    </row>
    <row r="571" spans="1:14" x14ac:dyDescent="0.25">
      <c r="A571">
        <v>570</v>
      </c>
      <c r="B571" t="s">
        <v>24</v>
      </c>
      <c r="C571">
        <v>2022</v>
      </c>
      <c r="D571">
        <v>1.2</v>
      </c>
      <c r="E571" t="s">
        <v>15</v>
      </c>
      <c r="F571">
        <v>225075</v>
      </c>
      <c r="G571" t="s">
        <v>16</v>
      </c>
      <c r="H571">
        <v>45927.65</v>
      </c>
      <c r="I571" t="s">
        <v>35</v>
      </c>
      <c r="J571" t="s">
        <v>46</v>
      </c>
      <c r="K571" t="s">
        <v>26</v>
      </c>
      <c r="L571">
        <v>4</v>
      </c>
      <c r="M571">
        <v>0.2</v>
      </c>
      <c r="N571" t="s">
        <v>20</v>
      </c>
    </row>
    <row r="572" spans="1:14" x14ac:dyDescent="0.25">
      <c r="A572">
        <v>571</v>
      </c>
      <c r="B572" t="s">
        <v>43</v>
      </c>
      <c r="C572">
        <v>2023</v>
      </c>
      <c r="D572">
        <v>2.5</v>
      </c>
      <c r="E572" t="s">
        <v>27</v>
      </c>
      <c r="F572">
        <v>220010</v>
      </c>
      <c r="G572" t="s">
        <v>16</v>
      </c>
      <c r="H572">
        <v>10456.34</v>
      </c>
      <c r="I572" t="s">
        <v>44</v>
      </c>
      <c r="J572" t="s">
        <v>41</v>
      </c>
      <c r="K572" t="s">
        <v>26</v>
      </c>
      <c r="L572">
        <v>3</v>
      </c>
      <c r="M572">
        <v>0.05</v>
      </c>
      <c r="N572" t="s">
        <v>20</v>
      </c>
    </row>
    <row r="573" spans="1:14" x14ac:dyDescent="0.25">
      <c r="A573">
        <v>572</v>
      </c>
      <c r="B573" t="s">
        <v>21</v>
      </c>
      <c r="C573">
        <v>2012</v>
      </c>
      <c r="D573">
        <v>2</v>
      </c>
      <c r="E573" t="s">
        <v>27</v>
      </c>
      <c r="F573">
        <v>72746</v>
      </c>
      <c r="G573" t="s">
        <v>16</v>
      </c>
      <c r="H573">
        <v>48216.46</v>
      </c>
      <c r="I573" t="s">
        <v>60</v>
      </c>
      <c r="J573" t="s">
        <v>18</v>
      </c>
      <c r="K573" t="s">
        <v>19</v>
      </c>
      <c r="L573">
        <v>14</v>
      </c>
      <c r="M573">
        <v>0.66</v>
      </c>
      <c r="N573" t="s">
        <v>20</v>
      </c>
    </row>
    <row r="574" spans="1:14" x14ac:dyDescent="0.25">
      <c r="A574">
        <v>573</v>
      </c>
      <c r="B574" t="s">
        <v>24</v>
      </c>
      <c r="C574">
        <v>2018</v>
      </c>
      <c r="D574">
        <v>2.2000000000000002</v>
      </c>
      <c r="E574" t="s">
        <v>27</v>
      </c>
      <c r="F574">
        <v>176774</v>
      </c>
      <c r="G574" t="s">
        <v>30</v>
      </c>
      <c r="H574">
        <v>80568.22</v>
      </c>
      <c r="I574" t="s">
        <v>35</v>
      </c>
      <c r="J574" t="s">
        <v>41</v>
      </c>
      <c r="K574" t="s">
        <v>26</v>
      </c>
      <c r="L574">
        <v>8</v>
      </c>
      <c r="M574">
        <v>0.46</v>
      </c>
      <c r="N574" t="s">
        <v>20</v>
      </c>
    </row>
    <row r="575" spans="1:14" x14ac:dyDescent="0.25">
      <c r="A575">
        <v>574</v>
      </c>
      <c r="B575" t="s">
        <v>14</v>
      </c>
      <c r="C575">
        <v>2004</v>
      </c>
      <c r="D575">
        <v>5.5</v>
      </c>
      <c r="E575" t="s">
        <v>15</v>
      </c>
      <c r="F575">
        <v>128259</v>
      </c>
      <c r="G575" t="s">
        <v>16</v>
      </c>
      <c r="H575">
        <v>41858.720000000001</v>
      </c>
      <c r="I575" t="s">
        <v>17</v>
      </c>
      <c r="J575" t="s">
        <v>18</v>
      </c>
      <c r="K575" t="s">
        <v>19</v>
      </c>
      <c r="L575">
        <v>22</v>
      </c>
      <c r="M575">
        <v>0.33</v>
      </c>
      <c r="N575" t="s">
        <v>20</v>
      </c>
    </row>
    <row r="576" spans="1:14" x14ac:dyDescent="0.25">
      <c r="A576">
        <v>575</v>
      </c>
      <c r="B576" t="s">
        <v>52</v>
      </c>
      <c r="C576">
        <v>2011</v>
      </c>
      <c r="D576">
        <v>3.3</v>
      </c>
      <c r="E576" t="s">
        <v>15</v>
      </c>
      <c r="F576">
        <v>30916</v>
      </c>
      <c r="G576" t="s">
        <v>22</v>
      </c>
      <c r="H576">
        <v>41440.22</v>
      </c>
      <c r="I576" t="s">
        <v>53</v>
      </c>
      <c r="J576" t="s">
        <v>18</v>
      </c>
      <c r="K576" t="s">
        <v>50</v>
      </c>
      <c r="L576">
        <v>15</v>
      </c>
      <c r="M576">
        <v>1.34</v>
      </c>
      <c r="N576" t="s">
        <v>33</v>
      </c>
    </row>
    <row r="577" spans="1:14" x14ac:dyDescent="0.25">
      <c r="A577">
        <v>576</v>
      </c>
      <c r="B577" t="s">
        <v>43</v>
      </c>
      <c r="C577">
        <v>2000</v>
      </c>
      <c r="D577">
        <v>3.3</v>
      </c>
      <c r="E577" t="s">
        <v>15</v>
      </c>
      <c r="F577">
        <v>27268</v>
      </c>
      <c r="G577" t="s">
        <v>16</v>
      </c>
      <c r="H577">
        <v>6493.08</v>
      </c>
      <c r="I577" t="s">
        <v>44</v>
      </c>
      <c r="J577" t="s">
        <v>46</v>
      </c>
      <c r="K577" t="s">
        <v>50</v>
      </c>
      <c r="L577">
        <v>26</v>
      </c>
      <c r="M577">
        <v>0.24</v>
      </c>
      <c r="N577" t="s">
        <v>20</v>
      </c>
    </row>
    <row r="578" spans="1:14" x14ac:dyDescent="0.25">
      <c r="A578">
        <v>577</v>
      </c>
      <c r="B578" t="s">
        <v>43</v>
      </c>
      <c r="C578">
        <v>2022</v>
      </c>
      <c r="D578">
        <v>4.8</v>
      </c>
      <c r="E578" t="s">
        <v>27</v>
      </c>
      <c r="F578">
        <v>175050</v>
      </c>
      <c r="G578" t="s">
        <v>30</v>
      </c>
      <c r="H578">
        <v>48494.35</v>
      </c>
      <c r="I578" t="s">
        <v>49</v>
      </c>
      <c r="J578" t="s">
        <v>46</v>
      </c>
      <c r="K578" t="s">
        <v>26</v>
      </c>
      <c r="L578">
        <v>4</v>
      </c>
      <c r="M578">
        <v>0.28000000000000003</v>
      </c>
      <c r="N578" t="s">
        <v>20</v>
      </c>
    </row>
    <row r="579" spans="1:14" x14ac:dyDescent="0.25">
      <c r="A579">
        <v>578</v>
      </c>
      <c r="B579" t="s">
        <v>43</v>
      </c>
      <c r="C579">
        <v>2004</v>
      </c>
      <c r="D579">
        <v>1.8</v>
      </c>
      <c r="E579" t="s">
        <v>15</v>
      </c>
      <c r="F579">
        <v>243966</v>
      </c>
      <c r="G579" t="s">
        <v>22</v>
      </c>
      <c r="H579">
        <v>7407.08</v>
      </c>
      <c r="I579" t="s">
        <v>48</v>
      </c>
      <c r="J579" t="s">
        <v>18</v>
      </c>
      <c r="K579" t="s">
        <v>26</v>
      </c>
      <c r="L579">
        <v>22</v>
      </c>
      <c r="M579">
        <v>0.03</v>
      </c>
      <c r="N579" t="s">
        <v>20</v>
      </c>
    </row>
    <row r="580" spans="1:14" x14ac:dyDescent="0.25">
      <c r="A580">
        <v>579</v>
      </c>
      <c r="B580" t="s">
        <v>21</v>
      </c>
      <c r="C580">
        <v>2007</v>
      </c>
      <c r="D580">
        <v>3.4</v>
      </c>
      <c r="E580" t="s">
        <v>27</v>
      </c>
      <c r="F580">
        <v>23259</v>
      </c>
      <c r="G580" t="s">
        <v>30</v>
      </c>
      <c r="H580">
        <v>59183.199999999997</v>
      </c>
      <c r="I580" t="s">
        <v>23</v>
      </c>
      <c r="J580" t="s">
        <v>18</v>
      </c>
      <c r="K580" t="s">
        <v>50</v>
      </c>
      <c r="L580">
        <v>19</v>
      </c>
      <c r="M580">
        <v>2.54</v>
      </c>
      <c r="N580" t="s">
        <v>20</v>
      </c>
    </row>
    <row r="581" spans="1:14" x14ac:dyDescent="0.25">
      <c r="A581">
        <v>580</v>
      </c>
      <c r="B581" t="s">
        <v>24</v>
      </c>
      <c r="C581">
        <v>2012</v>
      </c>
      <c r="D581">
        <v>3.1</v>
      </c>
      <c r="E581" t="s">
        <v>27</v>
      </c>
      <c r="F581">
        <v>79400</v>
      </c>
      <c r="G581" t="s">
        <v>22</v>
      </c>
      <c r="H581">
        <v>53144.42</v>
      </c>
      <c r="I581" t="s">
        <v>35</v>
      </c>
      <c r="J581" t="s">
        <v>18</v>
      </c>
      <c r="K581" t="s">
        <v>19</v>
      </c>
      <c r="L581">
        <v>14</v>
      </c>
      <c r="M581">
        <v>0.67</v>
      </c>
      <c r="N581" t="s">
        <v>20</v>
      </c>
    </row>
    <row r="582" spans="1:14" x14ac:dyDescent="0.25">
      <c r="A582">
        <v>581</v>
      </c>
      <c r="B582" t="s">
        <v>21</v>
      </c>
      <c r="C582">
        <v>2007</v>
      </c>
      <c r="D582">
        <v>4</v>
      </c>
      <c r="E582" t="s">
        <v>27</v>
      </c>
      <c r="F582">
        <v>296437</v>
      </c>
      <c r="G582" t="s">
        <v>30</v>
      </c>
      <c r="H582">
        <v>84800.81</v>
      </c>
      <c r="I582" t="s">
        <v>60</v>
      </c>
      <c r="J582" t="s">
        <v>46</v>
      </c>
      <c r="K582" t="s">
        <v>26</v>
      </c>
      <c r="L582">
        <v>19</v>
      </c>
      <c r="M582">
        <v>0.28999999999999998</v>
      </c>
      <c r="N582" t="s">
        <v>20</v>
      </c>
    </row>
    <row r="583" spans="1:14" x14ac:dyDescent="0.25">
      <c r="A583">
        <v>582</v>
      </c>
      <c r="B583" t="s">
        <v>36</v>
      </c>
      <c r="C583">
        <v>2022</v>
      </c>
      <c r="D583">
        <v>6</v>
      </c>
      <c r="E583" t="s">
        <v>15</v>
      </c>
      <c r="F583">
        <v>111581</v>
      </c>
      <c r="G583" t="s">
        <v>30</v>
      </c>
      <c r="H583">
        <v>60269.16</v>
      </c>
      <c r="I583" t="s">
        <v>54</v>
      </c>
      <c r="J583" t="s">
        <v>46</v>
      </c>
      <c r="K583" t="s">
        <v>19</v>
      </c>
      <c r="L583">
        <v>4</v>
      </c>
      <c r="M583">
        <v>0.54</v>
      </c>
      <c r="N583" t="s">
        <v>33</v>
      </c>
    </row>
    <row r="584" spans="1:14" x14ac:dyDescent="0.25">
      <c r="A584">
        <v>583</v>
      </c>
      <c r="B584" t="s">
        <v>36</v>
      </c>
      <c r="C584">
        <v>2010</v>
      </c>
      <c r="D584">
        <v>4.8</v>
      </c>
      <c r="E584" t="s">
        <v>15</v>
      </c>
      <c r="F584">
        <v>7043</v>
      </c>
      <c r="G584" t="s">
        <v>22</v>
      </c>
      <c r="H584">
        <v>35725.599999999999</v>
      </c>
      <c r="I584" t="s">
        <v>54</v>
      </c>
      <c r="J584" t="s">
        <v>32</v>
      </c>
      <c r="K584" t="s">
        <v>50</v>
      </c>
      <c r="L584">
        <v>16</v>
      </c>
      <c r="M584">
        <v>5.07</v>
      </c>
      <c r="N584" t="s">
        <v>33</v>
      </c>
    </row>
    <row r="585" spans="1:14" x14ac:dyDescent="0.25">
      <c r="A585">
        <v>584</v>
      </c>
      <c r="B585" t="s">
        <v>24</v>
      </c>
      <c r="C585">
        <v>2000</v>
      </c>
      <c r="D585">
        <v>3</v>
      </c>
      <c r="E585" t="s">
        <v>27</v>
      </c>
      <c r="F585">
        <v>181502</v>
      </c>
      <c r="G585" t="s">
        <v>16</v>
      </c>
      <c r="H585">
        <v>54041.95</v>
      </c>
      <c r="I585" t="s">
        <v>34</v>
      </c>
      <c r="J585" t="s">
        <v>18</v>
      </c>
      <c r="K585" t="s">
        <v>26</v>
      </c>
      <c r="L585">
        <v>26</v>
      </c>
      <c r="M585">
        <v>0.3</v>
      </c>
      <c r="N585" t="s">
        <v>20</v>
      </c>
    </row>
    <row r="586" spans="1:14" x14ac:dyDescent="0.25">
      <c r="A586">
        <v>585</v>
      </c>
      <c r="B586" t="s">
        <v>14</v>
      </c>
      <c r="C586">
        <v>2012</v>
      </c>
      <c r="D586">
        <v>5.0999999999999996</v>
      </c>
      <c r="E586" t="s">
        <v>27</v>
      </c>
      <c r="F586">
        <v>107009</v>
      </c>
      <c r="G586" t="s">
        <v>22</v>
      </c>
      <c r="H586">
        <v>71472.100000000006</v>
      </c>
      <c r="I586" t="s">
        <v>28</v>
      </c>
      <c r="J586" t="s">
        <v>18</v>
      </c>
      <c r="K586" t="s">
        <v>19</v>
      </c>
      <c r="L586">
        <v>14</v>
      </c>
      <c r="M586">
        <v>0.67</v>
      </c>
      <c r="N586" t="s">
        <v>20</v>
      </c>
    </row>
    <row r="587" spans="1:14" x14ac:dyDescent="0.25">
      <c r="A587">
        <v>586</v>
      </c>
      <c r="B587" t="s">
        <v>21</v>
      </c>
      <c r="C587">
        <v>2018</v>
      </c>
      <c r="D587">
        <v>1.9</v>
      </c>
      <c r="E587" t="s">
        <v>15</v>
      </c>
      <c r="F587">
        <v>209137</v>
      </c>
      <c r="G587" t="s">
        <v>22</v>
      </c>
      <c r="H587">
        <v>13926.56</v>
      </c>
      <c r="I587" t="s">
        <v>47</v>
      </c>
      <c r="J587" t="s">
        <v>18</v>
      </c>
      <c r="K587" t="s">
        <v>26</v>
      </c>
      <c r="L587">
        <v>8</v>
      </c>
      <c r="M587">
        <v>7.0000000000000007E-2</v>
      </c>
      <c r="N587" t="s">
        <v>20</v>
      </c>
    </row>
    <row r="588" spans="1:14" x14ac:dyDescent="0.25">
      <c r="A588">
        <v>587</v>
      </c>
      <c r="B588" t="s">
        <v>52</v>
      </c>
      <c r="C588">
        <v>2023</v>
      </c>
      <c r="D588">
        <v>1.2</v>
      </c>
      <c r="E588" t="s">
        <v>15</v>
      </c>
      <c r="F588">
        <v>161940</v>
      </c>
      <c r="G588" t="s">
        <v>22</v>
      </c>
      <c r="H588">
        <v>64002.04</v>
      </c>
      <c r="I588" t="s">
        <v>61</v>
      </c>
      <c r="J588" t="s">
        <v>46</v>
      </c>
      <c r="K588" t="s">
        <v>26</v>
      </c>
      <c r="L588">
        <v>3</v>
      </c>
      <c r="M588">
        <v>0.4</v>
      </c>
      <c r="N588" t="s">
        <v>33</v>
      </c>
    </row>
    <row r="589" spans="1:14" x14ac:dyDescent="0.25">
      <c r="A589">
        <v>588</v>
      </c>
      <c r="B589" t="s">
        <v>43</v>
      </c>
      <c r="C589">
        <v>2002</v>
      </c>
      <c r="D589">
        <v>2</v>
      </c>
      <c r="E589" t="s">
        <v>15</v>
      </c>
      <c r="F589">
        <v>288453</v>
      </c>
      <c r="G589" t="s">
        <v>22</v>
      </c>
      <c r="H589">
        <v>92079.5</v>
      </c>
      <c r="I589" t="s">
        <v>49</v>
      </c>
      <c r="J589" t="s">
        <v>32</v>
      </c>
      <c r="K589" t="s">
        <v>26</v>
      </c>
      <c r="L589">
        <v>24</v>
      </c>
      <c r="M589">
        <v>0.32</v>
      </c>
      <c r="N589" t="s">
        <v>20</v>
      </c>
    </row>
    <row r="590" spans="1:14" x14ac:dyDescent="0.25">
      <c r="A590">
        <v>589</v>
      </c>
      <c r="B590" t="s">
        <v>43</v>
      </c>
      <c r="C590">
        <v>2023</v>
      </c>
      <c r="D590">
        <v>2.7</v>
      </c>
      <c r="E590" t="s">
        <v>27</v>
      </c>
      <c r="F590">
        <v>285428</v>
      </c>
      <c r="G590" t="s">
        <v>22</v>
      </c>
      <c r="H590">
        <v>33417.379999999997</v>
      </c>
      <c r="I590" t="s">
        <v>55</v>
      </c>
      <c r="J590" t="s">
        <v>32</v>
      </c>
      <c r="K590" t="s">
        <v>26</v>
      </c>
      <c r="L590">
        <v>3</v>
      </c>
      <c r="M590">
        <v>0.12</v>
      </c>
      <c r="N590" t="s">
        <v>20</v>
      </c>
    </row>
    <row r="591" spans="1:14" x14ac:dyDescent="0.25">
      <c r="A591">
        <v>590</v>
      </c>
      <c r="B591" t="s">
        <v>24</v>
      </c>
      <c r="C591">
        <v>2016</v>
      </c>
      <c r="D591">
        <v>3.6</v>
      </c>
      <c r="E591" t="s">
        <v>15</v>
      </c>
      <c r="F591">
        <v>113259</v>
      </c>
      <c r="G591" t="s">
        <v>30</v>
      </c>
      <c r="H591">
        <v>64529.38</v>
      </c>
      <c r="I591" t="s">
        <v>25</v>
      </c>
      <c r="J591" t="s">
        <v>41</v>
      </c>
      <c r="K591" t="s">
        <v>19</v>
      </c>
      <c r="L591">
        <v>10</v>
      </c>
      <c r="M591">
        <v>0.56999999999999995</v>
      </c>
      <c r="N591" t="s">
        <v>20</v>
      </c>
    </row>
    <row r="592" spans="1:14" x14ac:dyDescent="0.25">
      <c r="A592">
        <v>591</v>
      </c>
      <c r="B592" t="s">
        <v>14</v>
      </c>
      <c r="C592">
        <v>2004</v>
      </c>
      <c r="D592">
        <v>4.0999999999999996</v>
      </c>
      <c r="E592" t="s">
        <v>15</v>
      </c>
      <c r="F592">
        <v>100804</v>
      </c>
      <c r="G592" t="s">
        <v>30</v>
      </c>
      <c r="H592">
        <v>83026.3</v>
      </c>
      <c r="I592" t="s">
        <v>39</v>
      </c>
      <c r="J592" t="s">
        <v>18</v>
      </c>
      <c r="K592" t="s">
        <v>19</v>
      </c>
      <c r="L592">
        <v>22</v>
      </c>
      <c r="M592">
        <v>0.82</v>
      </c>
      <c r="N592" t="s">
        <v>20</v>
      </c>
    </row>
    <row r="593" spans="1:14" x14ac:dyDescent="0.25">
      <c r="A593">
        <v>592</v>
      </c>
      <c r="B593" t="s">
        <v>36</v>
      </c>
      <c r="C593">
        <v>2019</v>
      </c>
      <c r="D593">
        <v>5.6</v>
      </c>
      <c r="E593" t="s">
        <v>15</v>
      </c>
      <c r="F593">
        <v>69000</v>
      </c>
      <c r="G593" t="s">
        <v>16</v>
      </c>
      <c r="H593">
        <v>53621.61</v>
      </c>
      <c r="I593" t="s">
        <v>54</v>
      </c>
      <c r="J593" t="s">
        <v>46</v>
      </c>
      <c r="K593" t="s">
        <v>19</v>
      </c>
      <c r="L593">
        <v>7</v>
      </c>
      <c r="M593">
        <v>0.78</v>
      </c>
      <c r="N593" t="s">
        <v>33</v>
      </c>
    </row>
    <row r="594" spans="1:14" x14ac:dyDescent="0.25">
      <c r="A594">
        <v>593</v>
      </c>
      <c r="B594" t="s">
        <v>36</v>
      </c>
      <c r="C594">
        <v>2020</v>
      </c>
      <c r="D594">
        <v>3.5</v>
      </c>
      <c r="E594" t="s">
        <v>27</v>
      </c>
      <c r="F594">
        <v>84179</v>
      </c>
      <c r="G594" t="s">
        <v>16</v>
      </c>
      <c r="H594">
        <v>73208.06</v>
      </c>
      <c r="I594" t="s">
        <v>54</v>
      </c>
      <c r="J594" t="s">
        <v>41</v>
      </c>
      <c r="K594" t="s">
        <v>19</v>
      </c>
      <c r="L594">
        <v>6</v>
      </c>
      <c r="M594">
        <v>0.87</v>
      </c>
      <c r="N594" t="s">
        <v>33</v>
      </c>
    </row>
    <row r="595" spans="1:14" x14ac:dyDescent="0.25">
      <c r="A595">
        <v>594</v>
      </c>
      <c r="B595" t="s">
        <v>43</v>
      </c>
      <c r="C595">
        <v>2007</v>
      </c>
      <c r="D595">
        <v>3.5</v>
      </c>
      <c r="E595" t="s">
        <v>15</v>
      </c>
      <c r="F595">
        <v>291409</v>
      </c>
      <c r="G595" t="s">
        <v>22</v>
      </c>
      <c r="H595">
        <v>34545.980000000003</v>
      </c>
      <c r="I595" t="s">
        <v>48</v>
      </c>
      <c r="J595" t="s">
        <v>41</v>
      </c>
      <c r="K595" t="s">
        <v>26</v>
      </c>
      <c r="L595">
        <v>19</v>
      </c>
      <c r="M595">
        <v>0.12</v>
      </c>
      <c r="N595" t="s">
        <v>20</v>
      </c>
    </row>
    <row r="596" spans="1:14" x14ac:dyDescent="0.25">
      <c r="A596">
        <v>595</v>
      </c>
      <c r="B596" t="s">
        <v>24</v>
      </c>
      <c r="C596">
        <v>2013</v>
      </c>
      <c r="D596">
        <v>1.3</v>
      </c>
      <c r="E596" t="s">
        <v>27</v>
      </c>
      <c r="F596">
        <v>260226</v>
      </c>
      <c r="G596" t="s">
        <v>16</v>
      </c>
      <c r="H596">
        <v>34075.550000000003</v>
      </c>
      <c r="I596" t="s">
        <v>45</v>
      </c>
      <c r="J596" t="s">
        <v>18</v>
      </c>
      <c r="K596" t="s">
        <v>26</v>
      </c>
      <c r="L596">
        <v>13</v>
      </c>
      <c r="M596">
        <v>0.13</v>
      </c>
      <c r="N596" t="s">
        <v>20</v>
      </c>
    </row>
    <row r="597" spans="1:14" x14ac:dyDescent="0.25">
      <c r="A597">
        <v>596</v>
      </c>
      <c r="B597" t="s">
        <v>21</v>
      </c>
      <c r="C597">
        <v>2003</v>
      </c>
      <c r="D597">
        <v>1.2</v>
      </c>
      <c r="E597" t="s">
        <v>27</v>
      </c>
      <c r="F597">
        <v>23880</v>
      </c>
      <c r="G597" t="s">
        <v>16</v>
      </c>
      <c r="H597">
        <v>68420.479999999996</v>
      </c>
      <c r="I597" t="s">
        <v>42</v>
      </c>
      <c r="J597" t="s">
        <v>41</v>
      </c>
      <c r="K597" t="s">
        <v>50</v>
      </c>
      <c r="L597">
        <v>23</v>
      </c>
      <c r="M597">
        <v>2.87</v>
      </c>
      <c r="N597" t="s">
        <v>20</v>
      </c>
    </row>
    <row r="598" spans="1:14" x14ac:dyDescent="0.25">
      <c r="A598">
        <v>597</v>
      </c>
      <c r="B598" t="s">
        <v>36</v>
      </c>
      <c r="C598">
        <v>2010</v>
      </c>
      <c r="D598">
        <v>3.8</v>
      </c>
      <c r="E598" t="s">
        <v>27</v>
      </c>
      <c r="F598">
        <v>201264</v>
      </c>
      <c r="G598" t="s">
        <v>22</v>
      </c>
      <c r="H598">
        <v>72013.84</v>
      </c>
      <c r="I598" t="s">
        <v>37</v>
      </c>
      <c r="J598" t="s">
        <v>18</v>
      </c>
      <c r="K598" t="s">
        <v>26</v>
      </c>
      <c r="L598">
        <v>16</v>
      </c>
      <c r="M598">
        <v>0.36</v>
      </c>
      <c r="N598" t="s">
        <v>33</v>
      </c>
    </row>
    <row r="599" spans="1:14" x14ac:dyDescent="0.25">
      <c r="A599">
        <v>598</v>
      </c>
      <c r="B599" t="s">
        <v>21</v>
      </c>
      <c r="C599">
        <v>2019</v>
      </c>
      <c r="D599">
        <v>3.2</v>
      </c>
      <c r="E599" t="s">
        <v>15</v>
      </c>
      <c r="F599">
        <v>172438</v>
      </c>
      <c r="G599" t="s">
        <v>30</v>
      </c>
      <c r="H599">
        <v>94015.92</v>
      </c>
      <c r="I599" t="s">
        <v>47</v>
      </c>
      <c r="J599" t="s">
        <v>41</v>
      </c>
      <c r="K599" t="s">
        <v>26</v>
      </c>
      <c r="L599">
        <v>7</v>
      </c>
      <c r="M599">
        <v>0.55000000000000004</v>
      </c>
      <c r="N599" t="s">
        <v>20</v>
      </c>
    </row>
    <row r="600" spans="1:14" x14ac:dyDescent="0.25">
      <c r="A600">
        <v>599</v>
      </c>
      <c r="B600" t="s">
        <v>14</v>
      </c>
      <c r="C600">
        <v>2014</v>
      </c>
      <c r="D600">
        <v>5.2</v>
      </c>
      <c r="E600" t="s">
        <v>15</v>
      </c>
      <c r="F600">
        <v>245352</v>
      </c>
      <c r="G600" t="s">
        <v>30</v>
      </c>
      <c r="H600">
        <v>26359.66</v>
      </c>
      <c r="I600" t="s">
        <v>28</v>
      </c>
      <c r="J600" t="s">
        <v>18</v>
      </c>
      <c r="K600" t="s">
        <v>26</v>
      </c>
      <c r="L600">
        <v>12</v>
      </c>
      <c r="M600">
        <v>0.11</v>
      </c>
      <c r="N600" t="s">
        <v>20</v>
      </c>
    </row>
    <row r="601" spans="1:14" x14ac:dyDescent="0.25">
      <c r="A601">
        <v>600</v>
      </c>
      <c r="B601" t="s">
        <v>36</v>
      </c>
      <c r="C601">
        <v>2018</v>
      </c>
      <c r="D601">
        <v>1.8</v>
      </c>
      <c r="E601" t="s">
        <v>15</v>
      </c>
      <c r="F601">
        <v>67396</v>
      </c>
      <c r="G601" t="s">
        <v>16</v>
      </c>
      <c r="H601">
        <v>49480.67</v>
      </c>
      <c r="I601" t="s">
        <v>37</v>
      </c>
      <c r="J601" t="s">
        <v>46</v>
      </c>
      <c r="K601" t="s">
        <v>19</v>
      </c>
      <c r="L601">
        <v>8</v>
      </c>
      <c r="M601">
        <v>0.73</v>
      </c>
      <c r="N601" t="s">
        <v>33</v>
      </c>
    </row>
    <row r="602" spans="1:14" x14ac:dyDescent="0.25">
      <c r="A602">
        <v>601</v>
      </c>
      <c r="B602" t="s">
        <v>36</v>
      </c>
      <c r="C602">
        <v>2006</v>
      </c>
      <c r="D602">
        <v>1.1000000000000001</v>
      </c>
      <c r="E602" t="s">
        <v>27</v>
      </c>
      <c r="F602">
        <v>279250</v>
      </c>
      <c r="G602" t="s">
        <v>30</v>
      </c>
      <c r="H602">
        <v>28798.78</v>
      </c>
      <c r="I602" t="s">
        <v>51</v>
      </c>
      <c r="J602" t="s">
        <v>18</v>
      </c>
      <c r="K602" t="s">
        <v>26</v>
      </c>
      <c r="L602">
        <v>20</v>
      </c>
      <c r="M602">
        <v>0.1</v>
      </c>
      <c r="N602" t="s">
        <v>33</v>
      </c>
    </row>
    <row r="603" spans="1:14" x14ac:dyDescent="0.25">
      <c r="A603">
        <v>602</v>
      </c>
      <c r="B603" t="s">
        <v>29</v>
      </c>
      <c r="C603">
        <v>2018</v>
      </c>
      <c r="D603">
        <v>3.2</v>
      </c>
      <c r="E603" t="s">
        <v>15</v>
      </c>
      <c r="F603">
        <v>56731</v>
      </c>
      <c r="G603" t="s">
        <v>30</v>
      </c>
      <c r="H603">
        <v>12608.76</v>
      </c>
      <c r="I603" t="s">
        <v>62</v>
      </c>
      <c r="J603" t="s">
        <v>18</v>
      </c>
      <c r="K603" t="s">
        <v>19</v>
      </c>
      <c r="L603">
        <v>8</v>
      </c>
      <c r="M603">
        <v>0.22</v>
      </c>
      <c r="N603" t="s">
        <v>33</v>
      </c>
    </row>
    <row r="604" spans="1:14" x14ac:dyDescent="0.25">
      <c r="A604">
        <v>603</v>
      </c>
      <c r="B604" t="s">
        <v>36</v>
      </c>
      <c r="C604">
        <v>2018</v>
      </c>
      <c r="D604">
        <v>2.2000000000000002</v>
      </c>
      <c r="E604" t="s">
        <v>27</v>
      </c>
      <c r="F604">
        <v>75010</v>
      </c>
      <c r="G604" t="s">
        <v>16</v>
      </c>
      <c r="H604">
        <v>43306.9</v>
      </c>
      <c r="I604" t="s">
        <v>57</v>
      </c>
      <c r="J604" t="s">
        <v>32</v>
      </c>
      <c r="K604" t="s">
        <v>19</v>
      </c>
      <c r="L604">
        <v>8</v>
      </c>
      <c r="M604">
        <v>0.57999999999999996</v>
      </c>
      <c r="N604" t="s">
        <v>33</v>
      </c>
    </row>
    <row r="605" spans="1:14" x14ac:dyDescent="0.25">
      <c r="A605">
        <v>604</v>
      </c>
      <c r="B605" t="s">
        <v>52</v>
      </c>
      <c r="C605">
        <v>2010</v>
      </c>
      <c r="D605">
        <v>1.2</v>
      </c>
      <c r="E605" t="s">
        <v>15</v>
      </c>
      <c r="F605">
        <v>249091</v>
      </c>
      <c r="G605" t="s">
        <v>22</v>
      </c>
      <c r="H605">
        <v>40537.67</v>
      </c>
      <c r="I605" t="s">
        <v>59</v>
      </c>
      <c r="J605" t="s">
        <v>46</v>
      </c>
      <c r="K605" t="s">
        <v>26</v>
      </c>
      <c r="L605">
        <v>16</v>
      </c>
      <c r="M605">
        <v>0.16</v>
      </c>
      <c r="N605" t="s">
        <v>33</v>
      </c>
    </row>
    <row r="606" spans="1:14" x14ac:dyDescent="0.25">
      <c r="A606">
        <v>605</v>
      </c>
      <c r="B606" t="s">
        <v>24</v>
      </c>
      <c r="C606">
        <v>2004</v>
      </c>
      <c r="D606">
        <v>4.5999999999999996</v>
      </c>
      <c r="E606" t="s">
        <v>15</v>
      </c>
      <c r="F606">
        <v>294743</v>
      </c>
      <c r="G606" t="s">
        <v>16</v>
      </c>
      <c r="H606">
        <v>30691.24</v>
      </c>
      <c r="I606" t="s">
        <v>25</v>
      </c>
      <c r="J606" t="s">
        <v>46</v>
      </c>
      <c r="K606" t="s">
        <v>26</v>
      </c>
      <c r="L606">
        <v>22</v>
      </c>
      <c r="M606">
        <v>0.1</v>
      </c>
      <c r="N606" t="s">
        <v>20</v>
      </c>
    </row>
    <row r="607" spans="1:14" x14ac:dyDescent="0.25">
      <c r="A607">
        <v>606</v>
      </c>
      <c r="B607" t="s">
        <v>24</v>
      </c>
      <c r="C607">
        <v>2004</v>
      </c>
      <c r="D607">
        <v>1.6</v>
      </c>
      <c r="E607" t="s">
        <v>15</v>
      </c>
      <c r="F607">
        <v>71326</v>
      </c>
      <c r="G607" t="s">
        <v>16</v>
      </c>
      <c r="H607">
        <v>33214.51</v>
      </c>
      <c r="I607" t="s">
        <v>25</v>
      </c>
      <c r="J607" t="s">
        <v>46</v>
      </c>
      <c r="K607" t="s">
        <v>19</v>
      </c>
      <c r="L607">
        <v>22</v>
      </c>
      <c r="M607">
        <v>0.47</v>
      </c>
      <c r="N607" t="s">
        <v>20</v>
      </c>
    </row>
    <row r="608" spans="1:14" x14ac:dyDescent="0.25">
      <c r="A608">
        <v>607</v>
      </c>
      <c r="B608" t="s">
        <v>21</v>
      </c>
      <c r="C608">
        <v>2021</v>
      </c>
      <c r="D608">
        <v>4</v>
      </c>
      <c r="E608" t="s">
        <v>15</v>
      </c>
      <c r="F608">
        <v>248876</v>
      </c>
      <c r="G608" t="s">
        <v>16</v>
      </c>
      <c r="H608">
        <v>39239.120000000003</v>
      </c>
      <c r="I608" t="s">
        <v>60</v>
      </c>
      <c r="J608" t="s">
        <v>41</v>
      </c>
      <c r="K608" t="s">
        <v>26</v>
      </c>
      <c r="L608">
        <v>5</v>
      </c>
      <c r="M608">
        <v>0.16</v>
      </c>
      <c r="N608" t="s">
        <v>20</v>
      </c>
    </row>
    <row r="609" spans="1:14" x14ac:dyDescent="0.25">
      <c r="A609">
        <v>608</v>
      </c>
      <c r="B609" t="s">
        <v>14</v>
      </c>
      <c r="C609">
        <v>2007</v>
      </c>
      <c r="D609">
        <v>2.4</v>
      </c>
      <c r="E609" t="s">
        <v>27</v>
      </c>
      <c r="F609">
        <v>9004</v>
      </c>
      <c r="G609" t="s">
        <v>22</v>
      </c>
      <c r="H609">
        <v>98939.58</v>
      </c>
      <c r="I609" t="s">
        <v>39</v>
      </c>
      <c r="J609" t="s">
        <v>18</v>
      </c>
      <c r="K609" t="s">
        <v>50</v>
      </c>
      <c r="L609">
        <v>19</v>
      </c>
      <c r="M609">
        <v>10.99</v>
      </c>
      <c r="N609" t="s">
        <v>20</v>
      </c>
    </row>
    <row r="610" spans="1:14" x14ac:dyDescent="0.25">
      <c r="A610">
        <v>609</v>
      </c>
      <c r="B610" t="s">
        <v>36</v>
      </c>
      <c r="C610">
        <v>2009</v>
      </c>
      <c r="D610">
        <v>1.9</v>
      </c>
      <c r="E610" t="s">
        <v>27</v>
      </c>
      <c r="F610">
        <v>115018</v>
      </c>
      <c r="G610" t="s">
        <v>22</v>
      </c>
      <c r="H610">
        <v>79380.990000000005</v>
      </c>
      <c r="I610" t="s">
        <v>37</v>
      </c>
      <c r="J610" t="s">
        <v>46</v>
      </c>
      <c r="K610" t="s">
        <v>19</v>
      </c>
      <c r="L610">
        <v>17</v>
      </c>
      <c r="M610">
        <v>0.69</v>
      </c>
      <c r="N610" t="s">
        <v>33</v>
      </c>
    </row>
    <row r="611" spans="1:14" x14ac:dyDescent="0.25">
      <c r="A611">
        <v>610</v>
      </c>
      <c r="B611" t="s">
        <v>52</v>
      </c>
      <c r="C611">
        <v>2005</v>
      </c>
      <c r="D611">
        <v>2.9</v>
      </c>
      <c r="E611" t="s">
        <v>27</v>
      </c>
      <c r="F611">
        <v>25792</v>
      </c>
      <c r="G611" t="s">
        <v>22</v>
      </c>
      <c r="H611">
        <v>11783.11</v>
      </c>
      <c r="I611" t="s">
        <v>59</v>
      </c>
      <c r="J611" t="s">
        <v>41</v>
      </c>
      <c r="K611" t="s">
        <v>50</v>
      </c>
      <c r="L611">
        <v>21</v>
      </c>
      <c r="M611">
        <v>0.46</v>
      </c>
      <c r="N611" t="s">
        <v>33</v>
      </c>
    </row>
    <row r="612" spans="1:14" x14ac:dyDescent="0.25">
      <c r="A612">
        <v>611</v>
      </c>
      <c r="B612" t="s">
        <v>21</v>
      </c>
      <c r="C612">
        <v>2014</v>
      </c>
      <c r="D612">
        <v>5</v>
      </c>
      <c r="E612" t="s">
        <v>27</v>
      </c>
      <c r="F612">
        <v>54645</v>
      </c>
      <c r="G612" t="s">
        <v>22</v>
      </c>
      <c r="H612">
        <v>87879.25</v>
      </c>
      <c r="I612" t="s">
        <v>23</v>
      </c>
      <c r="J612" t="s">
        <v>41</v>
      </c>
      <c r="K612" t="s">
        <v>19</v>
      </c>
      <c r="L612">
        <v>12</v>
      </c>
      <c r="M612">
        <v>1.61</v>
      </c>
      <c r="N612" t="s">
        <v>20</v>
      </c>
    </row>
    <row r="613" spans="1:14" x14ac:dyDescent="0.25">
      <c r="A613">
        <v>612</v>
      </c>
      <c r="B613" t="s">
        <v>29</v>
      </c>
      <c r="C613">
        <v>2015</v>
      </c>
      <c r="D613">
        <v>3</v>
      </c>
      <c r="E613" t="s">
        <v>15</v>
      </c>
      <c r="F613">
        <v>7232</v>
      </c>
      <c r="G613" t="s">
        <v>16</v>
      </c>
      <c r="H613">
        <v>65163.82</v>
      </c>
      <c r="I613" t="s">
        <v>40</v>
      </c>
      <c r="J613" t="s">
        <v>41</v>
      </c>
      <c r="K613" t="s">
        <v>50</v>
      </c>
      <c r="L613">
        <v>11</v>
      </c>
      <c r="M613">
        <v>9.01</v>
      </c>
      <c r="N613" t="s">
        <v>33</v>
      </c>
    </row>
    <row r="614" spans="1:14" x14ac:dyDescent="0.25">
      <c r="A614">
        <v>613</v>
      </c>
      <c r="B614" t="s">
        <v>21</v>
      </c>
      <c r="C614">
        <v>2016</v>
      </c>
      <c r="D614">
        <v>4.8</v>
      </c>
      <c r="E614" t="s">
        <v>27</v>
      </c>
      <c r="F614">
        <v>54766</v>
      </c>
      <c r="G614" t="s">
        <v>30</v>
      </c>
      <c r="H614">
        <v>89606.41</v>
      </c>
      <c r="I614" t="s">
        <v>47</v>
      </c>
      <c r="J614" t="s">
        <v>32</v>
      </c>
      <c r="K614" t="s">
        <v>19</v>
      </c>
      <c r="L614">
        <v>10</v>
      </c>
      <c r="M614">
        <v>1.64</v>
      </c>
      <c r="N614" t="s">
        <v>20</v>
      </c>
    </row>
    <row r="615" spans="1:14" x14ac:dyDescent="0.25">
      <c r="A615">
        <v>614</v>
      </c>
      <c r="B615" t="s">
        <v>21</v>
      </c>
      <c r="C615">
        <v>2007</v>
      </c>
      <c r="D615">
        <v>1.6</v>
      </c>
      <c r="E615" t="s">
        <v>27</v>
      </c>
      <c r="F615">
        <v>120601</v>
      </c>
      <c r="G615" t="s">
        <v>16</v>
      </c>
      <c r="H615">
        <v>37462.42</v>
      </c>
      <c r="I615" t="s">
        <v>47</v>
      </c>
      <c r="J615" t="s">
        <v>41</v>
      </c>
      <c r="K615" t="s">
        <v>19</v>
      </c>
      <c r="L615">
        <v>19</v>
      </c>
      <c r="M615">
        <v>0.31</v>
      </c>
      <c r="N615" t="s">
        <v>20</v>
      </c>
    </row>
    <row r="616" spans="1:14" x14ac:dyDescent="0.25">
      <c r="A616">
        <v>615</v>
      </c>
      <c r="B616" t="s">
        <v>36</v>
      </c>
      <c r="C616">
        <v>2007</v>
      </c>
      <c r="D616">
        <v>4.9000000000000004</v>
      </c>
      <c r="E616" t="s">
        <v>27</v>
      </c>
      <c r="F616">
        <v>81588</v>
      </c>
      <c r="G616" t="s">
        <v>22</v>
      </c>
      <c r="H616">
        <v>49129.29</v>
      </c>
      <c r="I616" t="s">
        <v>57</v>
      </c>
      <c r="J616" t="s">
        <v>32</v>
      </c>
      <c r="K616" t="s">
        <v>19</v>
      </c>
      <c r="L616">
        <v>19</v>
      </c>
      <c r="M616">
        <v>0.6</v>
      </c>
      <c r="N616" t="s">
        <v>33</v>
      </c>
    </row>
    <row r="617" spans="1:14" x14ac:dyDescent="0.25">
      <c r="A617">
        <v>616</v>
      </c>
      <c r="B617" t="s">
        <v>29</v>
      </c>
      <c r="C617">
        <v>2008</v>
      </c>
      <c r="D617">
        <v>2.2000000000000002</v>
      </c>
      <c r="E617" t="s">
        <v>15</v>
      </c>
      <c r="F617">
        <v>179614</v>
      </c>
      <c r="G617" t="s">
        <v>30</v>
      </c>
      <c r="H617">
        <v>90141.57</v>
      </c>
      <c r="I617" t="s">
        <v>62</v>
      </c>
      <c r="J617" t="s">
        <v>18</v>
      </c>
      <c r="K617" t="s">
        <v>26</v>
      </c>
      <c r="L617">
        <v>18</v>
      </c>
      <c r="M617">
        <v>0.5</v>
      </c>
      <c r="N617" t="s">
        <v>33</v>
      </c>
    </row>
    <row r="618" spans="1:14" x14ac:dyDescent="0.25">
      <c r="A618">
        <v>617</v>
      </c>
      <c r="B618" t="s">
        <v>21</v>
      </c>
      <c r="C618">
        <v>2001</v>
      </c>
      <c r="D618">
        <v>4.4000000000000004</v>
      </c>
      <c r="E618" t="s">
        <v>27</v>
      </c>
      <c r="F618">
        <v>5913</v>
      </c>
      <c r="G618" t="s">
        <v>16</v>
      </c>
      <c r="H618">
        <v>30894.45</v>
      </c>
      <c r="I618" t="s">
        <v>42</v>
      </c>
      <c r="J618" t="s">
        <v>41</v>
      </c>
      <c r="K618" t="s">
        <v>50</v>
      </c>
      <c r="L618">
        <v>25</v>
      </c>
      <c r="M618">
        <v>5.22</v>
      </c>
      <c r="N618" t="s">
        <v>20</v>
      </c>
    </row>
    <row r="619" spans="1:14" x14ac:dyDescent="0.25">
      <c r="A619">
        <v>618</v>
      </c>
      <c r="B619" t="s">
        <v>52</v>
      </c>
      <c r="C619">
        <v>2014</v>
      </c>
      <c r="D619">
        <v>3.8</v>
      </c>
      <c r="E619" t="s">
        <v>27</v>
      </c>
      <c r="F619">
        <v>112406</v>
      </c>
      <c r="G619" t="s">
        <v>30</v>
      </c>
      <c r="H619">
        <v>91972.58</v>
      </c>
      <c r="I619" t="s">
        <v>61</v>
      </c>
      <c r="J619" t="s">
        <v>46</v>
      </c>
      <c r="K619" t="s">
        <v>19</v>
      </c>
      <c r="L619">
        <v>12</v>
      </c>
      <c r="M619">
        <v>0.82</v>
      </c>
      <c r="N619" t="s">
        <v>33</v>
      </c>
    </row>
    <row r="620" spans="1:14" x14ac:dyDescent="0.25">
      <c r="A620">
        <v>619</v>
      </c>
      <c r="B620" t="s">
        <v>52</v>
      </c>
      <c r="C620">
        <v>2017</v>
      </c>
      <c r="D620">
        <v>5.6</v>
      </c>
      <c r="E620" t="s">
        <v>15</v>
      </c>
      <c r="F620">
        <v>113693</v>
      </c>
      <c r="G620" t="s">
        <v>22</v>
      </c>
      <c r="H620">
        <v>83707.47</v>
      </c>
      <c r="I620" t="s">
        <v>53</v>
      </c>
      <c r="J620" t="s">
        <v>41</v>
      </c>
      <c r="K620" t="s">
        <v>19</v>
      </c>
      <c r="L620">
        <v>9</v>
      </c>
      <c r="M620">
        <v>0.74</v>
      </c>
      <c r="N620" t="s">
        <v>33</v>
      </c>
    </row>
    <row r="621" spans="1:14" x14ac:dyDescent="0.25">
      <c r="A621">
        <v>620</v>
      </c>
      <c r="B621" t="s">
        <v>24</v>
      </c>
      <c r="C621">
        <v>2002</v>
      </c>
      <c r="D621">
        <v>2.9</v>
      </c>
      <c r="E621" t="s">
        <v>15</v>
      </c>
      <c r="F621">
        <v>93449</v>
      </c>
      <c r="G621" t="s">
        <v>30</v>
      </c>
      <c r="H621">
        <v>98153</v>
      </c>
      <c r="I621" t="s">
        <v>34</v>
      </c>
      <c r="J621" t="s">
        <v>18</v>
      </c>
      <c r="K621" t="s">
        <v>19</v>
      </c>
      <c r="L621">
        <v>24</v>
      </c>
      <c r="M621">
        <v>1.05</v>
      </c>
      <c r="N621" t="s">
        <v>20</v>
      </c>
    </row>
    <row r="622" spans="1:14" x14ac:dyDescent="0.25">
      <c r="A622">
        <v>621</v>
      </c>
      <c r="B622" t="s">
        <v>29</v>
      </c>
      <c r="C622">
        <v>2016</v>
      </c>
      <c r="D622">
        <v>1.3</v>
      </c>
      <c r="E622" t="s">
        <v>27</v>
      </c>
      <c r="F622">
        <v>10567</v>
      </c>
      <c r="G622" t="s">
        <v>30</v>
      </c>
      <c r="H622">
        <v>35804.47</v>
      </c>
      <c r="I622" t="s">
        <v>31</v>
      </c>
      <c r="J622" t="s">
        <v>18</v>
      </c>
      <c r="K622" t="s">
        <v>50</v>
      </c>
      <c r="L622">
        <v>10</v>
      </c>
      <c r="M622">
        <v>3.39</v>
      </c>
      <c r="N622" t="s">
        <v>33</v>
      </c>
    </row>
    <row r="623" spans="1:14" x14ac:dyDescent="0.25">
      <c r="A623">
        <v>622</v>
      </c>
      <c r="B623" t="s">
        <v>29</v>
      </c>
      <c r="C623">
        <v>2003</v>
      </c>
      <c r="D623">
        <v>1.1000000000000001</v>
      </c>
      <c r="E623" t="s">
        <v>27</v>
      </c>
      <c r="F623">
        <v>38379</v>
      </c>
      <c r="G623" t="s">
        <v>22</v>
      </c>
      <c r="H623">
        <v>27396.55</v>
      </c>
      <c r="I623" t="s">
        <v>62</v>
      </c>
      <c r="J623" t="s">
        <v>41</v>
      </c>
      <c r="K623" t="s">
        <v>50</v>
      </c>
      <c r="L623">
        <v>23</v>
      </c>
      <c r="M623">
        <v>0.71</v>
      </c>
      <c r="N623" t="s">
        <v>33</v>
      </c>
    </row>
    <row r="624" spans="1:14" x14ac:dyDescent="0.25">
      <c r="A624">
        <v>623</v>
      </c>
      <c r="B624" t="s">
        <v>24</v>
      </c>
      <c r="C624">
        <v>2003</v>
      </c>
      <c r="D624">
        <v>5.0999999999999996</v>
      </c>
      <c r="E624" t="s">
        <v>15</v>
      </c>
      <c r="F624">
        <v>206040</v>
      </c>
      <c r="G624" t="s">
        <v>30</v>
      </c>
      <c r="H624">
        <v>36432.36</v>
      </c>
      <c r="I624" t="s">
        <v>34</v>
      </c>
      <c r="J624" t="s">
        <v>18</v>
      </c>
      <c r="K624" t="s">
        <v>26</v>
      </c>
      <c r="L624">
        <v>23</v>
      </c>
      <c r="M624">
        <v>0.18</v>
      </c>
      <c r="N624" t="s">
        <v>20</v>
      </c>
    </row>
    <row r="625" spans="1:14" x14ac:dyDescent="0.25">
      <c r="A625">
        <v>624</v>
      </c>
      <c r="B625" t="s">
        <v>21</v>
      </c>
      <c r="C625">
        <v>2013</v>
      </c>
      <c r="D625">
        <v>3.6</v>
      </c>
      <c r="E625" t="s">
        <v>27</v>
      </c>
      <c r="F625">
        <v>262463</v>
      </c>
      <c r="G625" t="s">
        <v>16</v>
      </c>
      <c r="H625">
        <v>95691.73</v>
      </c>
      <c r="I625" t="s">
        <v>60</v>
      </c>
      <c r="J625" t="s">
        <v>32</v>
      </c>
      <c r="K625" t="s">
        <v>26</v>
      </c>
      <c r="L625">
        <v>13</v>
      </c>
      <c r="M625">
        <v>0.36</v>
      </c>
      <c r="N625" t="s">
        <v>20</v>
      </c>
    </row>
    <row r="626" spans="1:14" x14ac:dyDescent="0.25">
      <c r="A626">
        <v>625</v>
      </c>
      <c r="B626" t="s">
        <v>29</v>
      </c>
      <c r="C626">
        <v>2008</v>
      </c>
      <c r="D626">
        <v>4.9000000000000004</v>
      </c>
      <c r="E626" t="s">
        <v>15</v>
      </c>
      <c r="F626">
        <v>90005</v>
      </c>
      <c r="G626" t="s">
        <v>30</v>
      </c>
      <c r="H626">
        <v>36641.96</v>
      </c>
      <c r="I626" t="s">
        <v>40</v>
      </c>
      <c r="J626" t="s">
        <v>32</v>
      </c>
      <c r="K626" t="s">
        <v>19</v>
      </c>
      <c r="L626">
        <v>18</v>
      </c>
      <c r="M626">
        <v>0.41</v>
      </c>
      <c r="N626" t="s">
        <v>33</v>
      </c>
    </row>
    <row r="627" spans="1:14" x14ac:dyDescent="0.25">
      <c r="A627">
        <v>626</v>
      </c>
      <c r="B627" t="s">
        <v>52</v>
      </c>
      <c r="C627">
        <v>2008</v>
      </c>
      <c r="D627">
        <v>2.2000000000000002</v>
      </c>
      <c r="E627" t="s">
        <v>27</v>
      </c>
      <c r="F627">
        <v>223098</v>
      </c>
      <c r="G627" t="s">
        <v>16</v>
      </c>
      <c r="H627">
        <v>58695.12</v>
      </c>
      <c r="I627" t="s">
        <v>59</v>
      </c>
      <c r="J627" t="s">
        <v>41</v>
      </c>
      <c r="K627" t="s">
        <v>26</v>
      </c>
      <c r="L627">
        <v>18</v>
      </c>
      <c r="M627">
        <v>0.26</v>
      </c>
      <c r="N627" t="s">
        <v>33</v>
      </c>
    </row>
    <row r="628" spans="1:14" x14ac:dyDescent="0.25">
      <c r="A628">
        <v>627</v>
      </c>
      <c r="B628" t="s">
        <v>52</v>
      </c>
      <c r="C628">
        <v>2022</v>
      </c>
      <c r="D628">
        <v>2.7</v>
      </c>
      <c r="E628" t="s">
        <v>27</v>
      </c>
      <c r="F628">
        <v>4791</v>
      </c>
      <c r="G628" t="s">
        <v>30</v>
      </c>
      <c r="H628">
        <v>43349.53</v>
      </c>
      <c r="I628" t="s">
        <v>53</v>
      </c>
      <c r="J628" t="s">
        <v>32</v>
      </c>
      <c r="K628" t="s">
        <v>50</v>
      </c>
      <c r="L628">
        <v>4</v>
      </c>
      <c r="M628">
        <v>9.0500000000000007</v>
      </c>
      <c r="N628" t="s">
        <v>33</v>
      </c>
    </row>
    <row r="629" spans="1:14" x14ac:dyDescent="0.25">
      <c r="A629">
        <v>628</v>
      </c>
      <c r="B629" t="s">
        <v>36</v>
      </c>
      <c r="C629">
        <v>2017</v>
      </c>
      <c r="D629">
        <v>1.2</v>
      </c>
      <c r="E629" t="s">
        <v>27</v>
      </c>
      <c r="F629">
        <v>131401</v>
      </c>
      <c r="G629" t="s">
        <v>30</v>
      </c>
      <c r="H629">
        <v>42640.91</v>
      </c>
      <c r="I629" t="s">
        <v>57</v>
      </c>
      <c r="J629" t="s">
        <v>32</v>
      </c>
      <c r="K629" t="s">
        <v>19</v>
      </c>
      <c r="L629">
        <v>9</v>
      </c>
      <c r="M629">
        <v>0.32</v>
      </c>
      <c r="N629" t="s">
        <v>33</v>
      </c>
    </row>
    <row r="630" spans="1:14" x14ac:dyDescent="0.25">
      <c r="A630">
        <v>629</v>
      </c>
      <c r="B630" t="s">
        <v>29</v>
      </c>
      <c r="C630">
        <v>2009</v>
      </c>
      <c r="D630">
        <v>5.8</v>
      </c>
      <c r="E630" t="s">
        <v>27</v>
      </c>
      <c r="F630">
        <v>205459</v>
      </c>
      <c r="G630" t="s">
        <v>22</v>
      </c>
      <c r="H630">
        <v>23370.97</v>
      </c>
      <c r="I630" t="s">
        <v>38</v>
      </c>
      <c r="J630" t="s">
        <v>46</v>
      </c>
      <c r="K630" t="s">
        <v>26</v>
      </c>
      <c r="L630">
        <v>17</v>
      </c>
      <c r="M630">
        <v>0.11</v>
      </c>
      <c r="N630" t="s">
        <v>33</v>
      </c>
    </row>
    <row r="631" spans="1:14" x14ac:dyDescent="0.25">
      <c r="A631">
        <v>630</v>
      </c>
      <c r="B631" t="s">
        <v>21</v>
      </c>
      <c r="C631">
        <v>2020</v>
      </c>
      <c r="D631">
        <v>4.3</v>
      </c>
      <c r="E631" t="s">
        <v>27</v>
      </c>
      <c r="F631">
        <v>61032</v>
      </c>
      <c r="G631" t="s">
        <v>22</v>
      </c>
      <c r="H631">
        <v>56022.559999999998</v>
      </c>
      <c r="I631" t="s">
        <v>47</v>
      </c>
      <c r="J631" t="s">
        <v>41</v>
      </c>
      <c r="K631" t="s">
        <v>19</v>
      </c>
      <c r="L631">
        <v>6</v>
      </c>
      <c r="M631">
        <v>0.92</v>
      </c>
      <c r="N631" t="s">
        <v>20</v>
      </c>
    </row>
    <row r="632" spans="1:14" x14ac:dyDescent="0.25">
      <c r="A632">
        <v>631</v>
      </c>
      <c r="B632" t="s">
        <v>24</v>
      </c>
      <c r="C632">
        <v>2003</v>
      </c>
      <c r="D632">
        <v>5.7</v>
      </c>
      <c r="E632" t="s">
        <v>15</v>
      </c>
      <c r="F632">
        <v>175150</v>
      </c>
      <c r="G632" t="s">
        <v>16</v>
      </c>
      <c r="H632">
        <v>85693.4</v>
      </c>
      <c r="I632" t="s">
        <v>25</v>
      </c>
      <c r="J632" t="s">
        <v>18</v>
      </c>
      <c r="K632" t="s">
        <v>26</v>
      </c>
      <c r="L632">
        <v>23</v>
      </c>
      <c r="M632">
        <v>0.49</v>
      </c>
      <c r="N632" t="s">
        <v>20</v>
      </c>
    </row>
    <row r="633" spans="1:14" x14ac:dyDescent="0.25">
      <c r="A633">
        <v>632</v>
      </c>
      <c r="B633" t="s">
        <v>24</v>
      </c>
      <c r="C633">
        <v>2011</v>
      </c>
      <c r="D633">
        <v>2.2999999999999998</v>
      </c>
      <c r="E633" t="s">
        <v>15</v>
      </c>
      <c r="F633">
        <v>21300</v>
      </c>
      <c r="G633" t="s">
        <v>22</v>
      </c>
      <c r="H633">
        <v>9701.08</v>
      </c>
      <c r="I633" t="s">
        <v>34</v>
      </c>
      <c r="J633" t="s">
        <v>41</v>
      </c>
      <c r="K633" t="s">
        <v>50</v>
      </c>
      <c r="L633">
        <v>15</v>
      </c>
      <c r="M633">
        <v>0.46</v>
      </c>
      <c r="N633" t="s">
        <v>20</v>
      </c>
    </row>
    <row r="634" spans="1:14" x14ac:dyDescent="0.25">
      <c r="A634">
        <v>633</v>
      </c>
      <c r="B634" t="s">
        <v>21</v>
      </c>
      <c r="C634">
        <v>2007</v>
      </c>
      <c r="D634">
        <v>4.0999999999999996</v>
      </c>
      <c r="E634" t="s">
        <v>27</v>
      </c>
      <c r="F634">
        <v>55609</v>
      </c>
      <c r="G634" t="s">
        <v>22</v>
      </c>
      <c r="H634">
        <v>89476.53</v>
      </c>
      <c r="I634" t="s">
        <v>42</v>
      </c>
      <c r="J634" t="s">
        <v>32</v>
      </c>
      <c r="K634" t="s">
        <v>19</v>
      </c>
      <c r="L634">
        <v>19</v>
      </c>
      <c r="M634">
        <v>1.61</v>
      </c>
      <c r="N634" t="s">
        <v>20</v>
      </c>
    </row>
    <row r="635" spans="1:14" x14ac:dyDescent="0.25">
      <c r="A635">
        <v>634</v>
      </c>
      <c r="B635" t="s">
        <v>14</v>
      </c>
      <c r="C635">
        <v>2001</v>
      </c>
      <c r="D635">
        <v>4.4000000000000004</v>
      </c>
      <c r="E635" t="s">
        <v>27</v>
      </c>
      <c r="F635">
        <v>191634</v>
      </c>
      <c r="G635" t="s">
        <v>22</v>
      </c>
      <c r="H635">
        <v>68219.929999999993</v>
      </c>
      <c r="I635" t="s">
        <v>39</v>
      </c>
      <c r="J635" t="s">
        <v>18</v>
      </c>
      <c r="K635" t="s">
        <v>26</v>
      </c>
      <c r="L635">
        <v>25</v>
      </c>
      <c r="M635">
        <v>0.36</v>
      </c>
      <c r="N635" t="s">
        <v>20</v>
      </c>
    </row>
    <row r="636" spans="1:14" x14ac:dyDescent="0.25">
      <c r="A636">
        <v>635</v>
      </c>
      <c r="B636" t="s">
        <v>43</v>
      </c>
      <c r="C636">
        <v>2021</v>
      </c>
      <c r="D636">
        <v>2.6</v>
      </c>
      <c r="E636" t="s">
        <v>27</v>
      </c>
      <c r="F636">
        <v>90045</v>
      </c>
      <c r="G636" t="s">
        <v>22</v>
      </c>
      <c r="H636">
        <v>63590.12</v>
      </c>
      <c r="I636" t="s">
        <v>44</v>
      </c>
      <c r="J636" t="s">
        <v>41</v>
      </c>
      <c r="K636" t="s">
        <v>19</v>
      </c>
      <c r="L636">
        <v>5</v>
      </c>
      <c r="M636">
        <v>0.71</v>
      </c>
      <c r="N636" t="s">
        <v>20</v>
      </c>
    </row>
    <row r="637" spans="1:14" x14ac:dyDescent="0.25">
      <c r="A637">
        <v>636</v>
      </c>
      <c r="B637" t="s">
        <v>36</v>
      </c>
      <c r="C637">
        <v>2012</v>
      </c>
      <c r="D637">
        <v>5.2</v>
      </c>
      <c r="E637" t="s">
        <v>15</v>
      </c>
      <c r="F637">
        <v>267847</v>
      </c>
      <c r="G637" t="s">
        <v>22</v>
      </c>
      <c r="H637">
        <v>64460.52</v>
      </c>
      <c r="I637" t="s">
        <v>37</v>
      </c>
      <c r="J637" t="s">
        <v>41</v>
      </c>
      <c r="K637" t="s">
        <v>26</v>
      </c>
      <c r="L637">
        <v>14</v>
      </c>
      <c r="M637">
        <v>0.24</v>
      </c>
      <c r="N637" t="s">
        <v>33</v>
      </c>
    </row>
    <row r="638" spans="1:14" x14ac:dyDescent="0.25">
      <c r="A638">
        <v>637</v>
      </c>
      <c r="B638" t="s">
        <v>24</v>
      </c>
      <c r="C638">
        <v>2020</v>
      </c>
      <c r="D638">
        <v>5.7</v>
      </c>
      <c r="E638" t="s">
        <v>15</v>
      </c>
      <c r="F638">
        <v>223717</v>
      </c>
      <c r="G638" t="s">
        <v>16</v>
      </c>
      <c r="H638">
        <v>33145.629999999997</v>
      </c>
      <c r="I638" t="s">
        <v>34</v>
      </c>
      <c r="J638" t="s">
        <v>32</v>
      </c>
      <c r="K638" t="s">
        <v>26</v>
      </c>
      <c r="L638">
        <v>6</v>
      </c>
      <c r="M638">
        <v>0.15</v>
      </c>
      <c r="N638" t="s">
        <v>20</v>
      </c>
    </row>
    <row r="639" spans="1:14" x14ac:dyDescent="0.25">
      <c r="A639">
        <v>638</v>
      </c>
      <c r="B639" t="s">
        <v>29</v>
      </c>
      <c r="C639">
        <v>2015</v>
      </c>
      <c r="D639">
        <v>5.4</v>
      </c>
      <c r="E639" t="s">
        <v>15</v>
      </c>
      <c r="F639">
        <v>219162</v>
      </c>
      <c r="G639" t="s">
        <v>16</v>
      </c>
      <c r="H639">
        <v>44438.73</v>
      </c>
      <c r="I639" t="s">
        <v>62</v>
      </c>
      <c r="J639" t="s">
        <v>32</v>
      </c>
      <c r="K639" t="s">
        <v>26</v>
      </c>
      <c r="L639">
        <v>11</v>
      </c>
      <c r="M639">
        <v>0.2</v>
      </c>
      <c r="N639" t="s">
        <v>33</v>
      </c>
    </row>
    <row r="640" spans="1:14" x14ac:dyDescent="0.25">
      <c r="A640">
        <v>639</v>
      </c>
      <c r="B640" t="s">
        <v>36</v>
      </c>
      <c r="C640">
        <v>2001</v>
      </c>
      <c r="D640">
        <v>4.7</v>
      </c>
      <c r="E640" t="s">
        <v>15</v>
      </c>
      <c r="F640">
        <v>27676</v>
      </c>
      <c r="G640" t="s">
        <v>22</v>
      </c>
      <c r="H640">
        <v>80932.55</v>
      </c>
      <c r="I640" t="s">
        <v>37</v>
      </c>
      <c r="J640" t="s">
        <v>41</v>
      </c>
      <c r="K640" t="s">
        <v>50</v>
      </c>
      <c r="L640">
        <v>25</v>
      </c>
      <c r="M640">
        <v>2.92</v>
      </c>
      <c r="N640" t="s">
        <v>33</v>
      </c>
    </row>
    <row r="641" spans="1:14" x14ac:dyDescent="0.25">
      <c r="A641">
        <v>640</v>
      </c>
      <c r="B641" t="s">
        <v>29</v>
      </c>
      <c r="C641">
        <v>2010</v>
      </c>
      <c r="D641">
        <v>2.4</v>
      </c>
      <c r="E641" t="s">
        <v>15</v>
      </c>
      <c r="F641">
        <v>220412</v>
      </c>
      <c r="G641" t="s">
        <v>22</v>
      </c>
      <c r="H641">
        <v>34106.199999999997</v>
      </c>
      <c r="I641" t="s">
        <v>62</v>
      </c>
      <c r="J641" t="s">
        <v>32</v>
      </c>
      <c r="K641" t="s">
        <v>26</v>
      </c>
      <c r="L641">
        <v>16</v>
      </c>
      <c r="M641">
        <v>0.15</v>
      </c>
      <c r="N641" t="s">
        <v>33</v>
      </c>
    </row>
    <row r="642" spans="1:14" x14ac:dyDescent="0.25">
      <c r="A642">
        <v>641</v>
      </c>
      <c r="B642" t="s">
        <v>14</v>
      </c>
      <c r="C642">
        <v>2009</v>
      </c>
      <c r="D642">
        <v>2.4</v>
      </c>
      <c r="E642" t="s">
        <v>15</v>
      </c>
      <c r="F642">
        <v>176512</v>
      </c>
      <c r="G642" t="s">
        <v>16</v>
      </c>
      <c r="H642">
        <v>49651.92</v>
      </c>
      <c r="I642" t="s">
        <v>17</v>
      </c>
      <c r="J642" t="s">
        <v>18</v>
      </c>
      <c r="K642" t="s">
        <v>26</v>
      </c>
      <c r="L642">
        <v>17</v>
      </c>
      <c r="M642">
        <v>0.28000000000000003</v>
      </c>
      <c r="N642" t="s">
        <v>20</v>
      </c>
    </row>
    <row r="643" spans="1:14" x14ac:dyDescent="0.25">
      <c r="A643">
        <v>642</v>
      </c>
      <c r="B643" t="s">
        <v>52</v>
      </c>
      <c r="C643">
        <v>2014</v>
      </c>
      <c r="D643">
        <v>5.8</v>
      </c>
      <c r="E643" t="s">
        <v>15</v>
      </c>
      <c r="F643">
        <v>167995</v>
      </c>
      <c r="G643" t="s">
        <v>30</v>
      </c>
      <c r="H643">
        <v>6865.07</v>
      </c>
      <c r="I643" t="s">
        <v>56</v>
      </c>
      <c r="J643" t="s">
        <v>32</v>
      </c>
      <c r="K643" t="s">
        <v>26</v>
      </c>
      <c r="L643">
        <v>12</v>
      </c>
      <c r="M643">
        <v>0.04</v>
      </c>
      <c r="N643" t="s">
        <v>33</v>
      </c>
    </row>
    <row r="644" spans="1:14" x14ac:dyDescent="0.25">
      <c r="A644">
        <v>643</v>
      </c>
      <c r="B644" t="s">
        <v>36</v>
      </c>
      <c r="C644">
        <v>2016</v>
      </c>
      <c r="D644">
        <v>1.1000000000000001</v>
      </c>
      <c r="E644" t="s">
        <v>15</v>
      </c>
      <c r="F644">
        <v>291946</v>
      </c>
      <c r="G644" t="s">
        <v>16</v>
      </c>
      <c r="H644">
        <v>74688.039999999994</v>
      </c>
      <c r="I644" t="s">
        <v>51</v>
      </c>
      <c r="J644" t="s">
        <v>32</v>
      </c>
      <c r="K644" t="s">
        <v>26</v>
      </c>
      <c r="L644">
        <v>10</v>
      </c>
      <c r="M644">
        <v>0.26</v>
      </c>
      <c r="N644" t="s">
        <v>33</v>
      </c>
    </row>
    <row r="645" spans="1:14" x14ac:dyDescent="0.25">
      <c r="A645">
        <v>644</v>
      </c>
      <c r="B645" t="s">
        <v>24</v>
      </c>
      <c r="C645">
        <v>2007</v>
      </c>
      <c r="D645">
        <v>4.5999999999999996</v>
      </c>
      <c r="E645" t="s">
        <v>27</v>
      </c>
      <c r="F645">
        <v>124786</v>
      </c>
      <c r="G645" t="s">
        <v>30</v>
      </c>
      <c r="H645">
        <v>44681.71</v>
      </c>
      <c r="I645" t="s">
        <v>25</v>
      </c>
      <c r="J645" t="s">
        <v>32</v>
      </c>
      <c r="K645" t="s">
        <v>19</v>
      </c>
      <c r="L645">
        <v>19</v>
      </c>
      <c r="M645">
        <v>0.36</v>
      </c>
      <c r="N645" t="s">
        <v>20</v>
      </c>
    </row>
    <row r="646" spans="1:14" x14ac:dyDescent="0.25">
      <c r="A646">
        <v>645</v>
      </c>
      <c r="B646" t="s">
        <v>36</v>
      </c>
      <c r="C646">
        <v>2017</v>
      </c>
      <c r="D646">
        <v>4.5</v>
      </c>
      <c r="E646" t="s">
        <v>15</v>
      </c>
      <c r="F646">
        <v>68147</v>
      </c>
      <c r="G646" t="s">
        <v>22</v>
      </c>
      <c r="H646">
        <v>54909.08</v>
      </c>
      <c r="I646" t="s">
        <v>54</v>
      </c>
      <c r="J646" t="s">
        <v>46</v>
      </c>
      <c r="K646" t="s">
        <v>19</v>
      </c>
      <c r="L646">
        <v>9</v>
      </c>
      <c r="M646">
        <v>0.81</v>
      </c>
      <c r="N646" t="s">
        <v>33</v>
      </c>
    </row>
    <row r="647" spans="1:14" x14ac:dyDescent="0.25">
      <c r="A647">
        <v>646</v>
      </c>
      <c r="B647" t="s">
        <v>36</v>
      </c>
      <c r="C647">
        <v>2022</v>
      </c>
      <c r="D647">
        <v>4.0999999999999996</v>
      </c>
      <c r="E647" t="s">
        <v>15</v>
      </c>
      <c r="F647">
        <v>22075</v>
      </c>
      <c r="G647" t="s">
        <v>22</v>
      </c>
      <c r="H647">
        <v>15895.49</v>
      </c>
      <c r="I647" t="s">
        <v>37</v>
      </c>
      <c r="J647" t="s">
        <v>32</v>
      </c>
      <c r="K647" t="s">
        <v>50</v>
      </c>
      <c r="L647">
        <v>4</v>
      </c>
      <c r="M647">
        <v>0.72</v>
      </c>
      <c r="N647" t="s">
        <v>33</v>
      </c>
    </row>
    <row r="648" spans="1:14" x14ac:dyDescent="0.25">
      <c r="A648">
        <v>647</v>
      </c>
      <c r="B648" t="s">
        <v>36</v>
      </c>
      <c r="C648">
        <v>2008</v>
      </c>
      <c r="D648">
        <v>6</v>
      </c>
      <c r="E648" t="s">
        <v>15</v>
      </c>
      <c r="F648">
        <v>205788</v>
      </c>
      <c r="G648" t="s">
        <v>16</v>
      </c>
      <c r="H648">
        <v>99212.85</v>
      </c>
      <c r="I648" t="s">
        <v>54</v>
      </c>
      <c r="J648" t="s">
        <v>18</v>
      </c>
      <c r="K648" t="s">
        <v>26</v>
      </c>
      <c r="L648">
        <v>18</v>
      </c>
      <c r="M648">
        <v>0.48</v>
      </c>
      <c r="N648" t="s">
        <v>33</v>
      </c>
    </row>
    <row r="649" spans="1:14" x14ac:dyDescent="0.25">
      <c r="A649">
        <v>648</v>
      </c>
      <c r="B649" t="s">
        <v>43</v>
      </c>
      <c r="C649">
        <v>2007</v>
      </c>
      <c r="D649">
        <v>2.6</v>
      </c>
      <c r="E649" t="s">
        <v>15</v>
      </c>
      <c r="F649">
        <v>9304</v>
      </c>
      <c r="G649" t="s">
        <v>22</v>
      </c>
      <c r="H649">
        <v>33734.44</v>
      </c>
      <c r="I649" t="s">
        <v>44</v>
      </c>
      <c r="J649" t="s">
        <v>41</v>
      </c>
      <c r="K649" t="s">
        <v>50</v>
      </c>
      <c r="L649">
        <v>19</v>
      </c>
      <c r="M649">
        <v>3.63</v>
      </c>
      <c r="N649" t="s">
        <v>20</v>
      </c>
    </row>
    <row r="650" spans="1:14" x14ac:dyDescent="0.25">
      <c r="A650">
        <v>649</v>
      </c>
      <c r="B650" t="s">
        <v>36</v>
      </c>
      <c r="C650">
        <v>2013</v>
      </c>
      <c r="D650">
        <v>2.7</v>
      </c>
      <c r="E650" t="s">
        <v>27</v>
      </c>
      <c r="F650">
        <v>129851</v>
      </c>
      <c r="G650" t="s">
        <v>30</v>
      </c>
      <c r="H650">
        <v>65324.02</v>
      </c>
      <c r="I650" t="s">
        <v>37</v>
      </c>
      <c r="J650" t="s">
        <v>46</v>
      </c>
      <c r="K650" t="s">
        <v>19</v>
      </c>
      <c r="L650">
        <v>13</v>
      </c>
      <c r="M650">
        <v>0.5</v>
      </c>
      <c r="N650" t="s">
        <v>33</v>
      </c>
    </row>
    <row r="651" spans="1:14" x14ac:dyDescent="0.25">
      <c r="A651">
        <v>650</v>
      </c>
      <c r="B651" t="s">
        <v>29</v>
      </c>
      <c r="C651">
        <v>2017</v>
      </c>
      <c r="D651">
        <v>1.4</v>
      </c>
      <c r="E651" t="s">
        <v>15</v>
      </c>
      <c r="F651">
        <v>59622</v>
      </c>
      <c r="G651" t="s">
        <v>30</v>
      </c>
      <c r="H651">
        <v>60217.45</v>
      </c>
      <c r="I651" t="s">
        <v>40</v>
      </c>
      <c r="J651" t="s">
        <v>46</v>
      </c>
      <c r="K651" t="s">
        <v>19</v>
      </c>
      <c r="L651">
        <v>9</v>
      </c>
      <c r="M651">
        <v>1.01</v>
      </c>
      <c r="N651" t="s">
        <v>33</v>
      </c>
    </row>
    <row r="652" spans="1:14" x14ac:dyDescent="0.25">
      <c r="A652">
        <v>651</v>
      </c>
      <c r="B652" t="s">
        <v>52</v>
      </c>
      <c r="C652">
        <v>2021</v>
      </c>
      <c r="D652">
        <v>3.2</v>
      </c>
      <c r="E652" t="s">
        <v>27</v>
      </c>
      <c r="F652">
        <v>108654</v>
      </c>
      <c r="G652" t="s">
        <v>16</v>
      </c>
      <c r="H652">
        <v>79583.759999999995</v>
      </c>
      <c r="I652" t="s">
        <v>53</v>
      </c>
      <c r="J652" t="s">
        <v>32</v>
      </c>
      <c r="K652" t="s">
        <v>19</v>
      </c>
      <c r="L652">
        <v>5</v>
      </c>
      <c r="M652">
        <v>0.73</v>
      </c>
      <c r="N652" t="s">
        <v>33</v>
      </c>
    </row>
    <row r="653" spans="1:14" x14ac:dyDescent="0.25">
      <c r="A653">
        <v>652</v>
      </c>
      <c r="B653" t="s">
        <v>14</v>
      </c>
      <c r="C653">
        <v>2019</v>
      </c>
      <c r="D653">
        <v>2.2999999999999998</v>
      </c>
      <c r="E653" t="s">
        <v>27</v>
      </c>
      <c r="F653">
        <v>249109</v>
      </c>
      <c r="G653" t="s">
        <v>30</v>
      </c>
      <c r="H653">
        <v>32914.51</v>
      </c>
      <c r="I653" t="s">
        <v>58</v>
      </c>
      <c r="J653" t="s">
        <v>18</v>
      </c>
      <c r="K653" t="s">
        <v>26</v>
      </c>
      <c r="L653">
        <v>7</v>
      </c>
      <c r="M653">
        <v>0.13</v>
      </c>
      <c r="N653" t="s">
        <v>20</v>
      </c>
    </row>
    <row r="654" spans="1:14" x14ac:dyDescent="0.25">
      <c r="A654">
        <v>653</v>
      </c>
      <c r="B654" t="s">
        <v>21</v>
      </c>
      <c r="C654">
        <v>2019</v>
      </c>
      <c r="D654">
        <v>2.7</v>
      </c>
      <c r="E654" t="s">
        <v>27</v>
      </c>
      <c r="F654">
        <v>286172</v>
      </c>
      <c r="G654" t="s">
        <v>16</v>
      </c>
      <c r="H654">
        <v>76813.100000000006</v>
      </c>
      <c r="I654" t="s">
        <v>42</v>
      </c>
      <c r="J654" t="s">
        <v>18</v>
      </c>
      <c r="K654" t="s">
        <v>26</v>
      </c>
      <c r="L654">
        <v>7</v>
      </c>
      <c r="M654">
        <v>0.27</v>
      </c>
      <c r="N654" t="s">
        <v>20</v>
      </c>
    </row>
    <row r="655" spans="1:14" x14ac:dyDescent="0.25">
      <c r="A655">
        <v>654</v>
      </c>
      <c r="B655" t="s">
        <v>36</v>
      </c>
      <c r="C655">
        <v>2020</v>
      </c>
      <c r="D655">
        <v>5.2</v>
      </c>
      <c r="E655" t="s">
        <v>15</v>
      </c>
      <c r="F655">
        <v>39328</v>
      </c>
      <c r="G655" t="s">
        <v>16</v>
      </c>
      <c r="H655">
        <v>41337.660000000003</v>
      </c>
      <c r="I655" t="s">
        <v>51</v>
      </c>
      <c r="J655" t="s">
        <v>32</v>
      </c>
      <c r="K655" t="s">
        <v>50</v>
      </c>
      <c r="L655">
        <v>6</v>
      </c>
      <c r="M655">
        <v>1.05</v>
      </c>
      <c r="N655" t="s">
        <v>33</v>
      </c>
    </row>
    <row r="656" spans="1:14" x14ac:dyDescent="0.25">
      <c r="A656">
        <v>655</v>
      </c>
      <c r="B656" t="s">
        <v>24</v>
      </c>
      <c r="C656">
        <v>2011</v>
      </c>
      <c r="D656">
        <v>5.7</v>
      </c>
      <c r="E656" t="s">
        <v>15</v>
      </c>
      <c r="F656">
        <v>289445</v>
      </c>
      <c r="G656" t="s">
        <v>30</v>
      </c>
      <c r="H656">
        <v>44060.29</v>
      </c>
      <c r="I656" t="s">
        <v>35</v>
      </c>
      <c r="J656" t="s">
        <v>41</v>
      </c>
      <c r="K656" t="s">
        <v>26</v>
      </c>
      <c r="L656">
        <v>15</v>
      </c>
      <c r="M656">
        <v>0.15</v>
      </c>
      <c r="N656" t="s">
        <v>20</v>
      </c>
    </row>
    <row r="657" spans="1:14" x14ac:dyDescent="0.25">
      <c r="A657">
        <v>656</v>
      </c>
      <c r="B657" t="s">
        <v>36</v>
      </c>
      <c r="C657">
        <v>2018</v>
      </c>
      <c r="D657">
        <v>1.9</v>
      </c>
      <c r="E657" t="s">
        <v>15</v>
      </c>
      <c r="F657">
        <v>218348</v>
      </c>
      <c r="G657" t="s">
        <v>30</v>
      </c>
      <c r="H657">
        <v>68907.69</v>
      </c>
      <c r="I657" t="s">
        <v>54</v>
      </c>
      <c r="J657" t="s">
        <v>32</v>
      </c>
      <c r="K657" t="s">
        <v>26</v>
      </c>
      <c r="L657">
        <v>8</v>
      </c>
      <c r="M657">
        <v>0.32</v>
      </c>
      <c r="N657" t="s">
        <v>33</v>
      </c>
    </row>
    <row r="658" spans="1:14" x14ac:dyDescent="0.25">
      <c r="A658">
        <v>657</v>
      </c>
      <c r="B658" t="s">
        <v>24</v>
      </c>
      <c r="C658">
        <v>2013</v>
      </c>
      <c r="D658">
        <v>2.9</v>
      </c>
      <c r="E658" t="s">
        <v>27</v>
      </c>
      <c r="F658">
        <v>36845</v>
      </c>
      <c r="G658" t="s">
        <v>30</v>
      </c>
      <c r="H658">
        <v>79507.149999999994</v>
      </c>
      <c r="I658" t="s">
        <v>45</v>
      </c>
      <c r="J658" t="s">
        <v>32</v>
      </c>
      <c r="K658" t="s">
        <v>50</v>
      </c>
      <c r="L658">
        <v>13</v>
      </c>
      <c r="M658">
        <v>2.16</v>
      </c>
      <c r="N658" t="s">
        <v>20</v>
      </c>
    </row>
    <row r="659" spans="1:14" x14ac:dyDescent="0.25">
      <c r="A659">
        <v>658</v>
      </c>
      <c r="B659" t="s">
        <v>29</v>
      </c>
      <c r="C659">
        <v>2016</v>
      </c>
      <c r="D659">
        <v>5.6</v>
      </c>
      <c r="E659" t="s">
        <v>27</v>
      </c>
      <c r="F659">
        <v>76394</v>
      </c>
      <c r="G659" t="s">
        <v>30</v>
      </c>
      <c r="H659">
        <v>68352.33</v>
      </c>
      <c r="I659" t="s">
        <v>38</v>
      </c>
      <c r="J659" t="s">
        <v>32</v>
      </c>
      <c r="K659" t="s">
        <v>19</v>
      </c>
      <c r="L659">
        <v>10</v>
      </c>
      <c r="M659">
        <v>0.89</v>
      </c>
      <c r="N659" t="s">
        <v>33</v>
      </c>
    </row>
    <row r="660" spans="1:14" x14ac:dyDescent="0.25">
      <c r="A660">
        <v>659</v>
      </c>
      <c r="B660" t="s">
        <v>24</v>
      </c>
      <c r="C660">
        <v>2023</v>
      </c>
      <c r="D660">
        <v>1.3</v>
      </c>
      <c r="E660" t="s">
        <v>27</v>
      </c>
      <c r="F660">
        <v>175231</v>
      </c>
      <c r="G660" t="s">
        <v>30</v>
      </c>
      <c r="H660">
        <v>90488.55</v>
      </c>
      <c r="I660" t="s">
        <v>34</v>
      </c>
      <c r="J660" t="s">
        <v>32</v>
      </c>
      <c r="K660" t="s">
        <v>26</v>
      </c>
      <c r="L660">
        <v>3</v>
      </c>
      <c r="M660">
        <v>0.52</v>
      </c>
      <c r="N660" t="s">
        <v>20</v>
      </c>
    </row>
    <row r="661" spans="1:14" x14ac:dyDescent="0.25">
      <c r="A661">
        <v>660</v>
      </c>
      <c r="B661" t="s">
        <v>21</v>
      </c>
      <c r="C661">
        <v>2020</v>
      </c>
      <c r="D661">
        <v>1.5</v>
      </c>
      <c r="E661" t="s">
        <v>27</v>
      </c>
      <c r="F661">
        <v>80722</v>
      </c>
      <c r="G661" t="s">
        <v>30</v>
      </c>
      <c r="H661">
        <v>32090.11</v>
      </c>
      <c r="I661" t="s">
        <v>60</v>
      </c>
      <c r="J661" t="s">
        <v>32</v>
      </c>
      <c r="K661" t="s">
        <v>19</v>
      </c>
      <c r="L661">
        <v>6</v>
      </c>
      <c r="M661">
        <v>0.4</v>
      </c>
      <c r="N661" t="s">
        <v>20</v>
      </c>
    </row>
    <row r="662" spans="1:14" x14ac:dyDescent="0.25">
      <c r="A662">
        <v>661</v>
      </c>
      <c r="B662" t="s">
        <v>52</v>
      </c>
      <c r="C662">
        <v>2002</v>
      </c>
      <c r="D662">
        <v>1.8</v>
      </c>
      <c r="E662" t="s">
        <v>15</v>
      </c>
      <c r="F662">
        <v>287374</v>
      </c>
      <c r="G662" t="s">
        <v>30</v>
      </c>
      <c r="H662">
        <v>90558.59</v>
      </c>
      <c r="I662" t="s">
        <v>56</v>
      </c>
      <c r="J662" t="s">
        <v>32</v>
      </c>
      <c r="K662" t="s">
        <v>26</v>
      </c>
      <c r="L662">
        <v>24</v>
      </c>
      <c r="M662">
        <v>0.32</v>
      </c>
      <c r="N662" t="s">
        <v>33</v>
      </c>
    </row>
    <row r="663" spans="1:14" x14ac:dyDescent="0.25">
      <c r="A663">
        <v>662</v>
      </c>
      <c r="B663" t="s">
        <v>24</v>
      </c>
      <c r="C663">
        <v>2022</v>
      </c>
      <c r="D663">
        <v>4</v>
      </c>
      <c r="E663" t="s">
        <v>15</v>
      </c>
      <c r="F663">
        <v>92554</v>
      </c>
      <c r="G663" t="s">
        <v>22</v>
      </c>
      <c r="H663">
        <v>17432.03</v>
      </c>
      <c r="I663" t="s">
        <v>25</v>
      </c>
      <c r="J663" t="s">
        <v>32</v>
      </c>
      <c r="K663" t="s">
        <v>19</v>
      </c>
      <c r="L663">
        <v>4</v>
      </c>
      <c r="M663">
        <v>0.19</v>
      </c>
      <c r="N663" t="s">
        <v>20</v>
      </c>
    </row>
    <row r="664" spans="1:14" x14ac:dyDescent="0.25">
      <c r="A664">
        <v>663</v>
      </c>
      <c r="B664" t="s">
        <v>24</v>
      </c>
      <c r="C664">
        <v>2006</v>
      </c>
      <c r="D664">
        <v>1.8</v>
      </c>
      <c r="E664" t="s">
        <v>15</v>
      </c>
      <c r="F664">
        <v>49262</v>
      </c>
      <c r="G664" t="s">
        <v>16</v>
      </c>
      <c r="H664">
        <v>67655.38</v>
      </c>
      <c r="I664" t="s">
        <v>25</v>
      </c>
      <c r="J664" t="s">
        <v>18</v>
      </c>
      <c r="K664" t="s">
        <v>50</v>
      </c>
      <c r="L664">
        <v>20</v>
      </c>
      <c r="M664">
        <v>1.37</v>
      </c>
      <c r="N664" t="s">
        <v>20</v>
      </c>
    </row>
    <row r="665" spans="1:14" x14ac:dyDescent="0.25">
      <c r="A665">
        <v>664</v>
      </c>
      <c r="B665" t="s">
        <v>52</v>
      </c>
      <c r="C665">
        <v>2016</v>
      </c>
      <c r="D665">
        <v>5.8</v>
      </c>
      <c r="E665" t="s">
        <v>27</v>
      </c>
      <c r="F665">
        <v>41722</v>
      </c>
      <c r="G665" t="s">
        <v>16</v>
      </c>
      <c r="H665">
        <v>57024.91</v>
      </c>
      <c r="I665" t="s">
        <v>56</v>
      </c>
      <c r="J665" t="s">
        <v>46</v>
      </c>
      <c r="K665" t="s">
        <v>50</v>
      </c>
      <c r="L665">
        <v>10</v>
      </c>
      <c r="M665">
        <v>1.37</v>
      </c>
      <c r="N665" t="s">
        <v>33</v>
      </c>
    </row>
    <row r="666" spans="1:14" x14ac:dyDescent="0.25">
      <c r="A666">
        <v>665</v>
      </c>
      <c r="B666" t="s">
        <v>21</v>
      </c>
      <c r="C666">
        <v>2011</v>
      </c>
      <c r="D666">
        <v>3.2</v>
      </c>
      <c r="E666" t="s">
        <v>27</v>
      </c>
      <c r="F666">
        <v>171231</v>
      </c>
      <c r="G666" t="s">
        <v>30</v>
      </c>
      <c r="H666">
        <v>51990.41</v>
      </c>
      <c r="I666" t="s">
        <v>47</v>
      </c>
      <c r="J666" t="s">
        <v>18</v>
      </c>
      <c r="K666" t="s">
        <v>26</v>
      </c>
      <c r="L666">
        <v>15</v>
      </c>
      <c r="M666">
        <v>0.3</v>
      </c>
      <c r="N666" t="s">
        <v>20</v>
      </c>
    </row>
    <row r="667" spans="1:14" x14ac:dyDescent="0.25">
      <c r="A667">
        <v>666</v>
      </c>
      <c r="B667" t="s">
        <v>36</v>
      </c>
      <c r="C667">
        <v>2008</v>
      </c>
      <c r="D667">
        <v>3.5</v>
      </c>
      <c r="E667" t="s">
        <v>15</v>
      </c>
      <c r="F667">
        <v>240740</v>
      </c>
      <c r="G667" t="s">
        <v>16</v>
      </c>
      <c r="H667">
        <v>34536.639999999999</v>
      </c>
      <c r="I667" t="s">
        <v>37</v>
      </c>
      <c r="J667" t="s">
        <v>32</v>
      </c>
      <c r="K667" t="s">
        <v>26</v>
      </c>
      <c r="L667">
        <v>18</v>
      </c>
      <c r="M667">
        <v>0.14000000000000001</v>
      </c>
      <c r="N667" t="s">
        <v>33</v>
      </c>
    </row>
    <row r="668" spans="1:14" x14ac:dyDescent="0.25">
      <c r="A668">
        <v>667</v>
      </c>
      <c r="B668" t="s">
        <v>24</v>
      </c>
      <c r="C668">
        <v>2014</v>
      </c>
      <c r="D668">
        <v>2.2000000000000002</v>
      </c>
      <c r="E668" t="s">
        <v>15</v>
      </c>
      <c r="F668">
        <v>87052</v>
      </c>
      <c r="G668" t="s">
        <v>30</v>
      </c>
      <c r="H668">
        <v>52854.61</v>
      </c>
      <c r="I668" t="s">
        <v>45</v>
      </c>
      <c r="J668" t="s">
        <v>32</v>
      </c>
      <c r="K668" t="s">
        <v>19</v>
      </c>
      <c r="L668">
        <v>12</v>
      </c>
      <c r="M668">
        <v>0.61</v>
      </c>
      <c r="N668" t="s">
        <v>20</v>
      </c>
    </row>
    <row r="669" spans="1:14" x14ac:dyDescent="0.25">
      <c r="A669">
        <v>668</v>
      </c>
      <c r="B669" t="s">
        <v>52</v>
      </c>
      <c r="C669">
        <v>2017</v>
      </c>
      <c r="D669">
        <v>3.4</v>
      </c>
      <c r="E669" t="s">
        <v>27</v>
      </c>
      <c r="F669">
        <v>100808</v>
      </c>
      <c r="G669" t="s">
        <v>22</v>
      </c>
      <c r="H669">
        <v>20368.47</v>
      </c>
      <c r="I669" t="s">
        <v>53</v>
      </c>
      <c r="J669" t="s">
        <v>18</v>
      </c>
      <c r="K669" t="s">
        <v>19</v>
      </c>
      <c r="L669">
        <v>9</v>
      </c>
      <c r="M669">
        <v>0.2</v>
      </c>
      <c r="N669" t="s">
        <v>33</v>
      </c>
    </row>
    <row r="670" spans="1:14" x14ac:dyDescent="0.25">
      <c r="A670">
        <v>669</v>
      </c>
      <c r="B670" t="s">
        <v>29</v>
      </c>
      <c r="C670">
        <v>2020</v>
      </c>
      <c r="D670">
        <v>4.3</v>
      </c>
      <c r="E670" t="s">
        <v>15</v>
      </c>
      <c r="F670">
        <v>255416</v>
      </c>
      <c r="G670" t="s">
        <v>16</v>
      </c>
      <c r="H670">
        <v>40085.49</v>
      </c>
      <c r="I670" t="s">
        <v>38</v>
      </c>
      <c r="J670" t="s">
        <v>18</v>
      </c>
      <c r="K670" t="s">
        <v>26</v>
      </c>
      <c r="L670">
        <v>6</v>
      </c>
      <c r="M670">
        <v>0.16</v>
      </c>
      <c r="N670" t="s">
        <v>33</v>
      </c>
    </row>
    <row r="671" spans="1:14" x14ac:dyDescent="0.25">
      <c r="A671">
        <v>670</v>
      </c>
      <c r="B671" t="s">
        <v>52</v>
      </c>
      <c r="C671">
        <v>2012</v>
      </c>
      <c r="D671">
        <v>4.8</v>
      </c>
      <c r="E671" t="s">
        <v>15</v>
      </c>
      <c r="F671">
        <v>262128</v>
      </c>
      <c r="G671" t="s">
        <v>16</v>
      </c>
      <c r="H671">
        <v>14374.69</v>
      </c>
      <c r="I671" t="s">
        <v>53</v>
      </c>
      <c r="J671" t="s">
        <v>46</v>
      </c>
      <c r="K671" t="s">
        <v>26</v>
      </c>
      <c r="L671">
        <v>14</v>
      </c>
      <c r="M671">
        <v>0.05</v>
      </c>
      <c r="N671" t="s">
        <v>33</v>
      </c>
    </row>
    <row r="672" spans="1:14" x14ac:dyDescent="0.25">
      <c r="A672">
        <v>671</v>
      </c>
      <c r="B672" t="s">
        <v>29</v>
      </c>
      <c r="C672">
        <v>2020</v>
      </c>
      <c r="D672">
        <v>4.8</v>
      </c>
      <c r="E672" t="s">
        <v>27</v>
      </c>
      <c r="F672">
        <v>221281</v>
      </c>
      <c r="G672" t="s">
        <v>22</v>
      </c>
      <c r="H672">
        <v>59325.43</v>
      </c>
      <c r="I672" t="s">
        <v>62</v>
      </c>
      <c r="J672" t="s">
        <v>18</v>
      </c>
      <c r="K672" t="s">
        <v>26</v>
      </c>
      <c r="L672">
        <v>6</v>
      </c>
      <c r="M672">
        <v>0.27</v>
      </c>
      <c r="N672" t="s">
        <v>33</v>
      </c>
    </row>
    <row r="673" spans="1:14" x14ac:dyDescent="0.25">
      <c r="A673">
        <v>672</v>
      </c>
      <c r="B673" t="s">
        <v>21</v>
      </c>
      <c r="C673">
        <v>2007</v>
      </c>
      <c r="D673">
        <v>3.9</v>
      </c>
      <c r="E673" t="s">
        <v>27</v>
      </c>
      <c r="F673">
        <v>246052</v>
      </c>
      <c r="G673" t="s">
        <v>22</v>
      </c>
      <c r="H673">
        <v>14097.95</v>
      </c>
      <c r="I673" t="s">
        <v>47</v>
      </c>
      <c r="J673" t="s">
        <v>46</v>
      </c>
      <c r="K673" t="s">
        <v>26</v>
      </c>
      <c r="L673">
        <v>19</v>
      </c>
      <c r="M673">
        <v>0.06</v>
      </c>
      <c r="N673" t="s">
        <v>20</v>
      </c>
    </row>
    <row r="674" spans="1:14" x14ac:dyDescent="0.25">
      <c r="A674">
        <v>673</v>
      </c>
      <c r="B674" t="s">
        <v>36</v>
      </c>
      <c r="C674">
        <v>2013</v>
      </c>
      <c r="D674">
        <v>5.5</v>
      </c>
      <c r="E674" t="s">
        <v>27</v>
      </c>
      <c r="F674">
        <v>104697</v>
      </c>
      <c r="G674" t="s">
        <v>22</v>
      </c>
      <c r="H674">
        <v>20232.740000000002</v>
      </c>
      <c r="I674" t="s">
        <v>57</v>
      </c>
      <c r="J674" t="s">
        <v>32</v>
      </c>
      <c r="K674" t="s">
        <v>19</v>
      </c>
      <c r="L674">
        <v>13</v>
      </c>
      <c r="M674">
        <v>0.19</v>
      </c>
      <c r="N674" t="s">
        <v>33</v>
      </c>
    </row>
    <row r="675" spans="1:14" x14ac:dyDescent="0.25">
      <c r="A675">
        <v>674</v>
      </c>
      <c r="B675" t="s">
        <v>52</v>
      </c>
      <c r="C675">
        <v>2007</v>
      </c>
      <c r="D675">
        <v>5.0999999999999996</v>
      </c>
      <c r="E675" t="s">
        <v>15</v>
      </c>
      <c r="F675">
        <v>231572</v>
      </c>
      <c r="G675" t="s">
        <v>16</v>
      </c>
      <c r="H675">
        <v>13119.35</v>
      </c>
      <c r="I675" t="s">
        <v>61</v>
      </c>
      <c r="J675" t="s">
        <v>41</v>
      </c>
      <c r="K675" t="s">
        <v>26</v>
      </c>
      <c r="L675">
        <v>19</v>
      </c>
      <c r="M675">
        <v>0.06</v>
      </c>
      <c r="N675" t="s">
        <v>33</v>
      </c>
    </row>
    <row r="676" spans="1:14" x14ac:dyDescent="0.25">
      <c r="A676">
        <v>675</v>
      </c>
      <c r="B676" t="s">
        <v>14</v>
      </c>
      <c r="C676">
        <v>2013</v>
      </c>
      <c r="D676">
        <v>4.8</v>
      </c>
      <c r="E676" t="s">
        <v>27</v>
      </c>
      <c r="F676">
        <v>232842</v>
      </c>
      <c r="G676" t="s">
        <v>16</v>
      </c>
      <c r="H676">
        <v>41224.51</v>
      </c>
      <c r="I676" t="s">
        <v>17</v>
      </c>
      <c r="J676" t="s">
        <v>18</v>
      </c>
      <c r="K676" t="s">
        <v>26</v>
      </c>
      <c r="L676">
        <v>13</v>
      </c>
      <c r="M676">
        <v>0.18</v>
      </c>
      <c r="N676" t="s">
        <v>20</v>
      </c>
    </row>
    <row r="677" spans="1:14" x14ac:dyDescent="0.25">
      <c r="A677">
        <v>676</v>
      </c>
      <c r="B677" t="s">
        <v>14</v>
      </c>
      <c r="C677">
        <v>2006</v>
      </c>
      <c r="D677">
        <v>1.3</v>
      </c>
      <c r="E677" t="s">
        <v>15</v>
      </c>
      <c r="F677">
        <v>96299</v>
      </c>
      <c r="G677" t="s">
        <v>22</v>
      </c>
      <c r="H677">
        <v>84986.05</v>
      </c>
      <c r="I677" t="s">
        <v>28</v>
      </c>
      <c r="J677" t="s">
        <v>18</v>
      </c>
      <c r="K677" t="s">
        <v>19</v>
      </c>
      <c r="L677">
        <v>20</v>
      </c>
      <c r="M677">
        <v>0.88</v>
      </c>
      <c r="N677" t="s">
        <v>20</v>
      </c>
    </row>
    <row r="678" spans="1:14" x14ac:dyDescent="0.25">
      <c r="A678">
        <v>677</v>
      </c>
      <c r="B678" t="s">
        <v>43</v>
      </c>
      <c r="C678">
        <v>2022</v>
      </c>
      <c r="D678">
        <v>1</v>
      </c>
      <c r="E678" t="s">
        <v>15</v>
      </c>
      <c r="F678">
        <v>165746</v>
      </c>
      <c r="G678" t="s">
        <v>22</v>
      </c>
      <c r="H678">
        <v>91155.16</v>
      </c>
      <c r="I678" t="s">
        <v>55</v>
      </c>
      <c r="J678" t="s">
        <v>41</v>
      </c>
      <c r="K678" t="s">
        <v>26</v>
      </c>
      <c r="L678">
        <v>4</v>
      </c>
      <c r="M678">
        <v>0.55000000000000004</v>
      </c>
      <c r="N678" t="s">
        <v>20</v>
      </c>
    </row>
    <row r="679" spans="1:14" x14ac:dyDescent="0.25">
      <c r="A679">
        <v>678</v>
      </c>
      <c r="B679" t="s">
        <v>24</v>
      </c>
      <c r="C679">
        <v>2011</v>
      </c>
      <c r="D679">
        <v>2.1</v>
      </c>
      <c r="E679" t="s">
        <v>27</v>
      </c>
      <c r="F679">
        <v>149177</v>
      </c>
      <c r="G679" t="s">
        <v>22</v>
      </c>
      <c r="H679">
        <v>11829.5</v>
      </c>
      <c r="I679" t="s">
        <v>45</v>
      </c>
      <c r="J679" t="s">
        <v>32</v>
      </c>
      <c r="K679" t="s">
        <v>19</v>
      </c>
      <c r="L679">
        <v>15</v>
      </c>
      <c r="M679">
        <v>0.08</v>
      </c>
      <c r="N679" t="s">
        <v>20</v>
      </c>
    </row>
    <row r="680" spans="1:14" x14ac:dyDescent="0.25">
      <c r="A680">
        <v>679</v>
      </c>
      <c r="B680" t="s">
        <v>21</v>
      </c>
      <c r="C680">
        <v>2010</v>
      </c>
      <c r="D680">
        <v>4.3</v>
      </c>
      <c r="E680" t="s">
        <v>15</v>
      </c>
      <c r="F680">
        <v>160811</v>
      </c>
      <c r="G680" t="s">
        <v>22</v>
      </c>
      <c r="H680">
        <v>65282.26</v>
      </c>
      <c r="I680" t="s">
        <v>47</v>
      </c>
      <c r="J680" t="s">
        <v>41</v>
      </c>
      <c r="K680" t="s">
        <v>26</v>
      </c>
      <c r="L680">
        <v>16</v>
      </c>
      <c r="M680">
        <v>0.41</v>
      </c>
      <c r="N680" t="s">
        <v>20</v>
      </c>
    </row>
    <row r="681" spans="1:14" x14ac:dyDescent="0.25">
      <c r="A681">
        <v>680</v>
      </c>
      <c r="B681" t="s">
        <v>52</v>
      </c>
      <c r="C681">
        <v>2021</v>
      </c>
      <c r="D681">
        <v>3.1</v>
      </c>
      <c r="E681" t="s">
        <v>27</v>
      </c>
      <c r="F681">
        <v>163041</v>
      </c>
      <c r="G681" t="s">
        <v>22</v>
      </c>
      <c r="H681">
        <v>70016.62</v>
      </c>
      <c r="I681" t="s">
        <v>59</v>
      </c>
      <c r="J681" t="s">
        <v>18</v>
      </c>
      <c r="K681" t="s">
        <v>26</v>
      </c>
      <c r="L681">
        <v>5</v>
      </c>
      <c r="M681">
        <v>0.43</v>
      </c>
      <c r="N681" t="s">
        <v>33</v>
      </c>
    </row>
    <row r="682" spans="1:14" x14ac:dyDescent="0.25">
      <c r="A682">
        <v>681</v>
      </c>
      <c r="B682" t="s">
        <v>14</v>
      </c>
      <c r="C682">
        <v>2021</v>
      </c>
      <c r="D682">
        <v>3</v>
      </c>
      <c r="E682" t="s">
        <v>27</v>
      </c>
      <c r="F682">
        <v>14497</v>
      </c>
      <c r="G682" t="s">
        <v>30</v>
      </c>
      <c r="H682">
        <v>55708.14</v>
      </c>
      <c r="I682" t="s">
        <v>17</v>
      </c>
      <c r="J682" t="s">
        <v>18</v>
      </c>
      <c r="K682" t="s">
        <v>50</v>
      </c>
      <c r="L682">
        <v>5</v>
      </c>
      <c r="M682">
        <v>3.84</v>
      </c>
      <c r="N682" t="s">
        <v>20</v>
      </c>
    </row>
    <row r="683" spans="1:14" x14ac:dyDescent="0.25">
      <c r="A683">
        <v>682</v>
      </c>
      <c r="B683" t="s">
        <v>24</v>
      </c>
      <c r="C683">
        <v>2010</v>
      </c>
      <c r="D683">
        <v>5.4</v>
      </c>
      <c r="E683" t="s">
        <v>15</v>
      </c>
      <c r="F683">
        <v>254204</v>
      </c>
      <c r="G683" t="s">
        <v>22</v>
      </c>
      <c r="H683">
        <v>68363.56</v>
      </c>
      <c r="I683" t="s">
        <v>35</v>
      </c>
      <c r="J683" t="s">
        <v>41</v>
      </c>
      <c r="K683" t="s">
        <v>26</v>
      </c>
      <c r="L683">
        <v>16</v>
      </c>
      <c r="M683">
        <v>0.27</v>
      </c>
      <c r="N683" t="s">
        <v>20</v>
      </c>
    </row>
    <row r="684" spans="1:14" x14ac:dyDescent="0.25">
      <c r="A684">
        <v>683</v>
      </c>
      <c r="B684" t="s">
        <v>14</v>
      </c>
      <c r="C684">
        <v>2021</v>
      </c>
      <c r="D684">
        <v>5.5</v>
      </c>
      <c r="E684" t="s">
        <v>15</v>
      </c>
      <c r="F684">
        <v>257471</v>
      </c>
      <c r="G684" t="s">
        <v>30</v>
      </c>
      <c r="H684">
        <v>27200.62</v>
      </c>
      <c r="I684" t="s">
        <v>28</v>
      </c>
      <c r="J684" t="s">
        <v>18</v>
      </c>
      <c r="K684" t="s">
        <v>26</v>
      </c>
      <c r="L684">
        <v>5</v>
      </c>
      <c r="M684">
        <v>0.11</v>
      </c>
      <c r="N684" t="s">
        <v>20</v>
      </c>
    </row>
    <row r="685" spans="1:14" x14ac:dyDescent="0.25">
      <c r="A685">
        <v>684</v>
      </c>
      <c r="B685" t="s">
        <v>52</v>
      </c>
      <c r="C685">
        <v>2012</v>
      </c>
      <c r="D685">
        <v>5.5</v>
      </c>
      <c r="E685" t="s">
        <v>27</v>
      </c>
      <c r="F685">
        <v>92019</v>
      </c>
      <c r="G685" t="s">
        <v>16</v>
      </c>
      <c r="H685">
        <v>51516.2</v>
      </c>
      <c r="I685" t="s">
        <v>61</v>
      </c>
      <c r="J685" t="s">
        <v>46</v>
      </c>
      <c r="K685" t="s">
        <v>19</v>
      </c>
      <c r="L685">
        <v>14</v>
      </c>
      <c r="M685">
        <v>0.56000000000000005</v>
      </c>
      <c r="N685" t="s">
        <v>33</v>
      </c>
    </row>
    <row r="686" spans="1:14" x14ac:dyDescent="0.25">
      <c r="A686">
        <v>685</v>
      </c>
      <c r="B686" t="s">
        <v>29</v>
      </c>
      <c r="C686">
        <v>2017</v>
      </c>
      <c r="D686">
        <v>2.6</v>
      </c>
      <c r="E686" t="s">
        <v>27</v>
      </c>
      <c r="F686">
        <v>190326</v>
      </c>
      <c r="G686" t="s">
        <v>16</v>
      </c>
      <c r="H686">
        <v>42133.21</v>
      </c>
      <c r="I686" t="s">
        <v>38</v>
      </c>
      <c r="J686" t="s">
        <v>32</v>
      </c>
      <c r="K686" t="s">
        <v>26</v>
      </c>
      <c r="L686">
        <v>9</v>
      </c>
      <c r="M686">
        <v>0.22</v>
      </c>
      <c r="N686" t="s">
        <v>33</v>
      </c>
    </row>
    <row r="687" spans="1:14" x14ac:dyDescent="0.25">
      <c r="A687">
        <v>686</v>
      </c>
      <c r="B687" t="s">
        <v>52</v>
      </c>
      <c r="C687">
        <v>2001</v>
      </c>
      <c r="D687">
        <v>4.5</v>
      </c>
      <c r="E687" t="s">
        <v>27</v>
      </c>
      <c r="F687">
        <v>109017</v>
      </c>
      <c r="G687" t="s">
        <v>30</v>
      </c>
      <c r="H687">
        <v>13522.26</v>
      </c>
      <c r="I687" t="s">
        <v>59</v>
      </c>
      <c r="J687" t="s">
        <v>41</v>
      </c>
      <c r="K687" t="s">
        <v>19</v>
      </c>
      <c r="L687">
        <v>25</v>
      </c>
      <c r="M687">
        <v>0.12</v>
      </c>
      <c r="N687" t="s">
        <v>33</v>
      </c>
    </row>
    <row r="688" spans="1:14" x14ac:dyDescent="0.25">
      <c r="A688">
        <v>687</v>
      </c>
      <c r="B688" t="s">
        <v>43</v>
      </c>
      <c r="C688">
        <v>2020</v>
      </c>
      <c r="D688">
        <v>2.4</v>
      </c>
      <c r="E688" t="s">
        <v>27</v>
      </c>
      <c r="F688">
        <v>218220</v>
      </c>
      <c r="G688" t="s">
        <v>22</v>
      </c>
      <c r="H688">
        <v>64427.86</v>
      </c>
      <c r="I688" t="s">
        <v>48</v>
      </c>
      <c r="J688" t="s">
        <v>41</v>
      </c>
      <c r="K688" t="s">
        <v>26</v>
      </c>
      <c r="L688">
        <v>6</v>
      </c>
      <c r="M688">
        <v>0.3</v>
      </c>
      <c r="N688" t="s">
        <v>20</v>
      </c>
    </row>
    <row r="689" spans="1:14" x14ac:dyDescent="0.25">
      <c r="A689">
        <v>688</v>
      </c>
      <c r="B689" t="s">
        <v>52</v>
      </c>
      <c r="C689">
        <v>2014</v>
      </c>
      <c r="D689">
        <v>2</v>
      </c>
      <c r="E689" t="s">
        <v>27</v>
      </c>
      <c r="F689">
        <v>105153</v>
      </c>
      <c r="G689" t="s">
        <v>16</v>
      </c>
      <c r="H689">
        <v>52045.440000000002</v>
      </c>
      <c r="I689" t="s">
        <v>56</v>
      </c>
      <c r="J689" t="s">
        <v>32</v>
      </c>
      <c r="K689" t="s">
        <v>19</v>
      </c>
      <c r="L689">
        <v>12</v>
      </c>
      <c r="M689">
        <v>0.49</v>
      </c>
      <c r="N689" t="s">
        <v>33</v>
      </c>
    </row>
    <row r="690" spans="1:14" x14ac:dyDescent="0.25">
      <c r="A690">
        <v>689</v>
      </c>
      <c r="B690" t="s">
        <v>52</v>
      </c>
      <c r="C690">
        <v>2019</v>
      </c>
      <c r="D690">
        <v>1.9</v>
      </c>
      <c r="E690" t="s">
        <v>27</v>
      </c>
      <c r="F690">
        <v>33826</v>
      </c>
      <c r="G690" t="s">
        <v>22</v>
      </c>
      <c r="H690">
        <v>31141.53</v>
      </c>
      <c r="I690" t="s">
        <v>61</v>
      </c>
      <c r="J690" t="s">
        <v>18</v>
      </c>
      <c r="K690" t="s">
        <v>50</v>
      </c>
      <c r="L690">
        <v>7</v>
      </c>
      <c r="M690">
        <v>0.92</v>
      </c>
      <c r="N690" t="s">
        <v>33</v>
      </c>
    </row>
    <row r="691" spans="1:14" x14ac:dyDescent="0.25">
      <c r="A691">
        <v>690</v>
      </c>
      <c r="B691" t="s">
        <v>43</v>
      </c>
      <c r="C691">
        <v>2017</v>
      </c>
      <c r="D691">
        <v>2.7</v>
      </c>
      <c r="E691" t="s">
        <v>15</v>
      </c>
      <c r="F691">
        <v>110034</v>
      </c>
      <c r="G691" t="s">
        <v>22</v>
      </c>
      <c r="H691">
        <v>50000.1</v>
      </c>
      <c r="I691" t="s">
        <v>48</v>
      </c>
      <c r="J691" t="s">
        <v>32</v>
      </c>
      <c r="K691" t="s">
        <v>19</v>
      </c>
      <c r="L691">
        <v>9</v>
      </c>
      <c r="M691">
        <v>0.45</v>
      </c>
      <c r="N691" t="s">
        <v>20</v>
      </c>
    </row>
    <row r="692" spans="1:14" x14ac:dyDescent="0.25">
      <c r="A692">
        <v>691</v>
      </c>
      <c r="B692" t="s">
        <v>21</v>
      </c>
      <c r="C692">
        <v>2014</v>
      </c>
      <c r="D692">
        <v>3.1</v>
      </c>
      <c r="E692" t="s">
        <v>15</v>
      </c>
      <c r="F692">
        <v>84242</v>
      </c>
      <c r="G692" t="s">
        <v>30</v>
      </c>
      <c r="H692">
        <v>78653.31</v>
      </c>
      <c r="I692" t="s">
        <v>23</v>
      </c>
      <c r="J692" t="s">
        <v>32</v>
      </c>
      <c r="K692" t="s">
        <v>19</v>
      </c>
      <c r="L692">
        <v>12</v>
      </c>
      <c r="M692">
        <v>0.93</v>
      </c>
      <c r="N692" t="s">
        <v>20</v>
      </c>
    </row>
    <row r="693" spans="1:14" x14ac:dyDescent="0.25">
      <c r="A693">
        <v>692</v>
      </c>
      <c r="B693" t="s">
        <v>52</v>
      </c>
      <c r="C693">
        <v>2018</v>
      </c>
      <c r="D693">
        <v>5.2</v>
      </c>
      <c r="E693" t="s">
        <v>15</v>
      </c>
      <c r="F693">
        <v>50100</v>
      </c>
      <c r="G693" t="s">
        <v>16</v>
      </c>
      <c r="H693">
        <v>81157.490000000005</v>
      </c>
      <c r="I693" t="s">
        <v>61</v>
      </c>
      <c r="J693" t="s">
        <v>18</v>
      </c>
      <c r="K693" t="s">
        <v>19</v>
      </c>
      <c r="L693">
        <v>8</v>
      </c>
      <c r="M693">
        <v>1.62</v>
      </c>
      <c r="N693" t="s">
        <v>33</v>
      </c>
    </row>
    <row r="694" spans="1:14" x14ac:dyDescent="0.25">
      <c r="A694">
        <v>693</v>
      </c>
      <c r="B694" t="s">
        <v>43</v>
      </c>
      <c r="C694">
        <v>2022</v>
      </c>
      <c r="D694">
        <v>1.6</v>
      </c>
      <c r="E694" t="s">
        <v>15</v>
      </c>
      <c r="F694">
        <v>221171</v>
      </c>
      <c r="G694" t="s">
        <v>16</v>
      </c>
      <c r="H694">
        <v>66704.98</v>
      </c>
      <c r="I694" t="s">
        <v>55</v>
      </c>
      <c r="J694" t="s">
        <v>32</v>
      </c>
      <c r="K694" t="s">
        <v>26</v>
      </c>
      <c r="L694">
        <v>4</v>
      </c>
      <c r="M694">
        <v>0.3</v>
      </c>
      <c r="N694" t="s">
        <v>20</v>
      </c>
    </row>
    <row r="695" spans="1:14" x14ac:dyDescent="0.25">
      <c r="A695">
        <v>694</v>
      </c>
      <c r="B695" t="s">
        <v>24</v>
      </c>
      <c r="C695">
        <v>2023</v>
      </c>
      <c r="D695">
        <v>4.7</v>
      </c>
      <c r="E695" t="s">
        <v>27</v>
      </c>
      <c r="F695">
        <v>12809</v>
      </c>
      <c r="G695" t="s">
        <v>30</v>
      </c>
      <c r="H695">
        <v>49436.04</v>
      </c>
      <c r="I695" t="s">
        <v>35</v>
      </c>
      <c r="J695" t="s">
        <v>18</v>
      </c>
      <c r="K695" t="s">
        <v>50</v>
      </c>
      <c r="L695">
        <v>3</v>
      </c>
      <c r="M695">
        <v>3.86</v>
      </c>
      <c r="N695" t="s">
        <v>20</v>
      </c>
    </row>
    <row r="696" spans="1:14" x14ac:dyDescent="0.25">
      <c r="A696">
        <v>695</v>
      </c>
      <c r="B696" t="s">
        <v>29</v>
      </c>
      <c r="C696">
        <v>2011</v>
      </c>
      <c r="D696">
        <v>3.7</v>
      </c>
      <c r="E696" t="s">
        <v>15</v>
      </c>
      <c r="F696">
        <v>64450</v>
      </c>
      <c r="G696" t="s">
        <v>22</v>
      </c>
      <c r="H696">
        <v>59696.22</v>
      </c>
      <c r="I696" t="s">
        <v>38</v>
      </c>
      <c r="J696" t="s">
        <v>18</v>
      </c>
      <c r="K696" t="s">
        <v>19</v>
      </c>
      <c r="L696">
        <v>15</v>
      </c>
      <c r="M696">
        <v>0.93</v>
      </c>
      <c r="N696" t="s">
        <v>33</v>
      </c>
    </row>
    <row r="697" spans="1:14" x14ac:dyDescent="0.25">
      <c r="A697">
        <v>696</v>
      </c>
      <c r="B697" t="s">
        <v>29</v>
      </c>
      <c r="C697">
        <v>2012</v>
      </c>
      <c r="D697">
        <v>2.4</v>
      </c>
      <c r="E697" t="s">
        <v>15</v>
      </c>
      <c r="F697">
        <v>111126</v>
      </c>
      <c r="G697" t="s">
        <v>22</v>
      </c>
      <c r="H697">
        <v>41576.46</v>
      </c>
      <c r="I697" t="s">
        <v>62</v>
      </c>
      <c r="J697" t="s">
        <v>32</v>
      </c>
      <c r="K697" t="s">
        <v>19</v>
      </c>
      <c r="L697">
        <v>14</v>
      </c>
      <c r="M697">
        <v>0.37</v>
      </c>
      <c r="N697" t="s">
        <v>33</v>
      </c>
    </row>
    <row r="698" spans="1:14" x14ac:dyDescent="0.25">
      <c r="A698">
        <v>697</v>
      </c>
      <c r="B698" t="s">
        <v>52</v>
      </c>
      <c r="C698">
        <v>2021</v>
      </c>
      <c r="D698">
        <v>3.5</v>
      </c>
      <c r="E698" t="s">
        <v>27</v>
      </c>
      <c r="F698">
        <v>264237</v>
      </c>
      <c r="G698" t="s">
        <v>16</v>
      </c>
      <c r="H698">
        <v>17022.849999999999</v>
      </c>
      <c r="I698" t="s">
        <v>61</v>
      </c>
      <c r="J698" t="s">
        <v>46</v>
      </c>
      <c r="K698" t="s">
        <v>26</v>
      </c>
      <c r="L698">
        <v>5</v>
      </c>
      <c r="M698">
        <v>0.06</v>
      </c>
      <c r="N698" t="s">
        <v>33</v>
      </c>
    </row>
    <row r="699" spans="1:14" x14ac:dyDescent="0.25">
      <c r="A699">
        <v>698</v>
      </c>
      <c r="B699" t="s">
        <v>21</v>
      </c>
      <c r="C699">
        <v>2010</v>
      </c>
      <c r="D699">
        <v>2.5</v>
      </c>
      <c r="E699" t="s">
        <v>15</v>
      </c>
      <c r="F699">
        <v>44498</v>
      </c>
      <c r="G699" t="s">
        <v>30</v>
      </c>
      <c r="H699">
        <v>41633.96</v>
      </c>
      <c r="I699" t="s">
        <v>47</v>
      </c>
      <c r="J699" t="s">
        <v>18</v>
      </c>
      <c r="K699" t="s">
        <v>50</v>
      </c>
      <c r="L699">
        <v>16</v>
      </c>
      <c r="M699">
        <v>0.94</v>
      </c>
      <c r="N699" t="s">
        <v>20</v>
      </c>
    </row>
    <row r="700" spans="1:14" x14ac:dyDescent="0.25">
      <c r="A700">
        <v>699</v>
      </c>
      <c r="B700" t="s">
        <v>21</v>
      </c>
      <c r="C700">
        <v>2004</v>
      </c>
      <c r="D700">
        <v>4</v>
      </c>
      <c r="E700" t="s">
        <v>27</v>
      </c>
      <c r="F700">
        <v>116251</v>
      </c>
      <c r="G700" t="s">
        <v>30</v>
      </c>
      <c r="H700">
        <v>55381.61</v>
      </c>
      <c r="I700" t="s">
        <v>42</v>
      </c>
      <c r="J700" t="s">
        <v>32</v>
      </c>
      <c r="K700" t="s">
        <v>19</v>
      </c>
      <c r="L700">
        <v>22</v>
      </c>
      <c r="M700">
        <v>0.48</v>
      </c>
      <c r="N700" t="s">
        <v>20</v>
      </c>
    </row>
    <row r="701" spans="1:14" x14ac:dyDescent="0.25">
      <c r="A701">
        <v>700</v>
      </c>
      <c r="B701" t="s">
        <v>24</v>
      </c>
      <c r="C701">
        <v>2000</v>
      </c>
      <c r="D701">
        <v>3.2</v>
      </c>
      <c r="E701" t="s">
        <v>27</v>
      </c>
      <c r="F701">
        <v>40985</v>
      </c>
      <c r="G701" t="s">
        <v>22</v>
      </c>
      <c r="H701">
        <v>61889.23</v>
      </c>
      <c r="I701" t="s">
        <v>34</v>
      </c>
      <c r="J701" t="s">
        <v>18</v>
      </c>
      <c r="K701" t="s">
        <v>50</v>
      </c>
      <c r="L701">
        <v>26</v>
      </c>
      <c r="M701">
        <v>1.51</v>
      </c>
      <c r="N701" t="s">
        <v>20</v>
      </c>
    </row>
    <row r="702" spans="1:14" x14ac:dyDescent="0.25">
      <c r="A702">
        <v>701</v>
      </c>
      <c r="B702" t="s">
        <v>52</v>
      </c>
      <c r="C702">
        <v>2023</v>
      </c>
      <c r="D702">
        <v>1.8</v>
      </c>
      <c r="E702" t="s">
        <v>27</v>
      </c>
      <c r="F702">
        <v>294153</v>
      </c>
      <c r="G702" t="s">
        <v>22</v>
      </c>
      <c r="H702">
        <v>93901.09</v>
      </c>
      <c r="I702" t="s">
        <v>56</v>
      </c>
      <c r="J702" t="s">
        <v>46</v>
      </c>
      <c r="K702" t="s">
        <v>26</v>
      </c>
      <c r="L702">
        <v>3</v>
      </c>
      <c r="M702">
        <v>0.32</v>
      </c>
      <c r="N702" t="s">
        <v>33</v>
      </c>
    </row>
    <row r="703" spans="1:14" x14ac:dyDescent="0.25">
      <c r="A703">
        <v>702</v>
      </c>
      <c r="B703" t="s">
        <v>29</v>
      </c>
      <c r="C703">
        <v>2002</v>
      </c>
      <c r="D703">
        <v>1.6</v>
      </c>
      <c r="E703" t="s">
        <v>27</v>
      </c>
      <c r="F703">
        <v>17718</v>
      </c>
      <c r="G703" t="s">
        <v>30</v>
      </c>
      <c r="H703">
        <v>78846.679999999993</v>
      </c>
      <c r="I703" t="s">
        <v>40</v>
      </c>
      <c r="J703" t="s">
        <v>46</v>
      </c>
      <c r="K703" t="s">
        <v>50</v>
      </c>
      <c r="L703">
        <v>24</v>
      </c>
      <c r="M703">
        <v>4.45</v>
      </c>
      <c r="N703" t="s">
        <v>33</v>
      </c>
    </row>
    <row r="704" spans="1:14" x14ac:dyDescent="0.25">
      <c r="A704">
        <v>703</v>
      </c>
      <c r="B704" t="s">
        <v>21</v>
      </c>
      <c r="C704">
        <v>2021</v>
      </c>
      <c r="D704">
        <v>3.7</v>
      </c>
      <c r="E704" t="s">
        <v>27</v>
      </c>
      <c r="F704">
        <v>278849</v>
      </c>
      <c r="G704" t="s">
        <v>16</v>
      </c>
      <c r="H704">
        <v>19439.29</v>
      </c>
      <c r="I704" t="s">
        <v>42</v>
      </c>
      <c r="J704" t="s">
        <v>41</v>
      </c>
      <c r="K704" t="s">
        <v>26</v>
      </c>
      <c r="L704">
        <v>5</v>
      </c>
      <c r="M704">
        <v>7.0000000000000007E-2</v>
      </c>
      <c r="N704" t="s">
        <v>20</v>
      </c>
    </row>
    <row r="705" spans="1:14" x14ac:dyDescent="0.25">
      <c r="A705">
        <v>704</v>
      </c>
      <c r="B705" t="s">
        <v>52</v>
      </c>
      <c r="C705">
        <v>2018</v>
      </c>
      <c r="D705">
        <v>5.5</v>
      </c>
      <c r="E705" t="s">
        <v>15</v>
      </c>
      <c r="F705">
        <v>62598</v>
      </c>
      <c r="G705" t="s">
        <v>22</v>
      </c>
      <c r="H705">
        <v>21547.31</v>
      </c>
      <c r="I705" t="s">
        <v>59</v>
      </c>
      <c r="J705" t="s">
        <v>18</v>
      </c>
      <c r="K705" t="s">
        <v>19</v>
      </c>
      <c r="L705">
        <v>8</v>
      </c>
      <c r="M705">
        <v>0.34</v>
      </c>
      <c r="N705" t="s">
        <v>33</v>
      </c>
    </row>
    <row r="706" spans="1:14" x14ac:dyDescent="0.25">
      <c r="A706">
        <v>705</v>
      </c>
      <c r="B706" t="s">
        <v>14</v>
      </c>
      <c r="C706">
        <v>2022</v>
      </c>
      <c r="D706">
        <v>2.7</v>
      </c>
      <c r="E706" t="s">
        <v>15</v>
      </c>
      <c r="F706">
        <v>274383</v>
      </c>
      <c r="G706" t="s">
        <v>30</v>
      </c>
      <c r="H706">
        <v>14547</v>
      </c>
      <c r="I706" t="s">
        <v>39</v>
      </c>
      <c r="J706" t="s">
        <v>18</v>
      </c>
      <c r="K706" t="s">
        <v>26</v>
      </c>
      <c r="L706">
        <v>4</v>
      </c>
      <c r="M706">
        <v>0.05</v>
      </c>
      <c r="N706" t="s">
        <v>20</v>
      </c>
    </row>
    <row r="707" spans="1:14" x14ac:dyDescent="0.25">
      <c r="A707">
        <v>706</v>
      </c>
      <c r="B707" t="s">
        <v>21</v>
      </c>
      <c r="C707">
        <v>2006</v>
      </c>
      <c r="D707">
        <v>4.7</v>
      </c>
      <c r="E707" t="s">
        <v>15</v>
      </c>
      <c r="F707">
        <v>46665</v>
      </c>
      <c r="G707" t="s">
        <v>30</v>
      </c>
      <c r="H707">
        <v>75127.259999999995</v>
      </c>
      <c r="I707" t="s">
        <v>60</v>
      </c>
      <c r="J707" t="s">
        <v>32</v>
      </c>
      <c r="K707" t="s">
        <v>50</v>
      </c>
      <c r="L707">
        <v>20</v>
      </c>
      <c r="M707">
        <v>1.61</v>
      </c>
      <c r="N707" t="s">
        <v>20</v>
      </c>
    </row>
    <row r="708" spans="1:14" x14ac:dyDescent="0.25">
      <c r="A708">
        <v>707</v>
      </c>
      <c r="B708" t="s">
        <v>43</v>
      </c>
      <c r="C708">
        <v>2011</v>
      </c>
      <c r="D708">
        <v>4.3</v>
      </c>
      <c r="E708" t="s">
        <v>27</v>
      </c>
      <c r="F708">
        <v>294418</v>
      </c>
      <c r="G708" t="s">
        <v>30</v>
      </c>
      <c r="H708">
        <v>72081.62</v>
      </c>
      <c r="I708" t="s">
        <v>48</v>
      </c>
      <c r="J708" t="s">
        <v>18</v>
      </c>
      <c r="K708" t="s">
        <v>26</v>
      </c>
      <c r="L708">
        <v>15</v>
      </c>
      <c r="M708">
        <v>0.24</v>
      </c>
      <c r="N708" t="s">
        <v>20</v>
      </c>
    </row>
    <row r="709" spans="1:14" x14ac:dyDescent="0.25">
      <c r="A709">
        <v>708</v>
      </c>
      <c r="B709" t="s">
        <v>14</v>
      </c>
      <c r="C709">
        <v>2014</v>
      </c>
      <c r="D709">
        <v>5.7</v>
      </c>
      <c r="E709" t="s">
        <v>15</v>
      </c>
      <c r="F709">
        <v>146075</v>
      </c>
      <c r="G709" t="s">
        <v>16</v>
      </c>
      <c r="H709">
        <v>98704.48</v>
      </c>
      <c r="I709" t="s">
        <v>39</v>
      </c>
      <c r="J709" t="s">
        <v>18</v>
      </c>
      <c r="K709" t="s">
        <v>19</v>
      </c>
      <c r="L709">
        <v>12</v>
      </c>
      <c r="M709">
        <v>0.68</v>
      </c>
      <c r="N709" t="s">
        <v>20</v>
      </c>
    </row>
    <row r="710" spans="1:14" x14ac:dyDescent="0.25">
      <c r="A710">
        <v>709</v>
      </c>
      <c r="B710" t="s">
        <v>21</v>
      </c>
      <c r="C710">
        <v>2004</v>
      </c>
      <c r="D710">
        <v>5.0999999999999996</v>
      </c>
      <c r="E710" t="s">
        <v>15</v>
      </c>
      <c r="F710">
        <v>161938</v>
      </c>
      <c r="G710" t="s">
        <v>22</v>
      </c>
      <c r="H710">
        <v>54592.22</v>
      </c>
      <c r="I710" t="s">
        <v>47</v>
      </c>
      <c r="J710" t="s">
        <v>46</v>
      </c>
      <c r="K710" t="s">
        <v>26</v>
      </c>
      <c r="L710">
        <v>22</v>
      </c>
      <c r="M710">
        <v>0.34</v>
      </c>
      <c r="N710" t="s">
        <v>20</v>
      </c>
    </row>
    <row r="711" spans="1:14" x14ac:dyDescent="0.25">
      <c r="A711">
        <v>710</v>
      </c>
      <c r="B711" t="s">
        <v>29</v>
      </c>
      <c r="C711">
        <v>2014</v>
      </c>
      <c r="D711">
        <v>3.8</v>
      </c>
      <c r="E711" t="s">
        <v>15</v>
      </c>
      <c r="F711">
        <v>153060</v>
      </c>
      <c r="G711" t="s">
        <v>22</v>
      </c>
      <c r="H711">
        <v>83509.42</v>
      </c>
      <c r="I711" t="s">
        <v>62</v>
      </c>
      <c r="J711" t="s">
        <v>46</v>
      </c>
      <c r="K711" t="s">
        <v>26</v>
      </c>
      <c r="L711">
        <v>12</v>
      </c>
      <c r="M711">
        <v>0.55000000000000004</v>
      </c>
      <c r="N711" t="s">
        <v>33</v>
      </c>
    </row>
    <row r="712" spans="1:14" x14ac:dyDescent="0.25">
      <c r="A712">
        <v>711</v>
      </c>
      <c r="B712" t="s">
        <v>36</v>
      </c>
      <c r="C712">
        <v>2007</v>
      </c>
      <c r="D712">
        <v>4.3</v>
      </c>
      <c r="E712" t="s">
        <v>15</v>
      </c>
      <c r="F712">
        <v>221516</v>
      </c>
      <c r="G712" t="s">
        <v>22</v>
      </c>
      <c r="H712">
        <v>59761.79</v>
      </c>
      <c r="I712" t="s">
        <v>51</v>
      </c>
      <c r="J712" t="s">
        <v>41</v>
      </c>
      <c r="K712" t="s">
        <v>26</v>
      </c>
      <c r="L712">
        <v>19</v>
      </c>
      <c r="M712">
        <v>0.27</v>
      </c>
      <c r="N712" t="s">
        <v>33</v>
      </c>
    </row>
    <row r="713" spans="1:14" x14ac:dyDescent="0.25">
      <c r="A713">
        <v>712</v>
      </c>
      <c r="B713" t="s">
        <v>14</v>
      </c>
      <c r="C713">
        <v>2009</v>
      </c>
      <c r="D713">
        <v>5.5</v>
      </c>
      <c r="E713" t="s">
        <v>27</v>
      </c>
      <c r="F713">
        <v>136746</v>
      </c>
      <c r="G713" t="s">
        <v>16</v>
      </c>
      <c r="H713">
        <v>88038.24</v>
      </c>
      <c r="I713" t="s">
        <v>28</v>
      </c>
      <c r="J713" t="s">
        <v>18</v>
      </c>
      <c r="K713" t="s">
        <v>19</v>
      </c>
      <c r="L713">
        <v>17</v>
      </c>
      <c r="M713">
        <v>0.64</v>
      </c>
      <c r="N713" t="s">
        <v>20</v>
      </c>
    </row>
    <row r="714" spans="1:14" x14ac:dyDescent="0.25">
      <c r="A714">
        <v>713</v>
      </c>
      <c r="B714" t="s">
        <v>24</v>
      </c>
      <c r="C714">
        <v>2015</v>
      </c>
      <c r="D714">
        <v>3</v>
      </c>
      <c r="E714" t="s">
        <v>15</v>
      </c>
      <c r="F714">
        <v>201610</v>
      </c>
      <c r="G714" t="s">
        <v>22</v>
      </c>
      <c r="H714">
        <v>73497</v>
      </c>
      <c r="I714" t="s">
        <v>25</v>
      </c>
      <c r="J714" t="s">
        <v>18</v>
      </c>
      <c r="K714" t="s">
        <v>26</v>
      </c>
      <c r="L714">
        <v>11</v>
      </c>
      <c r="M714">
        <v>0.36</v>
      </c>
      <c r="N714" t="s">
        <v>20</v>
      </c>
    </row>
    <row r="715" spans="1:14" x14ac:dyDescent="0.25">
      <c r="A715">
        <v>714</v>
      </c>
      <c r="B715" t="s">
        <v>24</v>
      </c>
      <c r="C715">
        <v>2007</v>
      </c>
      <c r="D715">
        <v>2.6</v>
      </c>
      <c r="E715" t="s">
        <v>27</v>
      </c>
      <c r="F715">
        <v>66446</v>
      </c>
      <c r="G715" t="s">
        <v>22</v>
      </c>
      <c r="H715">
        <v>66073.98</v>
      </c>
      <c r="I715" t="s">
        <v>45</v>
      </c>
      <c r="J715" t="s">
        <v>41</v>
      </c>
      <c r="K715" t="s">
        <v>19</v>
      </c>
      <c r="L715">
        <v>19</v>
      </c>
      <c r="M715">
        <v>0.99</v>
      </c>
      <c r="N715" t="s">
        <v>20</v>
      </c>
    </row>
    <row r="716" spans="1:14" x14ac:dyDescent="0.25">
      <c r="A716">
        <v>715</v>
      </c>
      <c r="B716" t="s">
        <v>29</v>
      </c>
      <c r="C716">
        <v>2000</v>
      </c>
      <c r="D716">
        <v>1.1000000000000001</v>
      </c>
      <c r="E716" t="s">
        <v>27</v>
      </c>
      <c r="F716">
        <v>29072</v>
      </c>
      <c r="G716" t="s">
        <v>22</v>
      </c>
      <c r="H716">
        <v>58686.65</v>
      </c>
      <c r="I716" t="s">
        <v>31</v>
      </c>
      <c r="J716" t="s">
        <v>32</v>
      </c>
      <c r="K716" t="s">
        <v>50</v>
      </c>
      <c r="L716">
        <v>26</v>
      </c>
      <c r="M716">
        <v>2.02</v>
      </c>
      <c r="N716" t="s">
        <v>33</v>
      </c>
    </row>
    <row r="717" spans="1:14" x14ac:dyDescent="0.25">
      <c r="A717">
        <v>716</v>
      </c>
      <c r="B717" t="s">
        <v>21</v>
      </c>
      <c r="C717">
        <v>2011</v>
      </c>
      <c r="D717">
        <v>5.0999999999999996</v>
      </c>
      <c r="E717" t="s">
        <v>15</v>
      </c>
      <c r="F717">
        <v>33717</v>
      </c>
      <c r="G717" t="s">
        <v>22</v>
      </c>
      <c r="H717">
        <v>73682.2</v>
      </c>
      <c r="I717" t="s">
        <v>60</v>
      </c>
      <c r="J717" t="s">
        <v>46</v>
      </c>
      <c r="K717" t="s">
        <v>50</v>
      </c>
      <c r="L717">
        <v>15</v>
      </c>
      <c r="M717">
        <v>2.19</v>
      </c>
      <c r="N717" t="s">
        <v>20</v>
      </c>
    </row>
    <row r="718" spans="1:14" x14ac:dyDescent="0.25">
      <c r="A718">
        <v>717</v>
      </c>
      <c r="B718" t="s">
        <v>52</v>
      </c>
      <c r="C718">
        <v>2004</v>
      </c>
      <c r="D718">
        <v>5</v>
      </c>
      <c r="E718" t="s">
        <v>27</v>
      </c>
      <c r="F718">
        <v>218417</v>
      </c>
      <c r="G718" t="s">
        <v>16</v>
      </c>
      <c r="H718">
        <v>44867.12</v>
      </c>
      <c r="I718" t="s">
        <v>59</v>
      </c>
      <c r="J718" t="s">
        <v>41</v>
      </c>
      <c r="K718" t="s">
        <v>26</v>
      </c>
      <c r="L718">
        <v>22</v>
      </c>
      <c r="M718">
        <v>0.21</v>
      </c>
      <c r="N718" t="s">
        <v>33</v>
      </c>
    </row>
    <row r="719" spans="1:14" x14ac:dyDescent="0.25">
      <c r="A719">
        <v>718</v>
      </c>
      <c r="B719" t="s">
        <v>21</v>
      </c>
      <c r="C719">
        <v>2002</v>
      </c>
      <c r="D719">
        <v>1.5</v>
      </c>
      <c r="E719" t="s">
        <v>27</v>
      </c>
      <c r="F719">
        <v>157723</v>
      </c>
      <c r="G719" t="s">
        <v>30</v>
      </c>
      <c r="H719">
        <v>14174.78</v>
      </c>
      <c r="I719" t="s">
        <v>42</v>
      </c>
      <c r="J719" t="s">
        <v>41</v>
      </c>
      <c r="K719" t="s">
        <v>26</v>
      </c>
      <c r="L719">
        <v>24</v>
      </c>
      <c r="M719">
        <v>0.09</v>
      </c>
      <c r="N719" t="s">
        <v>20</v>
      </c>
    </row>
    <row r="720" spans="1:14" x14ac:dyDescent="0.25">
      <c r="A720">
        <v>719</v>
      </c>
      <c r="B720" t="s">
        <v>29</v>
      </c>
      <c r="C720">
        <v>2000</v>
      </c>
      <c r="D720">
        <v>3.9</v>
      </c>
      <c r="E720" t="s">
        <v>27</v>
      </c>
      <c r="F720">
        <v>109525</v>
      </c>
      <c r="G720" t="s">
        <v>30</v>
      </c>
      <c r="H720">
        <v>8798.68</v>
      </c>
      <c r="I720" t="s">
        <v>62</v>
      </c>
      <c r="J720" t="s">
        <v>18</v>
      </c>
      <c r="K720" t="s">
        <v>19</v>
      </c>
      <c r="L720">
        <v>26</v>
      </c>
      <c r="M720">
        <v>0.08</v>
      </c>
      <c r="N720" t="s">
        <v>33</v>
      </c>
    </row>
    <row r="721" spans="1:14" x14ac:dyDescent="0.25">
      <c r="A721">
        <v>720</v>
      </c>
      <c r="B721" t="s">
        <v>24</v>
      </c>
      <c r="C721">
        <v>2003</v>
      </c>
      <c r="D721">
        <v>3.3</v>
      </c>
      <c r="E721" t="s">
        <v>27</v>
      </c>
      <c r="F721">
        <v>213092</v>
      </c>
      <c r="G721" t="s">
        <v>22</v>
      </c>
      <c r="H721">
        <v>50507.25</v>
      </c>
      <c r="I721" t="s">
        <v>34</v>
      </c>
      <c r="J721" t="s">
        <v>46</v>
      </c>
      <c r="K721" t="s">
        <v>26</v>
      </c>
      <c r="L721">
        <v>23</v>
      </c>
      <c r="M721">
        <v>0.24</v>
      </c>
      <c r="N721" t="s">
        <v>20</v>
      </c>
    </row>
    <row r="722" spans="1:14" x14ac:dyDescent="0.25">
      <c r="A722">
        <v>721</v>
      </c>
      <c r="B722" t="s">
        <v>21</v>
      </c>
      <c r="C722">
        <v>2007</v>
      </c>
      <c r="D722">
        <v>1.6</v>
      </c>
      <c r="E722" t="s">
        <v>27</v>
      </c>
      <c r="F722">
        <v>4646</v>
      </c>
      <c r="G722" t="s">
        <v>22</v>
      </c>
      <c r="H722">
        <v>61932.7</v>
      </c>
      <c r="I722" t="s">
        <v>60</v>
      </c>
      <c r="J722" t="s">
        <v>18</v>
      </c>
      <c r="K722" t="s">
        <v>50</v>
      </c>
      <c r="L722">
        <v>19</v>
      </c>
      <c r="M722">
        <v>13.33</v>
      </c>
      <c r="N722" t="s">
        <v>20</v>
      </c>
    </row>
    <row r="723" spans="1:14" x14ac:dyDescent="0.25">
      <c r="A723">
        <v>722</v>
      </c>
      <c r="B723" t="s">
        <v>24</v>
      </c>
      <c r="C723">
        <v>2002</v>
      </c>
      <c r="D723">
        <v>5.9</v>
      </c>
      <c r="E723" t="s">
        <v>27</v>
      </c>
      <c r="F723">
        <v>175403</v>
      </c>
      <c r="G723" t="s">
        <v>22</v>
      </c>
      <c r="H723">
        <v>12490.66</v>
      </c>
      <c r="I723" t="s">
        <v>45</v>
      </c>
      <c r="J723" t="s">
        <v>41</v>
      </c>
      <c r="K723" t="s">
        <v>26</v>
      </c>
      <c r="L723">
        <v>24</v>
      </c>
      <c r="M723">
        <v>7.0000000000000007E-2</v>
      </c>
      <c r="N723" t="s">
        <v>20</v>
      </c>
    </row>
    <row r="724" spans="1:14" x14ac:dyDescent="0.25">
      <c r="A724">
        <v>723</v>
      </c>
      <c r="B724" t="s">
        <v>14</v>
      </c>
      <c r="C724">
        <v>2009</v>
      </c>
      <c r="D724">
        <v>2.1</v>
      </c>
      <c r="E724" t="s">
        <v>27</v>
      </c>
      <c r="F724">
        <v>284329</v>
      </c>
      <c r="G724" t="s">
        <v>16</v>
      </c>
      <c r="H724">
        <v>32255.84</v>
      </c>
      <c r="I724" t="s">
        <v>58</v>
      </c>
      <c r="J724" t="s">
        <v>18</v>
      </c>
      <c r="K724" t="s">
        <v>26</v>
      </c>
      <c r="L724">
        <v>17</v>
      </c>
      <c r="M724">
        <v>0.11</v>
      </c>
      <c r="N724" t="s">
        <v>20</v>
      </c>
    </row>
    <row r="725" spans="1:14" x14ac:dyDescent="0.25">
      <c r="A725">
        <v>724</v>
      </c>
      <c r="B725" t="s">
        <v>52</v>
      </c>
      <c r="C725">
        <v>2001</v>
      </c>
      <c r="D725">
        <v>1.3</v>
      </c>
      <c r="E725" t="s">
        <v>15</v>
      </c>
      <c r="F725">
        <v>229728</v>
      </c>
      <c r="G725" t="s">
        <v>22</v>
      </c>
      <c r="H725">
        <v>35593.06</v>
      </c>
      <c r="I725" t="s">
        <v>56</v>
      </c>
      <c r="J725" t="s">
        <v>46</v>
      </c>
      <c r="K725" t="s">
        <v>26</v>
      </c>
      <c r="L725">
        <v>25</v>
      </c>
      <c r="M725">
        <v>0.15</v>
      </c>
      <c r="N725" t="s">
        <v>33</v>
      </c>
    </row>
    <row r="726" spans="1:14" x14ac:dyDescent="0.25">
      <c r="A726">
        <v>725</v>
      </c>
      <c r="B726" t="s">
        <v>14</v>
      </c>
      <c r="C726">
        <v>2010</v>
      </c>
      <c r="D726">
        <v>4</v>
      </c>
      <c r="E726" t="s">
        <v>15</v>
      </c>
      <c r="F726">
        <v>52107</v>
      </c>
      <c r="G726" t="s">
        <v>16</v>
      </c>
      <c r="H726">
        <v>58465.58</v>
      </c>
      <c r="I726" t="s">
        <v>28</v>
      </c>
      <c r="J726" t="s">
        <v>18</v>
      </c>
      <c r="K726" t="s">
        <v>19</v>
      </c>
      <c r="L726">
        <v>16</v>
      </c>
      <c r="M726">
        <v>1.1200000000000001</v>
      </c>
      <c r="N726" t="s">
        <v>20</v>
      </c>
    </row>
    <row r="727" spans="1:14" x14ac:dyDescent="0.25">
      <c r="A727">
        <v>726</v>
      </c>
      <c r="B727" t="s">
        <v>24</v>
      </c>
      <c r="C727">
        <v>2009</v>
      </c>
      <c r="D727">
        <v>4.7</v>
      </c>
      <c r="E727" t="s">
        <v>27</v>
      </c>
      <c r="F727">
        <v>244865</v>
      </c>
      <c r="G727" t="s">
        <v>22</v>
      </c>
      <c r="H727">
        <v>31455.83</v>
      </c>
      <c r="I727" t="s">
        <v>35</v>
      </c>
      <c r="J727" t="s">
        <v>41</v>
      </c>
      <c r="K727" t="s">
        <v>26</v>
      </c>
      <c r="L727">
        <v>17</v>
      </c>
      <c r="M727">
        <v>0.13</v>
      </c>
      <c r="N727" t="s">
        <v>20</v>
      </c>
    </row>
    <row r="728" spans="1:14" x14ac:dyDescent="0.25">
      <c r="A728">
        <v>727</v>
      </c>
      <c r="B728" t="s">
        <v>24</v>
      </c>
      <c r="C728">
        <v>2020</v>
      </c>
      <c r="D728">
        <v>1.2</v>
      </c>
      <c r="E728" t="s">
        <v>27</v>
      </c>
      <c r="F728">
        <v>279707</v>
      </c>
      <c r="G728" t="s">
        <v>22</v>
      </c>
      <c r="H728">
        <v>14086.62</v>
      </c>
      <c r="I728" t="s">
        <v>45</v>
      </c>
      <c r="J728" t="s">
        <v>32</v>
      </c>
      <c r="K728" t="s">
        <v>26</v>
      </c>
      <c r="L728">
        <v>6</v>
      </c>
      <c r="M728">
        <v>0.05</v>
      </c>
      <c r="N728" t="s">
        <v>20</v>
      </c>
    </row>
    <row r="729" spans="1:14" x14ac:dyDescent="0.25">
      <c r="A729">
        <v>728</v>
      </c>
      <c r="B729" t="s">
        <v>36</v>
      </c>
      <c r="C729">
        <v>2013</v>
      </c>
      <c r="D729">
        <v>4.3</v>
      </c>
      <c r="E729" t="s">
        <v>15</v>
      </c>
      <c r="F729">
        <v>70729</v>
      </c>
      <c r="G729" t="s">
        <v>30</v>
      </c>
      <c r="H729">
        <v>20661.39</v>
      </c>
      <c r="I729" t="s">
        <v>54</v>
      </c>
      <c r="J729" t="s">
        <v>41</v>
      </c>
      <c r="K729" t="s">
        <v>19</v>
      </c>
      <c r="L729">
        <v>13</v>
      </c>
      <c r="M729">
        <v>0.28999999999999998</v>
      </c>
      <c r="N729" t="s">
        <v>33</v>
      </c>
    </row>
    <row r="730" spans="1:14" x14ac:dyDescent="0.25">
      <c r="A730">
        <v>729</v>
      </c>
      <c r="B730" t="s">
        <v>36</v>
      </c>
      <c r="C730">
        <v>2006</v>
      </c>
      <c r="D730">
        <v>3.7</v>
      </c>
      <c r="E730" t="s">
        <v>15</v>
      </c>
      <c r="F730">
        <v>277845</v>
      </c>
      <c r="G730" t="s">
        <v>22</v>
      </c>
      <c r="H730">
        <v>21525.040000000001</v>
      </c>
      <c r="I730" t="s">
        <v>37</v>
      </c>
      <c r="J730" t="s">
        <v>41</v>
      </c>
      <c r="K730" t="s">
        <v>26</v>
      </c>
      <c r="L730">
        <v>20</v>
      </c>
      <c r="M730">
        <v>0.08</v>
      </c>
      <c r="N730" t="s">
        <v>33</v>
      </c>
    </row>
    <row r="731" spans="1:14" x14ac:dyDescent="0.25">
      <c r="A731">
        <v>730</v>
      </c>
      <c r="B731" t="s">
        <v>14</v>
      </c>
      <c r="C731">
        <v>2001</v>
      </c>
      <c r="D731">
        <v>1.5</v>
      </c>
      <c r="E731" t="s">
        <v>15</v>
      </c>
      <c r="F731">
        <v>200144</v>
      </c>
      <c r="G731" t="s">
        <v>16</v>
      </c>
      <c r="H731">
        <v>85056.02</v>
      </c>
      <c r="I731" t="s">
        <v>58</v>
      </c>
      <c r="J731" t="s">
        <v>18</v>
      </c>
      <c r="K731" t="s">
        <v>26</v>
      </c>
      <c r="L731">
        <v>25</v>
      </c>
      <c r="M731">
        <v>0.42</v>
      </c>
      <c r="N731" t="s">
        <v>20</v>
      </c>
    </row>
    <row r="732" spans="1:14" x14ac:dyDescent="0.25">
      <c r="A732">
        <v>731</v>
      </c>
      <c r="B732" t="s">
        <v>43</v>
      </c>
      <c r="C732">
        <v>2008</v>
      </c>
      <c r="D732">
        <v>1.9</v>
      </c>
      <c r="E732" t="s">
        <v>15</v>
      </c>
      <c r="F732">
        <v>215494</v>
      </c>
      <c r="G732" t="s">
        <v>30</v>
      </c>
      <c r="H732">
        <v>32010.37</v>
      </c>
      <c r="I732" t="s">
        <v>55</v>
      </c>
      <c r="J732" t="s">
        <v>46</v>
      </c>
      <c r="K732" t="s">
        <v>26</v>
      </c>
      <c r="L732">
        <v>18</v>
      </c>
      <c r="M732">
        <v>0.15</v>
      </c>
      <c r="N732" t="s">
        <v>20</v>
      </c>
    </row>
    <row r="733" spans="1:14" x14ac:dyDescent="0.25">
      <c r="A733">
        <v>732</v>
      </c>
      <c r="B733" t="s">
        <v>14</v>
      </c>
      <c r="C733">
        <v>2015</v>
      </c>
      <c r="D733">
        <v>3.8</v>
      </c>
      <c r="E733" t="s">
        <v>27</v>
      </c>
      <c r="F733">
        <v>252615</v>
      </c>
      <c r="G733" t="s">
        <v>16</v>
      </c>
      <c r="H733">
        <v>72895.710000000006</v>
      </c>
      <c r="I733" t="s">
        <v>17</v>
      </c>
      <c r="J733" t="s">
        <v>18</v>
      </c>
      <c r="K733" t="s">
        <v>26</v>
      </c>
      <c r="L733">
        <v>11</v>
      </c>
      <c r="M733">
        <v>0.28999999999999998</v>
      </c>
      <c r="N733" t="s">
        <v>20</v>
      </c>
    </row>
    <row r="734" spans="1:14" x14ac:dyDescent="0.25">
      <c r="A734">
        <v>733</v>
      </c>
      <c r="B734" t="s">
        <v>36</v>
      </c>
      <c r="C734">
        <v>2012</v>
      </c>
      <c r="D734">
        <v>2.5</v>
      </c>
      <c r="E734" t="s">
        <v>27</v>
      </c>
      <c r="F734">
        <v>128331</v>
      </c>
      <c r="G734" t="s">
        <v>30</v>
      </c>
      <c r="H734">
        <v>58944.68</v>
      </c>
      <c r="I734" t="s">
        <v>57</v>
      </c>
      <c r="J734" t="s">
        <v>18</v>
      </c>
      <c r="K734" t="s">
        <v>19</v>
      </c>
      <c r="L734">
        <v>14</v>
      </c>
      <c r="M734">
        <v>0.46</v>
      </c>
      <c r="N734" t="s">
        <v>33</v>
      </c>
    </row>
    <row r="735" spans="1:14" x14ac:dyDescent="0.25">
      <c r="A735">
        <v>734</v>
      </c>
      <c r="B735" t="s">
        <v>24</v>
      </c>
      <c r="C735">
        <v>2008</v>
      </c>
      <c r="D735">
        <v>5.7</v>
      </c>
      <c r="E735" t="s">
        <v>15</v>
      </c>
      <c r="F735">
        <v>160482</v>
      </c>
      <c r="G735" t="s">
        <v>16</v>
      </c>
      <c r="H735">
        <v>97818.68</v>
      </c>
      <c r="I735" t="s">
        <v>25</v>
      </c>
      <c r="J735" t="s">
        <v>32</v>
      </c>
      <c r="K735" t="s">
        <v>26</v>
      </c>
      <c r="L735">
        <v>18</v>
      </c>
      <c r="M735">
        <v>0.61</v>
      </c>
      <c r="N735" t="s">
        <v>20</v>
      </c>
    </row>
    <row r="736" spans="1:14" x14ac:dyDescent="0.25">
      <c r="A736">
        <v>735</v>
      </c>
      <c r="B736" t="s">
        <v>29</v>
      </c>
      <c r="C736">
        <v>2019</v>
      </c>
      <c r="D736">
        <v>5.0999999999999996</v>
      </c>
      <c r="E736" t="s">
        <v>15</v>
      </c>
      <c r="F736">
        <v>99280</v>
      </c>
      <c r="G736" t="s">
        <v>30</v>
      </c>
      <c r="H736">
        <v>30918.15</v>
      </c>
      <c r="I736" t="s">
        <v>40</v>
      </c>
      <c r="J736" t="s">
        <v>46</v>
      </c>
      <c r="K736" t="s">
        <v>19</v>
      </c>
      <c r="L736">
        <v>7</v>
      </c>
      <c r="M736">
        <v>0.31</v>
      </c>
      <c r="N736" t="s">
        <v>33</v>
      </c>
    </row>
    <row r="737" spans="1:14" x14ac:dyDescent="0.25">
      <c r="A737">
        <v>736</v>
      </c>
      <c r="B737" t="s">
        <v>14</v>
      </c>
      <c r="C737">
        <v>2003</v>
      </c>
      <c r="D737">
        <v>5.9</v>
      </c>
      <c r="E737" t="s">
        <v>15</v>
      </c>
      <c r="F737">
        <v>189787</v>
      </c>
      <c r="G737" t="s">
        <v>16</v>
      </c>
      <c r="H737">
        <v>20045.439999999999</v>
      </c>
      <c r="I737" t="s">
        <v>58</v>
      </c>
      <c r="J737" t="s">
        <v>18</v>
      </c>
      <c r="K737" t="s">
        <v>26</v>
      </c>
      <c r="L737">
        <v>23</v>
      </c>
      <c r="M737">
        <v>0.11</v>
      </c>
      <c r="N737" t="s">
        <v>20</v>
      </c>
    </row>
    <row r="738" spans="1:14" x14ac:dyDescent="0.25">
      <c r="A738">
        <v>737</v>
      </c>
      <c r="B738" t="s">
        <v>24</v>
      </c>
      <c r="C738">
        <v>2021</v>
      </c>
      <c r="D738">
        <v>2.2999999999999998</v>
      </c>
      <c r="E738" t="s">
        <v>15</v>
      </c>
      <c r="F738">
        <v>38665</v>
      </c>
      <c r="G738" t="s">
        <v>16</v>
      </c>
      <c r="H738">
        <v>9943.59</v>
      </c>
      <c r="I738" t="s">
        <v>45</v>
      </c>
      <c r="J738" t="s">
        <v>18</v>
      </c>
      <c r="K738" t="s">
        <v>50</v>
      </c>
      <c r="L738">
        <v>5</v>
      </c>
      <c r="M738">
        <v>0.26</v>
      </c>
      <c r="N738" t="s">
        <v>20</v>
      </c>
    </row>
    <row r="739" spans="1:14" x14ac:dyDescent="0.25">
      <c r="A739">
        <v>738</v>
      </c>
      <c r="B739" t="s">
        <v>29</v>
      </c>
      <c r="C739">
        <v>2009</v>
      </c>
      <c r="D739">
        <v>5.8</v>
      </c>
      <c r="E739" t="s">
        <v>27</v>
      </c>
      <c r="F739">
        <v>278101</v>
      </c>
      <c r="G739" t="s">
        <v>22</v>
      </c>
      <c r="H739">
        <v>27891.17</v>
      </c>
      <c r="I739" t="s">
        <v>38</v>
      </c>
      <c r="J739" t="s">
        <v>32</v>
      </c>
      <c r="K739" t="s">
        <v>26</v>
      </c>
      <c r="L739">
        <v>17</v>
      </c>
      <c r="M739">
        <v>0.1</v>
      </c>
      <c r="N739" t="s">
        <v>33</v>
      </c>
    </row>
    <row r="740" spans="1:14" x14ac:dyDescent="0.25">
      <c r="A740">
        <v>739</v>
      </c>
      <c r="B740" t="s">
        <v>29</v>
      </c>
      <c r="C740">
        <v>2021</v>
      </c>
      <c r="D740">
        <v>3.2</v>
      </c>
      <c r="E740" t="s">
        <v>15</v>
      </c>
      <c r="F740">
        <v>259285</v>
      </c>
      <c r="G740" t="s">
        <v>30</v>
      </c>
      <c r="H740">
        <v>69986.73</v>
      </c>
      <c r="I740" t="s">
        <v>62</v>
      </c>
      <c r="J740" t="s">
        <v>32</v>
      </c>
      <c r="K740" t="s">
        <v>26</v>
      </c>
      <c r="L740">
        <v>5</v>
      </c>
      <c r="M740">
        <v>0.27</v>
      </c>
      <c r="N740" t="s">
        <v>33</v>
      </c>
    </row>
    <row r="741" spans="1:14" x14ac:dyDescent="0.25">
      <c r="A741">
        <v>740</v>
      </c>
      <c r="B741" t="s">
        <v>36</v>
      </c>
      <c r="C741">
        <v>2011</v>
      </c>
      <c r="D741">
        <v>2.7</v>
      </c>
      <c r="E741" t="s">
        <v>15</v>
      </c>
      <c r="F741">
        <v>163947</v>
      </c>
      <c r="G741" t="s">
        <v>30</v>
      </c>
      <c r="H741">
        <v>13099.53</v>
      </c>
      <c r="I741" t="s">
        <v>51</v>
      </c>
      <c r="J741" t="s">
        <v>41</v>
      </c>
      <c r="K741" t="s">
        <v>26</v>
      </c>
      <c r="L741">
        <v>15</v>
      </c>
      <c r="M741">
        <v>0.08</v>
      </c>
      <c r="N741" t="s">
        <v>33</v>
      </c>
    </row>
    <row r="742" spans="1:14" x14ac:dyDescent="0.25">
      <c r="A742">
        <v>741</v>
      </c>
      <c r="B742" t="s">
        <v>14</v>
      </c>
      <c r="C742">
        <v>2016</v>
      </c>
      <c r="D742">
        <v>1.3</v>
      </c>
      <c r="E742" t="s">
        <v>15</v>
      </c>
      <c r="F742">
        <v>113828</v>
      </c>
      <c r="G742" t="s">
        <v>22</v>
      </c>
      <c r="H742">
        <v>28246.68</v>
      </c>
      <c r="I742" t="s">
        <v>39</v>
      </c>
      <c r="J742" t="s">
        <v>18</v>
      </c>
      <c r="K742" t="s">
        <v>19</v>
      </c>
      <c r="L742">
        <v>10</v>
      </c>
      <c r="M742">
        <v>0.25</v>
      </c>
      <c r="N742" t="s">
        <v>20</v>
      </c>
    </row>
    <row r="743" spans="1:14" x14ac:dyDescent="0.25">
      <c r="A743">
        <v>742</v>
      </c>
      <c r="B743" t="s">
        <v>21</v>
      </c>
      <c r="C743">
        <v>2013</v>
      </c>
      <c r="D743">
        <v>1.3</v>
      </c>
      <c r="E743" t="s">
        <v>27</v>
      </c>
      <c r="F743">
        <v>132698</v>
      </c>
      <c r="G743" t="s">
        <v>16</v>
      </c>
      <c r="H743">
        <v>86254.29</v>
      </c>
      <c r="I743" t="s">
        <v>60</v>
      </c>
      <c r="J743" t="s">
        <v>46</v>
      </c>
      <c r="K743" t="s">
        <v>19</v>
      </c>
      <c r="L743">
        <v>13</v>
      </c>
      <c r="M743">
        <v>0.65</v>
      </c>
      <c r="N743" t="s">
        <v>20</v>
      </c>
    </row>
    <row r="744" spans="1:14" x14ac:dyDescent="0.25">
      <c r="A744">
        <v>743</v>
      </c>
      <c r="B744" t="s">
        <v>52</v>
      </c>
      <c r="C744">
        <v>2013</v>
      </c>
      <c r="D744">
        <v>4.5</v>
      </c>
      <c r="E744" t="s">
        <v>27</v>
      </c>
      <c r="F744">
        <v>90815</v>
      </c>
      <c r="G744" t="s">
        <v>16</v>
      </c>
      <c r="H744">
        <v>60380.53</v>
      </c>
      <c r="I744" t="s">
        <v>61</v>
      </c>
      <c r="J744" t="s">
        <v>32</v>
      </c>
      <c r="K744" t="s">
        <v>19</v>
      </c>
      <c r="L744">
        <v>13</v>
      </c>
      <c r="M744">
        <v>0.66</v>
      </c>
      <c r="N744" t="s">
        <v>33</v>
      </c>
    </row>
    <row r="745" spans="1:14" x14ac:dyDescent="0.25">
      <c r="A745">
        <v>744</v>
      </c>
      <c r="B745" t="s">
        <v>36</v>
      </c>
      <c r="C745">
        <v>2001</v>
      </c>
      <c r="D745">
        <v>3.3</v>
      </c>
      <c r="E745" t="s">
        <v>27</v>
      </c>
      <c r="F745">
        <v>194894</v>
      </c>
      <c r="G745" t="s">
        <v>30</v>
      </c>
      <c r="H745">
        <v>11604.55</v>
      </c>
      <c r="I745" t="s">
        <v>57</v>
      </c>
      <c r="J745" t="s">
        <v>18</v>
      </c>
      <c r="K745" t="s">
        <v>26</v>
      </c>
      <c r="L745">
        <v>25</v>
      </c>
      <c r="M745">
        <v>0.06</v>
      </c>
      <c r="N745" t="s">
        <v>33</v>
      </c>
    </row>
    <row r="746" spans="1:14" x14ac:dyDescent="0.25">
      <c r="A746">
        <v>745</v>
      </c>
      <c r="B746" t="s">
        <v>36</v>
      </c>
      <c r="C746">
        <v>2020</v>
      </c>
      <c r="D746">
        <v>2.1</v>
      </c>
      <c r="E746" t="s">
        <v>15</v>
      </c>
      <c r="F746">
        <v>203485</v>
      </c>
      <c r="G746" t="s">
        <v>16</v>
      </c>
      <c r="H746">
        <v>9529.9</v>
      </c>
      <c r="I746" t="s">
        <v>37</v>
      </c>
      <c r="J746" t="s">
        <v>46</v>
      </c>
      <c r="K746" t="s">
        <v>26</v>
      </c>
      <c r="L746">
        <v>6</v>
      </c>
      <c r="M746">
        <v>0.05</v>
      </c>
      <c r="N746" t="s">
        <v>33</v>
      </c>
    </row>
    <row r="747" spans="1:14" x14ac:dyDescent="0.25">
      <c r="A747">
        <v>746</v>
      </c>
      <c r="B747" t="s">
        <v>21</v>
      </c>
      <c r="C747">
        <v>2019</v>
      </c>
      <c r="D747">
        <v>4.0999999999999996</v>
      </c>
      <c r="E747" t="s">
        <v>15</v>
      </c>
      <c r="F747">
        <v>164714</v>
      </c>
      <c r="G747" t="s">
        <v>30</v>
      </c>
      <c r="H747">
        <v>10806.67</v>
      </c>
      <c r="I747" t="s">
        <v>47</v>
      </c>
      <c r="J747" t="s">
        <v>18</v>
      </c>
      <c r="K747" t="s">
        <v>26</v>
      </c>
      <c r="L747">
        <v>7</v>
      </c>
      <c r="M747">
        <v>7.0000000000000007E-2</v>
      </c>
      <c r="N747" t="s">
        <v>20</v>
      </c>
    </row>
    <row r="748" spans="1:14" x14ac:dyDescent="0.25">
      <c r="A748">
        <v>747</v>
      </c>
      <c r="B748" t="s">
        <v>52</v>
      </c>
      <c r="C748">
        <v>2010</v>
      </c>
      <c r="D748">
        <v>2.2999999999999998</v>
      </c>
      <c r="E748" t="s">
        <v>15</v>
      </c>
      <c r="F748">
        <v>32356</v>
      </c>
      <c r="G748" t="s">
        <v>30</v>
      </c>
      <c r="H748">
        <v>94478.13</v>
      </c>
      <c r="I748" t="s">
        <v>59</v>
      </c>
      <c r="J748" t="s">
        <v>32</v>
      </c>
      <c r="K748" t="s">
        <v>50</v>
      </c>
      <c r="L748">
        <v>16</v>
      </c>
      <c r="M748">
        <v>2.92</v>
      </c>
      <c r="N748" t="s">
        <v>33</v>
      </c>
    </row>
    <row r="749" spans="1:14" x14ac:dyDescent="0.25">
      <c r="A749">
        <v>748</v>
      </c>
      <c r="B749" t="s">
        <v>24</v>
      </c>
      <c r="C749">
        <v>2015</v>
      </c>
      <c r="D749">
        <v>3.9</v>
      </c>
      <c r="E749" t="s">
        <v>27</v>
      </c>
      <c r="F749">
        <v>265953</v>
      </c>
      <c r="G749" t="s">
        <v>16</v>
      </c>
      <c r="H749">
        <v>85737.79</v>
      </c>
      <c r="I749" t="s">
        <v>35</v>
      </c>
      <c r="J749" t="s">
        <v>41</v>
      </c>
      <c r="K749" t="s">
        <v>26</v>
      </c>
      <c r="L749">
        <v>11</v>
      </c>
      <c r="M749">
        <v>0.32</v>
      </c>
      <c r="N749" t="s">
        <v>20</v>
      </c>
    </row>
    <row r="750" spans="1:14" x14ac:dyDescent="0.25">
      <c r="A750">
        <v>749</v>
      </c>
      <c r="B750" t="s">
        <v>43</v>
      </c>
      <c r="C750">
        <v>2018</v>
      </c>
      <c r="D750">
        <v>2.8</v>
      </c>
      <c r="E750" t="s">
        <v>27</v>
      </c>
      <c r="F750">
        <v>297019</v>
      </c>
      <c r="G750" t="s">
        <v>16</v>
      </c>
      <c r="H750">
        <v>85269.3</v>
      </c>
      <c r="I750" t="s">
        <v>48</v>
      </c>
      <c r="J750" t="s">
        <v>18</v>
      </c>
      <c r="K750" t="s">
        <v>26</v>
      </c>
      <c r="L750">
        <v>8</v>
      </c>
      <c r="M750">
        <v>0.28999999999999998</v>
      </c>
      <c r="N750" t="s">
        <v>20</v>
      </c>
    </row>
    <row r="751" spans="1:14" x14ac:dyDescent="0.25">
      <c r="A751">
        <v>750</v>
      </c>
      <c r="B751" t="s">
        <v>14</v>
      </c>
      <c r="C751">
        <v>2022</v>
      </c>
      <c r="D751">
        <v>5.0999999999999996</v>
      </c>
      <c r="E751" t="s">
        <v>15</v>
      </c>
      <c r="F751">
        <v>241121</v>
      </c>
      <c r="G751" t="s">
        <v>16</v>
      </c>
      <c r="H751">
        <v>92800.59</v>
      </c>
      <c r="I751" t="s">
        <v>39</v>
      </c>
      <c r="J751" t="s">
        <v>18</v>
      </c>
      <c r="K751" t="s">
        <v>26</v>
      </c>
      <c r="L751">
        <v>4</v>
      </c>
      <c r="M751">
        <v>0.38</v>
      </c>
      <c r="N751" t="s">
        <v>20</v>
      </c>
    </row>
    <row r="752" spans="1:14" x14ac:dyDescent="0.25">
      <c r="A752">
        <v>751</v>
      </c>
      <c r="B752" t="s">
        <v>43</v>
      </c>
      <c r="C752">
        <v>2005</v>
      </c>
      <c r="D752">
        <v>5.0999999999999996</v>
      </c>
      <c r="E752" t="s">
        <v>15</v>
      </c>
      <c r="F752">
        <v>271609</v>
      </c>
      <c r="G752" t="s">
        <v>22</v>
      </c>
      <c r="H752">
        <v>52999.26</v>
      </c>
      <c r="I752" t="s">
        <v>48</v>
      </c>
      <c r="J752" t="s">
        <v>32</v>
      </c>
      <c r="K752" t="s">
        <v>26</v>
      </c>
      <c r="L752">
        <v>21</v>
      </c>
      <c r="M752">
        <v>0.2</v>
      </c>
      <c r="N752" t="s">
        <v>20</v>
      </c>
    </row>
    <row r="753" spans="1:14" x14ac:dyDescent="0.25">
      <c r="A753">
        <v>752</v>
      </c>
      <c r="B753" t="s">
        <v>24</v>
      </c>
      <c r="C753">
        <v>2023</v>
      </c>
      <c r="D753">
        <v>3.4</v>
      </c>
      <c r="E753" t="s">
        <v>27</v>
      </c>
      <c r="F753">
        <v>197167</v>
      </c>
      <c r="G753" t="s">
        <v>30</v>
      </c>
      <c r="H753">
        <v>28497.74</v>
      </c>
      <c r="I753" t="s">
        <v>34</v>
      </c>
      <c r="J753" t="s">
        <v>41</v>
      </c>
      <c r="K753" t="s">
        <v>26</v>
      </c>
      <c r="L753">
        <v>3</v>
      </c>
      <c r="M753">
        <v>0.14000000000000001</v>
      </c>
      <c r="N753" t="s">
        <v>20</v>
      </c>
    </row>
    <row r="754" spans="1:14" x14ac:dyDescent="0.25">
      <c r="A754">
        <v>753</v>
      </c>
      <c r="B754" t="s">
        <v>36</v>
      </c>
      <c r="C754">
        <v>2018</v>
      </c>
      <c r="D754">
        <v>2.8</v>
      </c>
      <c r="E754" t="s">
        <v>15</v>
      </c>
      <c r="F754">
        <v>196322</v>
      </c>
      <c r="G754" t="s">
        <v>16</v>
      </c>
      <c r="H754">
        <v>43128.06</v>
      </c>
      <c r="I754" t="s">
        <v>57</v>
      </c>
      <c r="J754" t="s">
        <v>46</v>
      </c>
      <c r="K754" t="s">
        <v>26</v>
      </c>
      <c r="L754">
        <v>8</v>
      </c>
      <c r="M754">
        <v>0.22</v>
      </c>
      <c r="N754" t="s">
        <v>33</v>
      </c>
    </row>
    <row r="755" spans="1:14" x14ac:dyDescent="0.25">
      <c r="A755">
        <v>754</v>
      </c>
      <c r="B755" t="s">
        <v>52</v>
      </c>
      <c r="C755">
        <v>2004</v>
      </c>
      <c r="D755">
        <v>2.8</v>
      </c>
      <c r="E755" t="s">
        <v>15</v>
      </c>
      <c r="F755">
        <v>15250</v>
      </c>
      <c r="G755" t="s">
        <v>22</v>
      </c>
      <c r="H755">
        <v>73292.09</v>
      </c>
      <c r="I755" t="s">
        <v>59</v>
      </c>
      <c r="J755" t="s">
        <v>46</v>
      </c>
      <c r="K755" t="s">
        <v>50</v>
      </c>
      <c r="L755">
        <v>22</v>
      </c>
      <c r="M755">
        <v>4.8099999999999996</v>
      </c>
      <c r="N755" t="s">
        <v>33</v>
      </c>
    </row>
    <row r="756" spans="1:14" x14ac:dyDescent="0.25">
      <c r="A756">
        <v>755</v>
      </c>
      <c r="B756" t="s">
        <v>36</v>
      </c>
      <c r="C756">
        <v>2003</v>
      </c>
      <c r="D756">
        <v>5</v>
      </c>
      <c r="E756" t="s">
        <v>15</v>
      </c>
      <c r="F756">
        <v>46023</v>
      </c>
      <c r="G756" t="s">
        <v>16</v>
      </c>
      <c r="H756">
        <v>88223.12</v>
      </c>
      <c r="I756" t="s">
        <v>54</v>
      </c>
      <c r="J756" t="s">
        <v>46</v>
      </c>
      <c r="K756" t="s">
        <v>50</v>
      </c>
      <c r="L756">
        <v>23</v>
      </c>
      <c r="M756">
        <v>1.92</v>
      </c>
      <c r="N756" t="s">
        <v>33</v>
      </c>
    </row>
    <row r="757" spans="1:14" x14ac:dyDescent="0.25">
      <c r="A757">
        <v>756</v>
      </c>
      <c r="B757" t="s">
        <v>29</v>
      </c>
      <c r="C757">
        <v>2014</v>
      </c>
      <c r="D757">
        <v>2.6</v>
      </c>
      <c r="E757" t="s">
        <v>27</v>
      </c>
      <c r="F757">
        <v>101350</v>
      </c>
      <c r="G757" t="s">
        <v>30</v>
      </c>
      <c r="H757">
        <v>46333.64</v>
      </c>
      <c r="I757" t="s">
        <v>40</v>
      </c>
      <c r="J757" t="s">
        <v>18</v>
      </c>
      <c r="K757" t="s">
        <v>19</v>
      </c>
      <c r="L757">
        <v>12</v>
      </c>
      <c r="M757">
        <v>0.46</v>
      </c>
      <c r="N757" t="s">
        <v>33</v>
      </c>
    </row>
    <row r="758" spans="1:14" x14ac:dyDescent="0.25">
      <c r="A758">
        <v>757</v>
      </c>
      <c r="B758" t="s">
        <v>36</v>
      </c>
      <c r="C758">
        <v>2003</v>
      </c>
      <c r="D758">
        <v>2</v>
      </c>
      <c r="E758" t="s">
        <v>15</v>
      </c>
      <c r="F758">
        <v>177696</v>
      </c>
      <c r="G758" t="s">
        <v>22</v>
      </c>
      <c r="H758">
        <v>55861.19</v>
      </c>
      <c r="I758" t="s">
        <v>57</v>
      </c>
      <c r="J758" t="s">
        <v>32</v>
      </c>
      <c r="K758" t="s">
        <v>26</v>
      </c>
      <c r="L758">
        <v>23</v>
      </c>
      <c r="M758">
        <v>0.31</v>
      </c>
      <c r="N758" t="s">
        <v>33</v>
      </c>
    </row>
    <row r="759" spans="1:14" x14ac:dyDescent="0.25">
      <c r="A759">
        <v>758</v>
      </c>
      <c r="B759" t="s">
        <v>36</v>
      </c>
      <c r="C759">
        <v>2019</v>
      </c>
      <c r="D759">
        <v>1.4</v>
      </c>
      <c r="E759" t="s">
        <v>15</v>
      </c>
      <c r="F759">
        <v>16427</v>
      </c>
      <c r="G759" t="s">
        <v>30</v>
      </c>
      <c r="H759">
        <v>93519.38</v>
      </c>
      <c r="I759" t="s">
        <v>54</v>
      </c>
      <c r="J759" t="s">
        <v>46</v>
      </c>
      <c r="K759" t="s">
        <v>50</v>
      </c>
      <c r="L759">
        <v>7</v>
      </c>
      <c r="M759">
        <v>5.69</v>
      </c>
      <c r="N759" t="s">
        <v>33</v>
      </c>
    </row>
    <row r="760" spans="1:14" x14ac:dyDescent="0.25">
      <c r="A760">
        <v>759</v>
      </c>
      <c r="B760" t="s">
        <v>24</v>
      </c>
      <c r="C760">
        <v>2009</v>
      </c>
      <c r="D760">
        <v>3.3</v>
      </c>
      <c r="E760" t="s">
        <v>15</v>
      </c>
      <c r="F760">
        <v>210084</v>
      </c>
      <c r="G760" t="s">
        <v>16</v>
      </c>
      <c r="H760">
        <v>15212.37</v>
      </c>
      <c r="I760" t="s">
        <v>45</v>
      </c>
      <c r="J760" t="s">
        <v>18</v>
      </c>
      <c r="K760" t="s">
        <v>26</v>
      </c>
      <c r="L760">
        <v>17</v>
      </c>
      <c r="M760">
        <v>7.0000000000000007E-2</v>
      </c>
      <c r="N760" t="s">
        <v>20</v>
      </c>
    </row>
    <row r="761" spans="1:14" x14ac:dyDescent="0.25">
      <c r="A761">
        <v>760</v>
      </c>
      <c r="B761" t="s">
        <v>24</v>
      </c>
      <c r="C761">
        <v>2023</v>
      </c>
      <c r="D761">
        <v>3.4</v>
      </c>
      <c r="E761" t="s">
        <v>15</v>
      </c>
      <c r="F761">
        <v>134511</v>
      </c>
      <c r="G761" t="s">
        <v>16</v>
      </c>
      <c r="H761">
        <v>86918.43</v>
      </c>
      <c r="I761" t="s">
        <v>25</v>
      </c>
      <c r="J761" t="s">
        <v>32</v>
      </c>
      <c r="K761" t="s">
        <v>19</v>
      </c>
      <c r="L761">
        <v>3</v>
      </c>
      <c r="M761">
        <v>0.65</v>
      </c>
      <c r="N761" t="s">
        <v>20</v>
      </c>
    </row>
    <row r="762" spans="1:14" x14ac:dyDescent="0.25">
      <c r="A762">
        <v>761</v>
      </c>
      <c r="B762" t="s">
        <v>24</v>
      </c>
      <c r="C762">
        <v>2021</v>
      </c>
      <c r="D762">
        <v>5.2</v>
      </c>
      <c r="E762" t="s">
        <v>27</v>
      </c>
      <c r="F762">
        <v>218403</v>
      </c>
      <c r="G762" t="s">
        <v>16</v>
      </c>
      <c r="H762">
        <v>20134.21</v>
      </c>
      <c r="I762" t="s">
        <v>45</v>
      </c>
      <c r="J762" t="s">
        <v>32</v>
      </c>
      <c r="K762" t="s">
        <v>26</v>
      </c>
      <c r="L762">
        <v>5</v>
      </c>
      <c r="M762">
        <v>0.09</v>
      </c>
      <c r="N762" t="s">
        <v>20</v>
      </c>
    </row>
    <row r="763" spans="1:14" x14ac:dyDescent="0.25">
      <c r="A763">
        <v>762</v>
      </c>
      <c r="B763" t="s">
        <v>43</v>
      </c>
      <c r="C763">
        <v>2002</v>
      </c>
      <c r="D763">
        <v>2.1</v>
      </c>
      <c r="E763" t="s">
        <v>27</v>
      </c>
      <c r="F763">
        <v>78672</v>
      </c>
      <c r="G763" t="s">
        <v>22</v>
      </c>
      <c r="H763">
        <v>50966.83</v>
      </c>
      <c r="I763" t="s">
        <v>49</v>
      </c>
      <c r="J763" t="s">
        <v>18</v>
      </c>
      <c r="K763" t="s">
        <v>19</v>
      </c>
      <c r="L763">
        <v>24</v>
      </c>
      <c r="M763">
        <v>0.65</v>
      </c>
      <c r="N763" t="s">
        <v>20</v>
      </c>
    </row>
    <row r="764" spans="1:14" x14ac:dyDescent="0.25">
      <c r="A764">
        <v>763</v>
      </c>
      <c r="B764" t="s">
        <v>29</v>
      </c>
      <c r="C764">
        <v>2004</v>
      </c>
      <c r="D764">
        <v>2.9</v>
      </c>
      <c r="E764" t="s">
        <v>27</v>
      </c>
      <c r="F764">
        <v>17300</v>
      </c>
      <c r="G764" t="s">
        <v>22</v>
      </c>
      <c r="H764">
        <v>25750.2</v>
      </c>
      <c r="I764" t="s">
        <v>31</v>
      </c>
      <c r="J764" t="s">
        <v>18</v>
      </c>
      <c r="K764" t="s">
        <v>50</v>
      </c>
      <c r="L764">
        <v>22</v>
      </c>
      <c r="M764">
        <v>1.49</v>
      </c>
      <c r="N764" t="s">
        <v>33</v>
      </c>
    </row>
    <row r="765" spans="1:14" x14ac:dyDescent="0.25">
      <c r="A765">
        <v>764</v>
      </c>
      <c r="B765" t="s">
        <v>24</v>
      </c>
      <c r="C765">
        <v>2005</v>
      </c>
      <c r="D765">
        <v>5</v>
      </c>
      <c r="E765" t="s">
        <v>15</v>
      </c>
      <c r="F765">
        <v>19659</v>
      </c>
      <c r="G765" t="s">
        <v>22</v>
      </c>
      <c r="H765">
        <v>62280.02</v>
      </c>
      <c r="I765" t="s">
        <v>45</v>
      </c>
      <c r="J765" t="s">
        <v>46</v>
      </c>
      <c r="K765" t="s">
        <v>50</v>
      </c>
      <c r="L765">
        <v>21</v>
      </c>
      <c r="M765">
        <v>3.17</v>
      </c>
      <c r="N765" t="s">
        <v>20</v>
      </c>
    </row>
    <row r="766" spans="1:14" x14ac:dyDescent="0.25">
      <c r="A766">
        <v>765</v>
      </c>
      <c r="B766" t="s">
        <v>52</v>
      </c>
      <c r="C766">
        <v>2020</v>
      </c>
      <c r="D766">
        <v>5.0999999999999996</v>
      </c>
      <c r="E766" t="s">
        <v>27</v>
      </c>
      <c r="F766">
        <v>162475</v>
      </c>
      <c r="G766" t="s">
        <v>22</v>
      </c>
      <c r="H766">
        <v>58064.480000000003</v>
      </c>
      <c r="I766" t="s">
        <v>53</v>
      </c>
      <c r="J766" t="s">
        <v>32</v>
      </c>
      <c r="K766" t="s">
        <v>26</v>
      </c>
      <c r="L766">
        <v>6</v>
      </c>
      <c r="M766">
        <v>0.36</v>
      </c>
      <c r="N766" t="s">
        <v>33</v>
      </c>
    </row>
    <row r="767" spans="1:14" x14ac:dyDescent="0.25">
      <c r="A767">
        <v>766</v>
      </c>
      <c r="B767" t="s">
        <v>43</v>
      </c>
      <c r="C767">
        <v>2021</v>
      </c>
      <c r="D767">
        <v>2.9</v>
      </c>
      <c r="E767" t="s">
        <v>15</v>
      </c>
      <c r="F767">
        <v>245259</v>
      </c>
      <c r="G767" t="s">
        <v>16</v>
      </c>
      <c r="H767">
        <v>41100.699999999997</v>
      </c>
      <c r="I767" t="s">
        <v>55</v>
      </c>
      <c r="J767" t="s">
        <v>41</v>
      </c>
      <c r="K767" t="s">
        <v>26</v>
      </c>
      <c r="L767">
        <v>5</v>
      </c>
      <c r="M767">
        <v>0.17</v>
      </c>
      <c r="N767" t="s">
        <v>20</v>
      </c>
    </row>
    <row r="768" spans="1:14" x14ac:dyDescent="0.25">
      <c r="A768">
        <v>767</v>
      </c>
      <c r="B768" t="s">
        <v>21</v>
      </c>
      <c r="C768">
        <v>2007</v>
      </c>
      <c r="D768">
        <v>3.3</v>
      </c>
      <c r="E768" t="s">
        <v>27</v>
      </c>
      <c r="F768">
        <v>10360</v>
      </c>
      <c r="G768" t="s">
        <v>16</v>
      </c>
      <c r="H768">
        <v>87013.83</v>
      </c>
      <c r="I768" t="s">
        <v>42</v>
      </c>
      <c r="J768" t="s">
        <v>18</v>
      </c>
      <c r="K768" t="s">
        <v>50</v>
      </c>
      <c r="L768">
        <v>19</v>
      </c>
      <c r="M768">
        <v>8.4</v>
      </c>
      <c r="N768" t="s">
        <v>20</v>
      </c>
    </row>
    <row r="769" spans="1:14" x14ac:dyDescent="0.25">
      <c r="A769">
        <v>768</v>
      </c>
      <c r="B769" t="s">
        <v>52</v>
      </c>
      <c r="C769">
        <v>2006</v>
      </c>
      <c r="D769">
        <v>2.5</v>
      </c>
      <c r="E769" t="s">
        <v>15</v>
      </c>
      <c r="F769">
        <v>283568</v>
      </c>
      <c r="G769" t="s">
        <v>16</v>
      </c>
      <c r="H769">
        <v>67682.27</v>
      </c>
      <c r="I769" t="s">
        <v>53</v>
      </c>
      <c r="J769" t="s">
        <v>32</v>
      </c>
      <c r="K769" t="s">
        <v>26</v>
      </c>
      <c r="L769">
        <v>20</v>
      </c>
      <c r="M769">
        <v>0.24</v>
      </c>
      <c r="N769" t="s">
        <v>33</v>
      </c>
    </row>
    <row r="770" spans="1:14" x14ac:dyDescent="0.25">
      <c r="A770">
        <v>769</v>
      </c>
      <c r="B770" t="s">
        <v>14</v>
      </c>
      <c r="C770">
        <v>2020</v>
      </c>
      <c r="D770">
        <v>5.7</v>
      </c>
      <c r="E770" t="s">
        <v>27</v>
      </c>
      <c r="F770">
        <v>98035</v>
      </c>
      <c r="G770" t="s">
        <v>22</v>
      </c>
      <c r="H770">
        <v>73514.490000000005</v>
      </c>
      <c r="I770" t="s">
        <v>28</v>
      </c>
      <c r="J770" t="s">
        <v>18</v>
      </c>
      <c r="K770" t="s">
        <v>19</v>
      </c>
      <c r="L770">
        <v>6</v>
      </c>
      <c r="M770">
        <v>0.75</v>
      </c>
      <c r="N770" t="s">
        <v>20</v>
      </c>
    </row>
    <row r="771" spans="1:14" x14ac:dyDescent="0.25">
      <c r="A771">
        <v>770</v>
      </c>
      <c r="B771" t="s">
        <v>14</v>
      </c>
      <c r="C771">
        <v>2009</v>
      </c>
      <c r="D771">
        <v>1.6</v>
      </c>
      <c r="E771" t="s">
        <v>27</v>
      </c>
      <c r="F771">
        <v>48791</v>
      </c>
      <c r="G771" t="s">
        <v>22</v>
      </c>
      <c r="H771">
        <v>19312.68</v>
      </c>
      <c r="I771" t="s">
        <v>17</v>
      </c>
      <c r="J771" t="s">
        <v>18</v>
      </c>
      <c r="K771" t="s">
        <v>50</v>
      </c>
      <c r="L771">
        <v>17</v>
      </c>
      <c r="M771">
        <v>0.4</v>
      </c>
      <c r="N771" t="s">
        <v>20</v>
      </c>
    </row>
    <row r="772" spans="1:14" x14ac:dyDescent="0.25">
      <c r="A772">
        <v>771</v>
      </c>
      <c r="B772" t="s">
        <v>52</v>
      </c>
      <c r="C772">
        <v>2005</v>
      </c>
      <c r="D772">
        <v>5.7</v>
      </c>
      <c r="E772" t="s">
        <v>27</v>
      </c>
      <c r="F772">
        <v>199867</v>
      </c>
      <c r="G772" t="s">
        <v>16</v>
      </c>
      <c r="H772">
        <v>88900.74</v>
      </c>
      <c r="I772" t="s">
        <v>61</v>
      </c>
      <c r="J772" t="s">
        <v>41</v>
      </c>
      <c r="K772" t="s">
        <v>26</v>
      </c>
      <c r="L772">
        <v>21</v>
      </c>
      <c r="M772">
        <v>0.44</v>
      </c>
      <c r="N772" t="s">
        <v>33</v>
      </c>
    </row>
    <row r="773" spans="1:14" x14ac:dyDescent="0.25">
      <c r="A773">
        <v>772</v>
      </c>
      <c r="B773" t="s">
        <v>24</v>
      </c>
      <c r="C773">
        <v>2013</v>
      </c>
      <c r="D773">
        <v>4.4000000000000004</v>
      </c>
      <c r="E773" t="s">
        <v>15</v>
      </c>
      <c r="F773">
        <v>274444</v>
      </c>
      <c r="G773" t="s">
        <v>16</v>
      </c>
      <c r="H773">
        <v>20868.82</v>
      </c>
      <c r="I773" t="s">
        <v>35</v>
      </c>
      <c r="J773" t="s">
        <v>46</v>
      </c>
      <c r="K773" t="s">
        <v>26</v>
      </c>
      <c r="L773">
        <v>13</v>
      </c>
      <c r="M773">
        <v>0.08</v>
      </c>
      <c r="N773" t="s">
        <v>20</v>
      </c>
    </row>
    <row r="774" spans="1:14" x14ac:dyDescent="0.25">
      <c r="A774">
        <v>773</v>
      </c>
      <c r="B774" t="s">
        <v>21</v>
      </c>
      <c r="C774">
        <v>2003</v>
      </c>
      <c r="D774">
        <v>3.7</v>
      </c>
      <c r="E774" t="s">
        <v>15</v>
      </c>
      <c r="F774">
        <v>33370</v>
      </c>
      <c r="G774" t="s">
        <v>22</v>
      </c>
      <c r="H774">
        <v>26164.57</v>
      </c>
      <c r="I774" t="s">
        <v>47</v>
      </c>
      <c r="J774" t="s">
        <v>41</v>
      </c>
      <c r="K774" t="s">
        <v>50</v>
      </c>
      <c r="L774">
        <v>23</v>
      </c>
      <c r="M774">
        <v>0.78</v>
      </c>
      <c r="N774" t="s">
        <v>20</v>
      </c>
    </row>
    <row r="775" spans="1:14" x14ac:dyDescent="0.25">
      <c r="A775">
        <v>774</v>
      </c>
      <c r="B775" t="s">
        <v>21</v>
      </c>
      <c r="C775">
        <v>2012</v>
      </c>
      <c r="D775">
        <v>1.2</v>
      </c>
      <c r="E775" t="s">
        <v>15</v>
      </c>
      <c r="F775">
        <v>200903</v>
      </c>
      <c r="G775" t="s">
        <v>30</v>
      </c>
      <c r="H775">
        <v>17165.240000000002</v>
      </c>
      <c r="I775" t="s">
        <v>60</v>
      </c>
      <c r="J775" t="s">
        <v>41</v>
      </c>
      <c r="K775" t="s">
        <v>26</v>
      </c>
      <c r="L775">
        <v>14</v>
      </c>
      <c r="M775">
        <v>0.09</v>
      </c>
      <c r="N775" t="s">
        <v>20</v>
      </c>
    </row>
    <row r="776" spans="1:14" x14ac:dyDescent="0.25">
      <c r="A776">
        <v>775</v>
      </c>
      <c r="B776" t="s">
        <v>43</v>
      </c>
      <c r="C776">
        <v>2019</v>
      </c>
      <c r="D776">
        <v>3.4</v>
      </c>
      <c r="E776" t="s">
        <v>27</v>
      </c>
      <c r="F776">
        <v>27209</v>
      </c>
      <c r="G776" t="s">
        <v>16</v>
      </c>
      <c r="H776">
        <v>46834.12</v>
      </c>
      <c r="I776" t="s">
        <v>55</v>
      </c>
      <c r="J776" t="s">
        <v>18</v>
      </c>
      <c r="K776" t="s">
        <v>50</v>
      </c>
      <c r="L776">
        <v>7</v>
      </c>
      <c r="M776">
        <v>1.72</v>
      </c>
      <c r="N776" t="s">
        <v>20</v>
      </c>
    </row>
    <row r="777" spans="1:14" x14ac:dyDescent="0.25">
      <c r="A777">
        <v>776</v>
      </c>
      <c r="B777" t="s">
        <v>21</v>
      </c>
      <c r="C777">
        <v>2016</v>
      </c>
      <c r="D777">
        <v>3</v>
      </c>
      <c r="E777" t="s">
        <v>15</v>
      </c>
      <c r="F777">
        <v>283071</v>
      </c>
      <c r="G777" t="s">
        <v>16</v>
      </c>
      <c r="H777">
        <v>89332.38</v>
      </c>
      <c r="I777" t="s">
        <v>23</v>
      </c>
      <c r="J777" t="s">
        <v>32</v>
      </c>
      <c r="K777" t="s">
        <v>26</v>
      </c>
      <c r="L777">
        <v>10</v>
      </c>
      <c r="M777">
        <v>0.32</v>
      </c>
      <c r="N777" t="s">
        <v>20</v>
      </c>
    </row>
    <row r="778" spans="1:14" x14ac:dyDescent="0.25">
      <c r="A778">
        <v>777</v>
      </c>
      <c r="B778" t="s">
        <v>14</v>
      </c>
      <c r="C778">
        <v>2022</v>
      </c>
      <c r="D778">
        <v>1.8</v>
      </c>
      <c r="E778" t="s">
        <v>15</v>
      </c>
      <c r="F778">
        <v>34579</v>
      </c>
      <c r="G778" t="s">
        <v>16</v>
      </c>
      <c r="H778">
        <v>28982.51</v>
      </c>
      <c r="I778" t="s">
        <v>39</v>
      </c>
      <c r="J778" t="s">
        <v>18</v>
      </c>
      <c r="K778" t="s">
        <v>50</v>
      </c>
      <c r="L778">
        <v>4</v>
      </c>
      <c r="M778">
        <v>0.84</v>
      </c>
      <c r="N778" t="s">
        <v>20</v>
      </c>
    </row>
    <row r="779" spans="1:14" x14ac:dyDescent="0.25">
      <c r="A779">
        <v>778</v>
      </c>
      <c r="B779" t="s">
        <v>29</v>
      </c>
      <c r="C779">
        <v>2006</v>
      </c>
      <c r="D779">
        <v>4.3</v>
      </c>
      <c r="E779" t="s">
        <v>15</v>
      </c>
      <c r="F779">
        <v>271176</v>
      </c>
      <c r="G779" t="s">
        <v>22</v>
      </c>
      <c r="H779">
        <v>40506.57</v>
      </c>
      <c r="I779" t="s">
        <v>31</v>
      </c>
      <c r="J779" t="s">
        <v>32</v>
      </c>
      <c r="K779" t="s">
        <v>26</v>
      </c>
      <c r="L779">
        <v>20</v>
      </c>
      <c r="M779">
        <v>0.15</v>
      </c>
      <c r="N779" t="s">
        <v>33</v>
      </c>
    </row>
    <row r="780" spans="1:14" x14ac:dyDescent="0.25">
      <c r="A780">
        <v>779</v>
      </c>
      <c r="B780" t="s">
        <v>24</v>
      </c>
      <c r="C780">
        <v>2003</v>
      </c>
      <c r="D780">
        <v>5.9</v>
      </c>
      <c r="E780" t="s">
        <v>15</v>
      </c>
      <c r="F780">
        <v>93254</v>
      </c>
      <c r="G780" t="s">
        <v>16</v>
      </c>
      <c r="H780">
        <v>85376.31</v>
      </c>
      <c r="I780" t="s">
        <v>45</v>
      </c>
      <c r="J780" t="s">
        <v>41</v>
      </c>
      <c r="K780" t="s">
        <v>19</v>
      </c>
      <c r="L780">
        <v>23</v>
      </c>
      <c r="M780">
        <v>0.92</v>
      </c>
      <c r="N780" t="s">
        <v>20</v>
      </c>
    </row>
    <row r="781" spans="1:14" x14ac:dyDescent="0.25">
      <c r="A781">
        <v>780</v>
      </c>
      <c r="B781" t="s">
        <v>21</v>
      </c>
      <c r="C781">
        <v>2013</v>
      </c>
      <c r="D781">
        <v>3.8</v>
      </c>
      <c r="E781" t="s">
        <v>15</v>
      </c>
      <c r="F781">
        <v>113528</v>
      </c>
      <c r="G781" t="s">
        <v>16</v>
      </c>
      <c r="H781">
        <v>63692.45</v>
      </c>
      <c r="I781" t="s">
        <v>60</v>
      </c>
      <c r="J781" t="s">
        <v>32</v>
      </c>
      <c r="K781" t="s">
        <v>19</v>
      </c>
      <c r="L781">
        <v>13</v>
      </c>
      <c r="M781">
        <v>0.56000000000000005</v>
      </c>
      <c r="N781" t="s">
        <v>20</v>
      </c>
    </row>
    <row r="782" spans="1:14" x14ac:dyDescent="0.25">
      <c r="A782">
        <v>781</v>
      </c>
      <c r="B782" t="s">
        <v>43</v>
      </c>
      <c r="C782">
        <v>2002</v>
      </c>
      <c r="D782">
        <v>4.5999999999999996</v>
      </c>
      <c r="E782" t="s">
        <v>15</v>
      </c>
      <c r="F782">
        <v>223274</v>
      </c>
      <c r="G782" t="s">
        <v>16</v>
      </c>
      <c r="H782">
        <v>76403.56</v>
      </c>
      <c r="I782" t="s">
        <v>44</v>
      </c>
      <c r="J782" t="s">
        <v>18</v>
      </c>
      <c r="K782" t="s">
        <v>26</v>
      </c>
      <c r="L782">
        <v>24</v>
      </c>
      <c r="M782">
        <v>0.34</v>
      </c>
      <c r="N782" t="s">
        <v>20</v>
      </c>
    </row>
    <row r="783" spans="1:14" x14ac:dyDescent="0.25">
      <c r="A783">
        <v>782</v>
      </c>
      <c r="B783" t="s">
        <v>14</v>
      </c>
      <c r="C783">
        <v>2023</v>
      </c>
      <c r="D783">
        <v>1.3</v>
      </c>
      <c r="E783" t="s">
        <v>27</v>
      </c>
      <c r="F783">
        <v>238292</v>
      </c>
      <c r="G783" t="s">
        <v>16</v>
      </c>
      <c r="H783">
        <v>25330</v>
      </c>
      <c r="I783" t="s">
        <v>17</v>
      </c>
      <c r="J783" t="s">
        <v>18</v>
      </c>
      <c r="K783" t="s">
        <v>26</v>
      </c>
      <c r="L783">
        <v>3</v>
      </c>
      <c r="M783">
        <v>0.11</v>
      </c>
      <c r="N783" t="s">
        <v>20</v>
      </c>
    </row>
    <row r="784" spans="1:14" x14ac:dyDescent="0.25">
      <c r="A784">
        <v>783</v>
      </c>
      <c r="B784" t="s">
        <v>29</v>
      </c>
      <c r="C784">
        <v>2004</v>
      </c>
      <c r="D784">
        <v>3.1</v>
      </c>
      <c r="E784" t="s">
        <v>27</v>
      </c>
      <c r="F784">
        <v>181026</v>
      </c>
      <c r="G784" t="s">
        <v>16</v>
      </c>
      <c r="H784">
        <v>73066.539999999994</v>
      </c>
      <c r="I784" t="s">
        <v>62</v>
      </c>
      <c r="J784" t="s">
        <v>41</v>
      </c>
      <c r="K784" t="s">
        <v>26</v>
      </c>
      <c r="L784">
        <v>22</v>
      </c>
      <c r="M784">
        <v>0.4</v>
      </c>
      <c r="N784" t="s">
        <v>33</v>
      </c>
    </row>
    <row r="785" spans="1:14" x14ac:dyDescent="0.25">
      <c r="A785">
        <v>784</v>
      </c>
      <c r="B785" t="s">
        <v>36</v>
      </c>
      <c r="C785">
        <v>2015</v>
      </c>
      <c r="D785">
        <v>1.6</v>
      </c>
      <c r="E785" t="s">
        <v>15</v>
      </c>
      <c r="F785">
        <v>248342</v>
      </c>
      <c r="G785" t="s">
        <v>30</v>
      </c>
      <c r="H785">
        <v>26623</v>
      </c>
      <c r="I785" t="s">
        <v>51</v>
      </c>
      <c r="J785" t="s">
        <v>41</v>
      </c>
      <c r="K785" t="s">
        <v>26</v>
      </c>
      <c r="L785">
        <v>11</v>
      </c>
      <c r="M785">
        <v>0.11</v>
      </c>
      <c r="N785" t="s">
        <v>33</v>
      </c>
    </row>
    <row r="786" spans="1:14" x14ac:dyDescent="0.25">
      <c r="A786">
        <v>785</v>
      </c>
      <c r="B786" t="s">
        <v>36</v>
      </c>
      <c r="C786">
        <v>2022</v>
      </c>
      <c r="D786">
        <v>4.0999999999999996</v>
      </c>
      <c r="E786" t="s">
        <v>27</v>
      </c>
      <c r="F786">
        <v>219437</v>
      </c>
      <c r="G786" t="s">
        <v>30</v>
      </c>
      <c r="H786">
        <v>98794.83</v>
      </c>
      <c r="I786" t="s">
        <v>51</v>
      </c>
      <c r="J786" t="s">
        <v>41</v>
      </c>
      <c r="K786" t="s">
        <v>26</v>
      </c>
      <c r="L786">
        <v>4</v>
      </c>
      <c r="M786">
        <v>0.45</v>
      </c>
      <c r="N786" t="s">
        <v>33</v>
      </c>
    </row>
    <row r="787" spans="1:14" x14ac:dyDescent="0.25">
      <c r="A787">
        <v>786</v>
      </c>
      <c r="B787" t="s">
        <v>29</v>
      </c>
      <c r="C787">
        <v>2019</v>
      </c>
      <c r="D787">
        <v>5.7</v>
      </c>
      <c r="E787" t="s">
        <v>27</v>
      </c>
      <c r="F787">
        <v>278076</v>
      </c>
      <c r="G787" t="s">
        <v>16</v>
      </c>
      <c r="H787">
        <v>58189.18</v>
      </c>
      <c r="I787" t="s">
        <v>40</v>
      </c>
      <c r="J787" t="s">
        <v>18</v>
      </c>
      <c r="K787" t="s">
        <v>26</v>
      </c>
      <c r="L787">
        <v>7</v>
      </c>
      <c r="M787">
        <v>0.21</v>
      </c>
      <c r="N787" t="s">
        <v>33</v>
      </c>
    </row>
    <row r="788" spans="1:14" x14ac:dyDescent="0.25">
      <c r="A788">
        <v>787</v>
      </c>
      <c r="B788" t="s">
        <v>14</v>
      </c>
      <c r="C788">
        <v>2003</v>
      </c>
      <c r="D788">
        <v>4.3</v>
      </c>
      <c r="E788" t="s">
        <v>15</v>
      </c>
      <c r="F788">
        <v>287858</v>
      </c>
      <c r="G788" t="s">
        <v>16</v>
      </c>
      <c r="H788">
        <v>71085.73</v>
      </c>
      <c r="I788" t="s">
        <v>39</v>
      </c>
      <c r="J788" t="s">
        <v>18</v>
      </c>
      <c r="K788" t="s">
        <v>26</v>
      </c>
      <c r="L788">
        <v>23</v>
      </c>
      <c r="M788">
        <v>0.25</v>
      </c>
      <c r="N788" t="s">
        <v>20</v>
      </c>
    </row>
    <row r="789" spans="1:14" x14ac:dyDescent="0.25">
      <c r="A789">
        <v>788</v>
      </c>
      <c r="B789" t="s">
        <v>43</v>
      </c>
      <c r="C789">
        <v>2023</v>
      </c>
      <c r="D789">
        <v>1.4</v>
      </c>
      <c r="E789" t="s">
        <v>15</v>
      </c>
      <c r="F789">
        <v>57803</v>
      </c>
      <c r="G789" t="s">
        <v>16</v>
      </c>
      <c r="H789">
        <v>16248.15</v>
      </c>
      <c r="I789" t="s">
        <v>49</v>
      </c>
      <c r="J789" t="s">
        <v>18</v>
      </c>
      <c r="K789" t="s">
        <v>19</v>
      </c>
      <c r="L789">
        <v>3</v>
      </c>
      <c r="M789">
        <v>0.28000000000000003</v>
      </c>
      <c r="N789" t="s">
        <v>20</v>
      </c>
    </row>
    <row r="790" spans="1:14" x14ac:dyDescent="0.25">
      <c r="A790">
        <v>789</v>
      </c>
      <c r="B790" t="s">
        <v>29</v>
      </c>
      <c r="C790">
        <v>2023</v>
      </c>
      <c r="D790">
        <v>2.8</v>
      </c>
      <c r="E790" t="s">
        <v>27</v>
      </c>
      <c r="F790">
        <v>133624</v>
      </c>
      <c r="G790" t="s">
        <v>16</v>
      </c>
      <c r="H790">
        <v>28812.32</v>
      </c>
      <c r="I790" t="s">
        <v>31</v>
      </c>
      <c r="J790" t="s">
        <v>32</v>
      </c>
      <c r="K790" t="s">
        <v>19</v>
      </c>
      <c r="L790">
        <v>3</v>
      </c>
      <c r="M790">
        <v>0.22</v>
      </c>
      <c r="N790" t="s">
        <v>33</v>
      </c>
    </row>
    <row r="791" spans="1:14" x14ac:dyDescent="0.25">
      <c r="A791">
        <v>790</v>
      </c>
      <c r="B791" t="s">
        <v>24</v>
      </c>
      <c r="C791">
        <v>2001</v>
      </c>
      <c r="D791">
        <v>3.8</v>
      </c>
      <c r="E791" t="s">
        <v>15</v>
      </c>
      <c r="F791">
        <v>56627</v>
      </c>
      <c r="G791" t="s">
        <v>22</v>
      </c>
      <c r="H791">
        <v>18275.36</v>
      </c>
      <c r="I791" t="s">
        <v>45</v>
      </c>
      <c r="J791" t="s">
        <v>18</v>
      </c>
      <c r="K791" t="s">
        <v>19</v>
      </c>
      <c r="L791">
        <v>25</v>
      </c>
      <c r="M791">
        <v>0.32</v>
      </c>
      <c r="N791" t="s">
        <v>20</v>
      </c>
    </row>
    <row r="792" spans="1:14" x14ac:dyDescent="0.25">
      <c r="A792">
        <v>791</v>
      </c>
      <c r="B792" t="s">
        <v>24</v>
      </c>
      <c r="C792">
        <v>2017</v>
      </c>
      <c r="D792">
        <v>3</v>
      </c>
      <c r="E792" t="s">
        <v>27</v>
      </c>
      <c r="F792">
        <v>177059</v>
      </c>
      <c r="G792" t="s">
        <v>22</v>
      </c>
      <c r="H792">
        <v>42066.22</v>
      </c>
      <c r="I792" t="s">
        <v>35</v>
      </c>
      <c r="J792" t="s">
        <v>46</v>
      </c>
      <c r="K792" t="s">
        <v>26</v>
      </c>
      <c r="L792">
        <v>9</v>
      </c>
      <c r="M792">
        <v>0.24</v>
      </c>
      <c r="N792" t="s">
        <v>20</v>
      </c>
    </row>
    <row r="793" spans="1:14" x14ac:dyDescent="0.25">
      <c r="A793">
        <v>792</v>
      </c>
      <c r="B793" t="s">
        <v>36</v>
      </c>
      <c r="C793">
        <v>2018</v>
      </c>
      <c r="D793">
        <v>5.2</v>
      </c>
      <c r="E793" t="s">
        <v>27</v>
      </c>
      <c r="F793">
        <v>45380</v>
      </c>
      <c r="G793" t="s">
        <v>22</v>
      </c>
      <c r="H793">
        <v>31992.91</v>
      </c>
      <c r="I793" t="s">
        <v>57</v>
      </c>
      <c r="J793" t="s">
        <v>46</v>
      </c>
      <c r="K793" t="s">
        <v>50</v>
      </c>
      <c r="L793">
        <v>8</v>
      </c>
      <c r="M793">
        <v>0.71</v>
      </c>
      <c r="N793" t="s">
        <v>33</v>
      </c>
    </row>
    <row r="794" spans="1:14" x14ac:dyDescent="0.25">
      <c r="A794">
        <v>793</v>
      </c>
      <c r="B794" t="s">
        <v>21</v>
      </c>
      <c r="C794">
        <v>2018</v>
      </c>
      <c r="D794">
        <v>5.0999999999999996</v>
      </c>
      <c r="E794" t="s">
        <v>27</v>
      </c>
      <c r="F794">
        <v>160322</v>
      </c>
      <c r="G794" t="s">
        <v>30</v>
      </c>
      <c r="H794">
        <v>74627.61</v>
      </c>
      <c r="I794" t="s">
        <v>23</v>
      </c>
      <c r="J794" t="s">
        <v>46</v>
      </c>
      <c r="K794" t="s">
        <v>26</v>
      </c>
      <c r="L794">
        <v>8</v>
      </c>
      <c r="M794">
        <v>0.47</v>
      </c>
      <c r="N794" t="s">
        <v>20</v>
      </c>
    </row>
    <row r="795" spans="1:14" x14ac:dyDescent="0.25">
      <c r="A795">
        <v>794</v>
      </c>
      <c r="B795" t="s">
        <v>43</v>
      </c>
      <c r="C795">
        <v>2016</v>
      </c>
      <c r="D795">
        <v>4.0999999999999996</v>
      </c>
      <c r="E795" t="s">
        <v>15</v>
      </c>
      <c r="F795">
        <v>199416</v>
      </c>
      <c r="G795" t="s">
        <v>16</v>
      </c>
      <c r="H795">
        <v>15327.35</v>
      </c>
      <c r="I795" t="s">
        <v>49</v>
      </c>
      <c r="J795" t="s">
        <v>46</v>
      </c>
      <c r="K795" t="s">
        <v>26</v>
      </c>
      <c r="L795">
        <v>10</v>
      </c>
      <c r="M795">
        <v>0.08</v>
      </c>
      <c r="N795" t="s">
        <v>20</v>
      </c>
    </row>
    <row r="796" spans="1:14" x14ac:dyDescent="0.25">
      <c r="A796">
        <v>795</v>
      </c>
      <c r="B796" t="s">
        <v>36</v>
      </c>
      <c r="C796">
        <v>2013</v>
      </c>
      <c r="D796">
        <v>2.9</v>
      </c>
      <c r="E796" t="s">
        <v>27</v>
      </c>
      <c r="F796">
        <v>146367</v>
      </c>
      <c r="G796" t="s">
        <v>22</v>
      </c>
      <c r="H796">
        <v>76445.64</v>
      </c>
      <c r="I796" t="s">
        <v>57</v>
      </c>
      <c r="J796" t="s">
        <v>41</v>
      </c>
      <c r="K796" t="s">
        <v>19</v>
      </c>
      <c r="L796">
        <v>13</v>
      </c>
      <c r="M796">
        <v>0.52</v>
      </c>
      <c r="N796" t="s">
        <v>33</v>
      </c>
    </row>
    <row r="797" spans="1:14" x14ac:dyDescent="0.25">
      <c r="A797">
        <v>796</v>
      </c>
      <c r="B797" t="s">
        <v>21</v>
      </c>
      <c r="C797">
        <v>2018</v>
      </c>
      <c r="D797">
        <v>2.2999999999999998</v>
      </c>
      <c r="E797" t="s">
        <v>15</v>
      </c>
      <c r="F797">
        <v>272667</v>
      </c>
      <c r="G797" t="s">
        <v>16</v>
      </c>
      <c r="H797">
        <v>9341.9599999999991</v>
      </c>
      <c r="I797" t="s">
        <v>42</v>
      </c>
      <c r="J797" t="s">
        <v>41</v>
      </c>
      <c r="K797" t="s">
        <v>26</v>
      </c>
      <c r="L797">
        <v>8</v>
      </c>
      <c r="M797">
        <v>0.03</v>
      </c>
      <c r="N797" t="s">
        <v>20</v>
      </c>
    </row>
    <row r="798" spans="1:14" x14ac:dyDescent="0.25">
      <c r="A798">
        <v>797</v>
      </c>
      <c r="B798" t="s">
        <v>21</v>
      </c>
      <c r="C798">
        <v>2021</v>
      </c>
      <c r="D798">
        <v>1.5</v>
      </c>
      <c r="E798" t="s">
        <v>15</v>
      </c>
      <c r="F798">
        <v>259125</v>
      </c>
      <c r="G798" t="s">
        <v>16</v>
      </c>
      <c r="H798">
        <v>24191.69</v>
      </c>
      <c r="I798" t="s">
        <v>42</v>
      </c>
      <c r="J798" t="s">
        <v>18</v>
      </c>
      <c r="K798" t="s">
        <v>26</v>
      </c>
      <c r="L798">
        <v>5</v>
      </c>
      <c r="M798">
        <v>0.09</v>
      </c>
      <c r="N798" t="s">
        <v>20</v>
      </c>
    </row>
    <row r="799" spans="1:14" x14ac:dyDescent="0.25">
      <c r="A799">
        <v>798</v>
      </c>
      <c r="B799" t="s">
        <v>24</v>
      </c>
      <c r="C799">
        <v>2023</v>
      </c>
      <c r="D799">
        <v>2.8</v>
      </c>
      <c r="E799" t="s">
        <v>15</v>
      </c>
      <c r="F799">
        <v>13769</v>
      </c>
      <c r="G799" t="s">
        <v>30</v>
      </c>
      <c r="H799">
        <v>80236.67</v>
      </c>
      <c r="I799" t="s">
        <v>25</v>
      </c>
      <c r="J799" t="s">
        <v>18</v>
      </c>
      <c r="K799" t="s">
        <v>50</v>
      </c>
      <c r="L799">
        <v>3</v>
      </c>
      <c r="M799">
        <v>5.83</v>
      </c>
      <c r="N799" t="s">
        <v>20</v>
      </c>
    </row>
    <row r="800" spans="1:14" x14ac:dyDescent="0.25">
      <c r="A800">
        <v>799</v>
      </c>
      <c r="B800" t="s">
        <v>14</v>
      </c>
      <c r="C800">
        <v>2012</v>
      </c>
      <c r="D800">
        <v>3.1</v>
      </c>
      <c r="E800" t="s">
        <v>15</v>
      </c>
      <c r="F800">
        <v>112035</v>
      </c>
      <c r="G800" t="s">
        <v>30</v>
      </c>
      <c r="H800">
        <v>75563.78</v>
      </c>
      <c r="I800" t="s">
        <v>17</v>
      </c>
      <c r="J800" t="s">
        <v>18</v>
      </c>
      <c r="K800" t="s">
        <v>19</v>
      </c>
      <c r="L800">
        <v>14</v>
      </c>
      <c r="M800">
        <v>0.67</v>
      </c>
      <c r="N800" t="s">
        <v>20</v>
      </c>
    </row>
    <row r="801" spans="1:14" x14ac:dyDescent="0.25">
      <c r="A801">
        <v>800</v>
      </c>
      <c r="B801" t="s">
        <v>52</v>
      </c>
      <c r="C801">
        <v>2011</v>
      </c>
      <c r="D801">
        <v>4.4000000000000004</v>
      </c>
      <c r="E801" t="s">
        <v>15</v>
      </c>
      <c r="F801">
        <v>175717</v>
      </c>
      <c r="G801" t="s">
        <v>22</v>
      </c>
      <c r="H801">
        <v>50250.98</v>
      </c>
      <c r="I801" t="s">
        <v>53</v>
      </c>
      <c r="J801" t="s">
        <v>32</v>
      </c>
      <c r="K801" t="s">
        <v>26</v>
      </c>
      <c r="L801">
        <v>15</v>
      </c>
      <c r="M801">
        <v>0.28999999999999998</v>
      </c>
      <c r="N801" t="s">
        <v>33</v>
      </c>
    </row>
    <row r="802" spans="1:14" x14ac:dyDescent="0.25">
      <c r="A802">
        <v>801</v>
      </c>
      <c r="B802" t="s">
        <v>14</v>
      </c>
      <c r="C802">
        <v>2005</v>
      </c>
      <c r="D802">
        <v>4.3</v>
      </c>
      <c r="E802" t="s">
        <v>27</v>
      </c>
      <c r="F802">
        <v>221815</v>
      </c>
      <c r="G802" t="s">
        <v>22</v>
      </c>
      <c r="H802">
        <v>9748.36</v>
      </c>
      <c r="I802" t="s">
        <v>28</v>
      </c>
      <c r="J802" t="s">
        <v>18</v>
      </c>
      <c r="K802" t="s">
        <v>26</v>
      </c>
      <c r="L802">
        <v>21</v>
      </c>
      <c r="M802">
        <v>0.04</v>
      </c>
      <c r="N802" t="s">
        <v>20</v>
      </c>
    </row>
    <row r="803" spans="1:14" x14ac:dyDescent="0.25">
      <c r="A803">
        <v>802</v>
      </c>
      <c r="B803" t="s">
        <v>52</v>
      </c>
      <c r="C803">
        <v>2020</v>
      </c>
      <c r="D803">
        <v>1.4</v>
      </c>
      <c r="E803" t="s">
        <v>15</v>
      </c>
      <c r="F803">
        <v>231832</v>
      </c>
      <c r="G803" t="s">
        <v>30</v>
      </c>
      <c r="H803">
        <v>62939.91</v>
      </c>
      <c r="I803" t="s">
        <v>53</v>
      </c>
      <c r="J803" t="s">
        <v>18</v>
      </c>
      <c r="K803" t="s">
        <v>26</v>
      </c>
      <c r="L803">
        <v>6</v>
      </c>
      <c r="M803">
        <v>0.27</v>
      </c>
      <c r="N803" t="s">
        <v>33</v>
      </c>
    </row>
    <row r="804" spans="1:14" x14ac:dyDescent="0.25">
      <c r="A804">
        <v>803</v>
      </c>
      <c r="B804" t="s">
        <v>29</v>
      </c>
      <c r="C804">
        <v>2003</v>
      </c>
      <c r="D804">
        <v>3</v>
      </c>
      <c r="E804" t="s">
        <v>15</v>
      </c>
      <c r="F804">
        <v>156629</v>
      </c>
      <c r="G804" t="s">
        <v>30</v>
      </c>
      <c r="H804">
        <v>43638.79</v>
      </c>
      <c r="I804" t="s">
        <v>62</v>
      </c>
      <c r="J804" t="s">
        <v>46</v>
      </c>
      <c r="K804" t="s">
        <v>26</v>
      </c>
      <c r="L804">
        <v>23</v>
      </c>
      <c r="M804">
        <v>0.28000000000000003</v>
      </c>
      <c r="N804" t="s">
        <v>33</v>
      </c>
    </row>
    <row r="805" spans="1:14" x14ac:dyDescent="0.25">
      <c r="A805">
        <v>804</v>
      </c>
      <c r="B805" t="s">
        <v>24</v>
      </c>
      <c r="C805">
        <v>2018</v>
      </c>
      <c r="D805">
        <v>1.9</v>
      </c>
      <c r="E805" t="s">
        <v>15</v>
      </c>
      <c r="F805">
        <v>234799</v>
      </c>
      <c r="G805" t="s">
        <v>16</v>
      </c>
      <c r="H805">
        <v>35070.17</v>
      </c>
      <c r="I805" t="s">
        <v>34</v>
      </c>
      <c r="J805" t="s">
        <v>18</v>
      </c>
      <c r="K805" t="s">
        <v>26</v>
      </c>
      <c r="L805">
        <v>8</v>
      </c>
      <c r="M805">
        <v>0.15</v>
      </c>
      <c r="N805" t="s">
        <v>20</v>
      </c>
    </row>
    <row r="806" spans="1:14" x14ac:dyDescent="0.25">
      <c r="A806">
        <v>805</v>
      </c>
      <c r="B806" t="s">
        <v>21</v>
      </c>
      <c r="C806">
        <v>2015</v>
      </c>
      <c r="D806">
        <v>1.8</v>
      </c>
      <c r="E806" t="s">
        <v>15</v>
      </c>
      <c r="F806">
        <v>168157</v>
      </c>
      <c r="G806" t="s">
        <v>16</v>
      </c>
      <c r="H806">
        <v>65839.009999999995</v>
      </c>
      <c r="I806" t="s">
        <v>23</v>
      </c>
      <c r="J806" t="s">
        <v>46</v>
      </c>
      <c r="K806" t="s">
        <v>26</v>
      </c>
      <c r="L806">
        <v>11</v>
      </c>
      <c r="M806">
        <v>0.39</v>
      </c>
      <c r="N806" t="s">
        <v>20</v>
      </c>
    </row>
    <row r="807" spans="1:14" x14ac:dyDescent="0.25">
      <c r="A807">
        <v>806</v>
      </c>
      <c r="B807" t="s">
        <v>43</v>
      </c>
      <c r="C807">
        <v>2012</v>
      </c>
      <c r="D807">
        <v>5.0999999999999996</v>
      </c>
      <c r="E807" t="s">
        <v>15</v>
      </c>
      <c r="F807">
        <v>144542</v>
      </c>
      <c r="G807" t="s">
        <v>22</v>
      </c>
      <c r="H807">
        <v>46478.38</v>
      </c>
      <c r="I807" t="s">
        <v>44</v>
      </c>
      <c r="J807" t="s">
        <v>32</v>
      </c>
      <c r="K807" t="s">
        <v>19</v>
      </c>
      <c r="L807">
        <v>14</v>
      </c>
      <c r="M807">
        <v>0.32</v>
      </c>
      <c r="N807" t="s">
        <v>20</v>
      </c>
    </row>
    <row r="808" spans="1:14" x14ac:dyDescent="0.25">
      <c r="A808">
        <v>807</v>
      </c>
      <c r="B808" t="s">
        <v>52</v>
      </c>
      <c r="C808">
        <v>2003</v>
      </c>
      <c r="D808">
        <v>1.2</v>
      </c>
      <c r="E808" t="s">
        <v>27</v>
      </c>
      <c r="F808">
        <v>118643</v>
      </c>
      <c r="G808" t="s">
        <v>22</v>
      </c>
      <c r="H808">
        <v>13780</v>
      </c>
      <c r="I808" t="s">
        <v>56</v>
      </c>
      <c r="J808" t="s">
        <v>46</v>
      </c>
      <c r="K808" t="s">
        <v>19</v>
      </c>
      <c r="L808">
        <v>23</v>
      </c>
      <c r="M808">
        <v>0.12</v>
      </c>
      <c r="N808" t="s">
        <v>33</v>
      </c>
    </row>
    <row r="809" spans="1:14" x14ac:dyDescent="0.25">
      <c r="A809">
        <v>808</v>
      </c>
      <c r="B809" t="s">
        <v>14</v>
      </c>
      <c r="C809">
        <v>2022</v>
      </c>
      <c r="D809">
        <v>3.1</v>
      </c>
      <c r="E809" t="s">
        <v>15</v>
      </c>
      <c r="F809">
        <v>210154</v>
      </c>
      <c r="G809" t="s">
        <v>30</v>
      </c>
      <c r="H809">
        <v>92015.29</v>
      </c>
      <c r="I809" t="s">
        <v>58</v>
      </c>
      <c r="J809" t="s">
        <v>18</v>
      </c>
      <c r="K809" t="s">
        <v>26</v>
      </c>
      <c r="L809">
        <v>4</v>
      </c>
      <c r="M809">
        <v>0.44</v>
      </c>
      <c r="N809" t="s">
        <v>20</v>
      </c>
    </row>
    <row r="810" spans="1:14" x14ac:dyDescent="0.25">
      <c r="A810">
        <v>809</v>
      </c>
      <c r="B810" t="s">
        <v>21</v>
      </c>
      <c r="C810">
        <v>2016</v>
      </c>
      <c r="D810">
        <v>1.8</v>
      </c>
      <c r="E810" t="s">
        <v>15</v>
      </c>
      <c r="F810">
        <v>137877</v>
      </c>
      <c r="G810" t="s">
        <v>22</v>
      </c>
      <c r="H810">
        <v>78956.84</v>
      </c>
      <c r="I810" t="s">
        <v>60</v>
      </c>
      <c r="J810" t="s">
        <v>32</v>
      </c>
      <c r="K810" t="s">
        <v>19</v>
      </c>
      <c r="L810">
        <v>10</v>
      </c>
      <c r="M810">
        <v>0.56999999999999995</v>
      </c>
      <c r="N810" t="s">
        <v>20</v>
      </c>
    </row>
    <row r="811" spans="1:14" x14ac:dyDescent="0.25">
      <c r="A811">
        <v>810</v>
      </c>
      <c r="B811" t="s">
        <v>52</v>
      </c>
      <c r="C811">
        <v>2022</v>
      </c>
      <c r="D811">
        <v>5.4</v>
      </c>
      <c r="E811" t="s">
        <v>27</v>
      </c>
      <c r="F811">
        <v>213396</v>
      </c>
      <c r="G811" t="s">
        <v>16</v>
      </c>
      <c r="H811">
        <v>10355.93</v>
      </c>
      <c r="I811" t="s">
        <v>59</v>
      </c>
      <c r="J811" t="s">
        <v>18</v>
      </c>
      <c r="K811" t="s">
        <v>26</v>
      </c>
      <c r="L811">
        <v>4</v>
      </c>
      <c r="M811">
        <v>0.05</v>
      </c>
      <c r="N811" t="s">
        <v>33</v>
      </c>
    </row>
    <row r="812" spans="1:14" x14ac:dyDescent="0.25">
      <c r="A812">
        <v>811</v>
      </c>
      <c r="B812" t="s">
        <v>52</v>
      </c>
      <c r="C812">
        <v>2000</v>
      </c>
      <c r="D812">
        <v>3.8</v>
      </c>
      <c r="E812" t="s">
        <v>15</v>
      </c>
      <c r="F812">
        <v>225956</v>
      </c>
      <c r="G812" t="s">
        <v>30</v>
      </c>
      <c r="H812">
        <v>54881.07</v>
      </c>
      <c r="I812" t="s">
        <v>59</v>
      </c>
      <c r="J812" t="s">
        <v>32</v>
      </c>
      <c r="K812" t="s">
        <v>26</v>
      </c>
      <c r="L812">
        <v>26</v>
      </c>
      <c r="M812">
        <v>0.24</v>
      </c>
      <c r="N812" t="s">
        <v>33</v>
      </c>
    </row>
    <row r="813" spans="1:14" x14ac:dyDescent="0.25">
      <c r="A813">
        <v>812</v>
      </c>
      <c r="B813" t="s">
        <v>52</v>
      </c>
      <c r="C813">
        <v>2017</v>
      </c>
      <c r="D813">
        <v>2.2000000000000002</v>
      </c>
      <c r="E813" t="s">
        <v>27</v>
      </c>
      <c r="F813">
        <v>181844</v>
      </c>
      <c r="G813" t="s">
        <v>16</v>
      </c>
      <c r="H813">
        <v>12920.87</v>
      </c>
      <c r="I813" t="s">
        <v>56</v>
      </c>
      <c r="J813" t="s">
        <v>41</v>
      </c>
      <c r="K813" t="s">
        <v>26</v>
      </c>
      <c r="L813">
        <v>9</v>
      </c>
      <c r="M813">
        <v>7.0000000000000007E-2</v>
      </c>
      <c r="N813" t="s">
        <v>33</v>
      </c>
    </row>
    <row r="814" spans="1:14" x14ac:dyDescent="0.25">
      <c r="A814">
        <v>813</v>
      </c>
      <c r="B814" t="s">
        <v>43</v>
      </c>
      <c r="C814">
        <v>2019</v>
      </c>
      <c r="D814">
        <v>3.5</v>
      </c>
      <c r="E814" t="s">
        <v>27</v>
      </c>
      <c r="F814">
        <v>101422</v>
      </c>
      <c r="G814" t="s">
        <v>30</v>
      </c>
      <c r="H814">
        <v>84542.54</v>
      </c>
      <c r="I814" t="s">
        <v>44</v>
      </c>
      <c r="J814" t="s">
        <v>41</v>
      </c>
      <c r="K814" t="s">
        <v>19</v>
      </c>
      <c r="L814">
        <v>7</v>
      </c>
      <c r="M814">
        <v>0.83</v>
      </c>
      <c r="N814" t="s">
        <v>20</v>
      </c>
    </row>
    <row r="815" spans="1:14" x14ac:dyDescent="0.25">
      <c r="A815">
        <v>814</v>
      </c>
      <c r="B815" t="s">
        <v>24</v>
      </c>
      <c r="C815">
        <v>2016</v>
      </c>
      <c r="D815">
        <v>4.7</v>
      </c>
      <c r="E815" t="s">
        <v>27</v>
      </c>
      <c r="F815">
        <v>268774</v>
      </c>
      <c r="G815" t="s">
        <v>30</v>
      </c>
      <c r="H815">
        <v>63236.33</v>
      </c>
      <c r="I815" t="s">
        <v>34</v>
      </c>
      <c r="J815" t="s">
        <v>41</v>
      </c>
      <c r="K815" t="s">
        <v>26</v>
      </c>
      <c r="L815">
        <v>10</v>
      </c>
      <c r="M815">
        <v>0.24</v>
      </c>
      <c r="N815" t="s">
        <v>20</v>
      </c>
    </row>
    <row r="816" spans="1:14" x14ac:dyDescent="0.25">
      <c r="A816">
        <v>815</v>
      </c>
      <c r="B816" t="s">
        <v>43</v>
      </c>
      <c r="C816">
        <v>2014</v>
      </c>
      <c r="D816">
        <v>5.8</v>
      </c>
      <c r="E816" t="s">
        <v>27</v>
      </c>
      <c r="F816">
        <v>277845</v>
      </c>
      <c r="G816" t="s">
        <v>16</v>
      </c>
      <c r="H816">
        <v>21382.67</v>
      </c>
      <c r="I816" t="s">
        <v>48</v>
      </c>
      <c r="J816" t="s">
        <v>18</v>
      </c>
      <c r="K816" t="s">
        <v>26</v>
      </c>
      <c r="L816">
        <v>12</v>
      </c>
      <c r="M816">
        <v>0.08</v>
      </c>
      <c r="N816" t="s">
        <v>20</v>
      </c>
    </row>
    <row r="817" spans="1:14" x14ac:dyDescent="0.25">
      <c r="A817">
        <v>816</v>
      </c>
      <c r="B817" t="s">
        <v>36</v>
      </c>
      <c r="C817">
        <v>2010</v>
      </c>
      <c r="D817">
        <v>2.1</v>
      </c>
      <c r="E817" t="s">
        <v>15</v>
      </c>
      <c r="F817">
        <v>145931</v>
      </c>
      <c r="G817" t="s">
        <v>22</v>
      </c>
      <c r="H817">
        <v>6970.43</v>
      </c>
      <c r="I817" t="s">
        <v>51</v>
      </c>
      <c r="J817" t="s">
        <v>41</v>
      </c>
      <c r="K817" t="s">
        <v>19</v>
      </c>
      <c r="L817">
        <v>16</v>
      </c>
      <c r="M817">
        <v>0.05</v>
      </c>
      <c r="N817" t="s">
        <v>33</v>
      </c>
    </row>
    <row r="818" spans="1:14" x14ac:dyDescent="0.25">
      <c r="A818">
        <v>817</v>
      </c>
      <c r="B818" t="s">
        <v>21</v>
      </c>
      <c r="C818">
        <v>2021</v>
      </c>
      <c r="D818">
        <v>5.4</v>
      </c>
      <c r="E818" t="s">
        <v>15</v>
      </c>
      <c r="F818">
        <v>117556</v>
      </c>
      <c r="G818" t="s">
        <v>22</v>
      </c>
      <c r="H818">
        <v>8000.2</v>
      </c>
      <c r="I818" t="s">
        <v>23</v>
      </c>
      <c r="J818" t="s">
        <v>18</v>
      </c>
      <c r="K818" t="s">
        <v>19</v>
      </c>
      <c r="L818">
        <v>5</v>
      </c>
      <c r="M818">
        <v>7.0000000000000007E-2</v>
      </c>
      <c r="N818" t="s">
        <v>20</v>
      </c>
    </row>
    <row r="819" spans="1:14" x14ac:dyDescent="0.25">
      <c r="A819">
        <v>818</v>
      </c>
      <c r="B819" t="s">
        <v>24</v>
      </c>
      <c r="C819">
        <v>2012</v>
      </c>
      <c r="D819">
        <v>5.7</v>
      </c>
      <c r="E819" t="s">
        <v>27</v>
      </c>
      <c r="F819">
        <v>228495</v>
      </c>
      <c r="G819" t="s">
        <v>22</v>
      </c>
      <c r="H819">
        <v>53199.72</v>
      </c>
      <c r="I819" t="s">
        <v>34</v>
      </c>
      <c r="J819" t="s">
        <v>18</v>
      </c>
      <c r="K819" t="s">
        <v>26</v>
      </c>
      <c r="L819">
        <v>14</v>
      </c>
      <c r="M819">
        <v>0.23</v>
      </c>
      <c r="N819" t="s">
        <v>20</v>
      </c>
    </row>
    <row r="820" spans="1:14" x14ac:dyDescent="0.25">
      <c r="A820">
        <v>819</v>
      </c>
      <c r="B820" t="s">
        <v>24</v>
      </c>
      <c r="C820">
        <v>2000</v>
      </c>
      <c r="D820">
        <v>5.6</v>
      </c>
      <c r="E820" t="s">
        <v>27</v>
      </c>
      <c r="F820">
        <v>254809</v>
      </c>
      <c r="G820" t="s">
        <v>22</v>
      </c>
      <c r="H820">
        <v>74765.48</v>
      </c>
      <c r="I820" t="s">
        <v>34</v>
      </c>
      <c r="J820" t="s">
        <v>41</v>
      </c>
      <c r="K820" t="s">
        <v>26</v>
      </c>
      <c r="L820">
        <v>26</v>
      </c>
      <c r="M820">
        <v>0.28999999999999998</v>
      </c>
      <c r="N820" t="s">
        <v>20</v>
      </c>
    </row>
    <row r="821" spans="1:14" x14ac:dyDescent="0.25">
      <c r="A821">
        <v>820</v>
      </c>
      <c r="B821" t="s">
        <v>24</v>
      </c>
      <c r="C821">
        <v>2016</v>
      </c>
      <c r="D821">
        <v>4.2</v>
      </c>
      <c r="E821" t="s">
        <v>15</v>
      </c>
      <c r="F821">
        <v>205384</v>
      </c>
      <c r="G821" t="s">
        <v>16</v>
      </c>
      <c r="H821">
        <v>16479.84</v>
      </c>
      <c r="I821" t="s">
        <v>34</v>
      </c>
      <c r="J821" t="s">
        <v>32</v>
      </c>
      <c r="K821" t="s">
        <v>26</v>
      </c>
      <c r="L821">
        <v>10</v>
      </c>
      <c r="M821">
        <v>0.08</v>
      </c>
      <c r="N821" t="s">
        <v>20</v>
      </c>
    </row>
    <row r="822" spans="1:14" x14ac:dyDescent="0.25">
      <c r="A822">
        <v>821</v>
      </c>
      <c r="B822" t="s">
        <v>14</v>
      </c>
      <c r="C822">
        <v>2005</v>
      </c>
      <c r="D822">
        <v>4.0999999999999996</v>
      </c>
      <c r="E822" t="s">
        <v>27</v>
      </c>
      <c r="F822">
        <v>15021</v>
      </c>
      <c r="G822" t="s">
        <v>30</v>
      </c>
      <c r="H822">
        <v>26021.99</v>
      </c>
      <c r="I822" t="s">
        <v>58</v>
      </c>
      <c r="J822" t="s">
        <v>18</v>
      </c>
      <c r="K822" t="s">
        <v>50</v>
      </c>
      <c r="L822">
        <v>21</v>
      </c>
      <c r="M822">
        <v>1.73</v>
      </c>
      <c r="N822" t="s">
        <v>20</v>
      </c>
    </row>
    <row r="823" spans="1:14" x14ac:dyDescent="0.25">
      <c r="A823">
        <v>822</v>
      </c>
      <c r="B823" t="s">
        <v>24</v>
      </c>
      <c r="C823">
        <v>2003</v>
      </c>
      <c r="D823">
        <v>3</v>
      </c>
      <c r="E823" t="s">
        <v>27</v>
      </c>
      <c r="F823">
        <v>200935</v>
      </c>
      <c r="G823" t="s">
        <v>16</v>
      </c>
      <c r="H823">
        <v>36089.69</v>
      </c>
      <c r="I823" t="s">
        <v>35</v>
      </c>
      <c r="J823" t="s">
        <v>18</v>
      </c>
      <c r="K823" t="s">
        <v>26</v>
      </c>
      <c r="L823">
        <v>23</v>
      </c>
      <c r="M823">
        <v>0.18</v>
      </c>
      <c r="N823" t="s">
        <v>20</v>
      </c>
    </row>
    <row r="824" spans="1:14" x14ac:dyDescent="0.25">
      <c r="A824">
        <v>823</v>
      </c>
      <c r="B824" t="s">
        <v>43</v>
      </c>
      <c r="C824">
        <v>2019</v>
      </c>
      <c r="D824">
        <v>4.8</v>
      </c>
      <c r="E824" t="s">
        <v>27</v>
      </c>
      <c r="F824">
        <v>204222</v>
      </c>
      <c r="G824" t="s">
        <v>22</v>
      </c>
      <c r="H824">
        <v>25717.29</v>
      </c>
      <c r="I824" t="s">
        <v>44</v>
      </c>
      <c r="J824" t="s">
        <v>41</v>
      </c>
      <c r="K824" t="s">
        <v>26</v>
      </c>
      <c r="L824">
        <v>7</v>
      </c>
      <c r="M824">
        <v>0.13</v>
      </c>
      <c r="N824" t="s">
        <v>20</v>
      </c>
    </row>
    <row r="825" spans="1:14" x14ac:dyDescent="0.25">
      <c r="A825">
        <v>824</v>
      </c>
      <c r="B825" t="s">
        <v>24</v>
      </c>
      <c r="C825">
        <v>2015</v>
      </c>
      <c r="D825">
        <v>3.7</v>
      </c>
      <c r="E825" t="s">
        <v>15</v>
      </c>
      <c r="F825">
        <v>64361</v>
      </c>
      <c r="G825" t="s">
        <v>22</v>
      </c>
      <c r="H825">
        <v>42176.97</v>
      </c>
      <c r="I825" t="s">
        <v>34</v>
      </c>
      <c r="J825" t="s">
        <v>18</v>
      </c>
      <c r="K825" t="s">
        <v>19</v>
      </c>
      <c r="L825">
        <v>11</v>
      </c>
      <c r="M825">
        <v>0.66</v>
      </c>
      <c r="N825" t="s">
        <v>20</v>
      </c>
    </row>
    <row r="826" spans="1:14" x14ac:dyDescent="0.25">
      <c r="A826">
        <v>825</v>
      </c>
      <c r="B826" t="s">
        <v>29</v>
      </c>
      <c r="C826">
        <v>2014</v>
      </c>
      <c r="D826">
        <v>4.4000000000000004</v>
      </c>
      <c r="E826" t="s">
        <v>27</v>
      </c>
      <c r="F826">
        <v>272499</v>
      </c>
      <c r="G826" t="s">
        <v>16</v>
      </c>
      <c r="H826">
        <v>58163.43</v>
      </c>
      <c r="I826" t="s">
        <v>38</v>
      </c>
      <c r="J826" t="s">
        <v>32</v>
      </c>
      <c r="K826" t="s">
        <v>26</v>
      </c>
      <c r="L826">
        <v>12</v>
      </c>
      <c r="M826">
        <v>0.21</v>
      </c>
      <c r="N826" t="s">
        <v>33</v>
      </c>
    </row>
    <row r="827" spans="1:14" x14ac:dyDescent="0.25">
      <c r="A827">
        <v>826</v>
      </c>
      <c r="B827" t="s">
        <v>21</v>
      </c>
      <c r="C827">
        <v>2014</v>
      </c>
      <c r="D827">
        <v>3.1</v>
      </c>
      <c r="E827" t="s">
        <v>15</v>
      </c>
      <c r="F827">
        <v>98841</v>
      </c>
      <c r="G827" t="s">
        <v>30</v>
      </c>
      <c r="H827">
        <v>70068.990000000005</v>
      </c>
      <c r="I827" t="s">
        <v>23</v>
      </c>
      <c r="J827" t="s">
        <v>32</v>
      </c>
      <c r="K827" t="s">
        <v>19</v>
      </c>
      <c r="L827">
        <v>12</v>
      </c>
      <c r="M827">
        <v>0.71</v>
      </c>
      <c r="N827" t="s">
        <v>20</v>
      </c>
    </row>
    <row r="828" spans="1:14" x14ac:dyDescent="0.25">
      <c r="A828">
        <v>827</v>
      </c>
      <c r="B828" t="s">
        <v>24</v>
      </c>
      <c r="C828">
        <v>2005</v>
      </c>
      <c r="D828">
        <v>4.7</v>
      </c>
      <c r="E828" t="s">
        <v>15</v>
      </c>
      <c r="F828">
        <v>180076</v>
      </c>
      <c r="G828" t="s">
        <v>16</v>
      </c>
      <c r="H828">
        <v>96558.64</v>
      </c>
      <c r="I828" t="s">
        <v>45</v>
      </c>
      <c r="J828" t="s">
        <v>41</v>
      </c>
      <c r="K828" t="s">
        <v>26</v>
      </c>
      <c r="L828">
        <v>21</v>
      </c>
      <c r="M828">
        <v>0.54</v>
      </c>
      <c r="N828" t="s">
        <v>20</v>
      </c>
    </row>
    <row r="829" spans="1:14" x14ac:dyDescent="0.25">
      <c r="A829">
        <v>828</v>
      </c>
      <c r="B829" t="s">
        <v>21</v>
      </c>
      <c r="C829">
        <v>2014</v>
      </c>
      <c r="D829">
        <v>5.0999999999999996</v>
      </c>
      <c r="E829" t="s">
        <v>15</v>
      </c>
      <c r="F829">
        <v>246300</v>
      </c>
      <c r="G829" t="s">
        <v>16</v>
      </c>
      <c r="H829">
        <v>93430.15</v>
      </c>
      <c r="I829" t="s">
        <v>23</v>
      </c>
      <c r="J829" t="s">
        <v>18</v>
      </c>
      <c r="K829" t="s">
        <v>26</v>
      </c>
      <c r="L829">
        <v>12</v>
      </c>
      <c r="M829">
        <v>0.38</v>
      </c>
      <c r="N829" t="s">
        <v>20</v>
      </c>
    </row>
    <row r="830" spans="1:14" x14ac:dyDescent="0.25">
      <c r="A830">
        <v>829</v>
      </c>
      <c r="B830" t="s">
        <v>29</v>
      </c>
      <c r="C830">
        <v>2013</v>
      </c>
      <c r="D830">
        <v>1.7</v>
      </c>
      <c r="E830" t="s">
        <v>27</v>
      </c>
      <c r="F830">
        <v>160786</v>
      </c>
      <c r="G830" t="s">
        <v>16</v>
      </c>
      <c r="H830">
        <v>59162.06</v>
      </c>
      <c r="I830" t="s">
        <v>38</v>
      </c>
      <c r="J830" t="s">
        <v>46</v>
      </c>
      <c r="K830" t="s">
        <v>26</v>
      </c>
      <c r="L830">
        <v>13</v>
      </c>
      <c r="M830">
        <v>0.37</v>
      </c>
      <c r="N830" t="s">
        <v>33</v>
      </c>
    </row>
    <row r="831" spans="1:14" x14ac:dyDescent="0.25">
      <c r="A831">
        <v>830</v>
      </c>
      <c r="B831" t="s">
        <v>29</v>
      </c>
      <c r="C831">
        <v>2010</v>
      </c>
      <c r="D831">
        <v>5.2</v>
      </c>
      <c r="E831" t="s">
        <v>27</v>
      </c>
      <c r="F831">
        <v>17198</v>
      </c>
      <c r="G831" t="s">
        <v>30</v>
      </c>
      <c r="H831">
        <v>74744.259999999995</v>
      </c>
      <c r="I831" t="s">
        <v>38</v>
      </c>
      <c r="J831" t="s">
        <v>46</v>
      </c>
      <c r="K831" t="s">
        <v>50</v>
      </c>
      <c r="L831">
        <v>16</v>
      </c>
      <c r="M831">
        <v>4.3499999999999996</v>
      </c>
      <c r="N831" t="s">
        <v>33</v>
      </c>
    </row>
    <row r="832" spans="1:14" x14ac:dyDescent="0.25">
      <c r="A832">
        <v>831</v>
      </c>
      <c r="B832" t="s">
        <v>21</v>
      </c>
      <c r="C832">
        <v>2006</v>
      </c>
      <c r="D832">
        <v>3.7</v>
      </c>
      <c r="E832" t="s">
        <v>15</v>
      </c>
      <c r="F832">
        <v>258466</v>
      </c>
      <c r="G832" t="s">
        <v>16</v>
      </c>
      <c r="H832">
        <v>95332.86</v>
      </c>
      <c r="I832" t="s">
        <v>42</v>
      </c>
      <c r="J832" t="s">
        <v>18</v>
      </c>
      <c r="K832" t="s">
        <v>26</v>
      </c>
      <c r="L832">
        <v>20</v>
      </c>
      <c r="M832">
        <v>0.37</v>
      </c>
      <c r="N832" t="s">
        <v>20</v>
      </c>
    </row>
    <row r="833" spans="1:14" x14ac:dyDescent="0.25">
      <c r="A833">
        <v>832</v>
      </c>
      <c r="B833" t="s">
        <v>52</v>
      </c>
      <c r="C833">
        <v>2008</v>
      </c>
      <c r="D833">
        <v>5.2</v>
      </c>
      <c r="E833" t="s">
        <v>15</v>
      </c>
      <c r="F833">
        <v>18740</v>
      </c>
      <c r="G833" t="s">
        <v>16</v>
      </c>
      <c r="H833">
        <v>12929.83</v>
      </c>
      <c r="I833" t="s">
        <v>56</v>
      </c>
      <c r="J833" t="s">
        <v>18</v>
      </c>
      <c r="K833" t="s">
        <v>50</v>
      </c>
      <c r="L833">
        <v>18</v>
      </c>
      <c r="M833">
        <v>0.69</v>
      </c>
      <c r="N833" t="s">
        <v>33</v>
      </c>
    </row>
    <row r="834" spans="1:14" x14ac:dyDescent="0.25">
      <c r="A834">
        <v>833</v>
      </c>
      <c r="B834" t="s">
        <v>36</v>
      </c>
      <c r="C834">
        <v>2015</v>
      </c>
      <c r="D834">
        <v>3.2</v>
      </c>
      <c r="E834" t="s">
        <v>15</v>
      </c>
      <c r="F834">
        <v>265954</v>
      </c>
      <c r="G834" t="s">
        <v>22</v>
      </c>
      <c r="H834">
        <v>5535.3</v>
      </c>
      <c r="I834" t="s">
        <v>37</v>
      </c>
      <c r="J834" t="s">
        <v>18</v>
      </c>
      <c r="K834" t="s">
        <v>26</v>
      </c>
      <c r="L834">
        <v>11</v>
      </c>
      <c r="M834">
        <v>0.02</v>
      </c>
      <c r="N834" t="s">
        <v>33</v>
      </c>
    </row>
    <row r="835" spans="1:14" x14ac:dyDescent="0.25">
      <c r="A835">
        <v>834</v>
      </c>
      <c r="B835" t="s">
        <v>14</v>
      </c>
      <c r="C835">
        <v>2004</v>
      </c>
      <c r="D835">
        <v>2.9</v>
      </c>
      <c r="E835" t="s">
        <v>27</v>
      </c>
      <c r="F835">
        <v>258308</v>
      </c>
      <c r="G835" t="s">
        <v>16</v>
      </c>
      <c r="H835">
        <v>7830.98</v>
      </c>
      <c r="I835" t="s">
        <v>28</v>
      </c>
      <c r="J835" t="s">
        <v>18</v>
      </c>
      <c r="K835" t="s">
        <v>26</v>
      </c>
      <c r="L835">
        <v>22</v>
      </c>
      <c r="M835">
        <v>0.03</v>
      </c>
      <c r="N835" t="s">
        <v>20</v>
      </c>
    </row>
    <row r="836" spans="1:14" x14ac:dyDescent="0.25">
      <c r="A836">
        <v>835</v>
      </c>
      <c r="B836" t="s">
        <v>52</v>
      </c>
      <c r="C836">
        <v>2019</v>
      </c>
      <c r="D836">
        <v>5.6</v>
      </c>
      <c r="E836" t="s">
        <v>27</v>
      </c>
      <c r="F836">
        <v>99855</v>
      </c>
      <c r="G836" t="s">
        <v>22</v>
      </c>
      <c r="H836">
        <v>58518.19</v>
      </c>
      <c r="I836" t="s">
        <v>56</v>
      </c>
      <c r="J836" t="s">
        <v>32</v>
      </c>
      <c r="K836" t="s">
        <v>19</v>
      </c>
      <c r="L836">
        <v>7</v>
      </c>
      <c r="M836">
        <v>0.59</v>
      </c>
      <c r="N836" t="s">
        <v>33</v>
      </c>
    </row>
    <row r="837" spans="1:14" x14ac:dyDescent="0.25">
      <c r="A837">
        <v>836</v>
      </c>
      <c r="B837" t="s">
        <v>52</v>
      </c>
      <c r="C837">
        <v>2009</v>
      </c>
      <c r="D837">
        <v>2.2999999999999998</v>
      </c>
      <c r="E837" t="s">
        <v>15</v>
      </c>
      <c r="F837">
        <v>210192</v>
      </c>
      <c r="G837" t="s">
        <v>22</v>
      </c>
      <c r="H837">
        <v>77469.179999999993</v>
      </c>
      <c r="I837" t="s">
        <v>61</v>
      </c>
      <c r="J837" t="s">
        <v>46</v>
      </c>
      <c r="K837" t="s">
        <v>26</v>
      </c>
      <c r="L837">
        <v>17</v>
      </c>
      <c r="M837">
        <v>0.37</v>
      </c>
      <c r="N837" t="s">
        <v>33</v>
      </c>
    </row>
    <row r="838" spans="1:14" x14ac:dyDescent="0.25">
      <c r="A838">
        <v>837</v>
      </c>
      <c r="B838" t="s">
        <v>43</v>
      </c>
      <c r="C838">
        <v>2017</v>
      </c>
      <c r="D838">
        <v>5.2</v>
      </c>
      <c r="E838" t="s">
        <v>15</v>
      </c>
      <c r="F838">
        <v>288927</v>
      </c>
      <c r="G838" t="s">
        <v>22</v>
      </c>
      <c r="H838">
        <v>39872.120000000003</v>
      </c>
      <c r="I838" t="s">
        <v>49</v>
      </c>
      <c r="J838" t="s">
        <v>41</v>
      </c>
      <c r="K838" t="s">
        <v>26</v>
      </c>
      <c r="L838">
        <v>9</v>
      </c>
      <c r="M838">
        <v>0.14000000000000001</v>
      </c>
      <c r="N838" t="s">
        <v>20</v>
      </c>
    </row>
    <row r="839" spans="1:14" x14ac:dyDescent="0.25">
      <c r="A839">
        <v>838</v>
      </c>
      <c r="B839" t="s">
        <v>14</v>
      </c>
      <c r="C839">
        <v>2002</v>
      </c>
      <c r="D839">
        <v>3.4</v>
      </c>
      <c r="E839" t="s">
        <v>27</v>
      </c>
      <c r="F839">
        <v>121701</v>
      </c>
      <c r="G839" t="s">
        <v>30</v>
      </c>
      <c r="H839">
        <v>56797.72</v>
      </c>
      <c r="I839" t="s">
        <v>28</v>
      </c>
      <c r="J839" t="s">
        <v>18</v>
      </c>
      <c r="K839" t="s">
        <v>19</v>
      </c>
      <c r="L839">
        <v>24</v>
      </c>
      <c r="M839">
        <v>0.47</v>
      </c>
      <c r="N839" t="s">
        <v>20</v>
      </c>
    </row>
    <row r="840" spans="1:14" x14ac:dyDescent="0.25">
      <c r="A840">
        <v>839</v>
      </c>
      <c r="B840" t="s">
        <v>14</v>
      </c>
      <c r="C840">
        <v>2012</v>
      </c>
      <c r="D840">
        <v>3.6</v>
      </c>
      <c r="E840" t="s">
        <v>15</v>
      </c>
      <c r="F840">
        <v>271615</v>
      </c>
      <c r="G840" t="s">
        <v>22</v>
      </c>
      <c r="H840">
        <v>54054.8</v>
      </c>
      <c r="I840" t="s">
        <v>28</v>
      </c>
      <c r="J840" t="s">
        <v>18</v>
      </c>
      <c r="K840" t="s">
        <v>26</v>
      </c>
      <c r="L840">
        <v>14</v>
      </c>
      <c r="M840">
        <v>0.2</v>
      </c>
      <c r="N840" t="s">
        <v>20</v>
      </c>
    </row>
    <row r="841" spans="1:14" x14ac:dyDescent="0.25">
      <c r="A841">
        <v>840</v>
      </c>
      <c r="B841" t="s">
        <v>52</v>
      </c>
      <c r="C841">
        <v>2010</v>
      </c>
      <c r="D841">
        <v>2.5</v>
      </c>
      <c r="E841" t="s">
        <v>27</v>
      </c>
      <c r="F841">
        <v>110771</v>
      </c>
      <c r="G841" t="s">
        <v>16</v>
      </c>
      <c r="H841">
        <v>14003.23</v>
      </c>
      <c r="I841" t="s">
        <v>56</v>
      </c>
      <c r="J841" t="s">
        <v>32</v>
      </c>
      <c r="K841" t="s">
        <v>19</v>
      </c>
      <c r="L841">
        <v>16</v>
      </c>
      <c r="M841">
        <v>0.13</v>
      </c>
      <c r="N841" t="s">
        <v>33</v>
      </c>
    </row>
    <row r="842" spans="1:14" x14ac:dyDescent="0.25">
      <c r="A842">
        <v>841</v>
      </c>
      <c r="B842" t="s">
        <v>24</v>
      </c>
      <c r="C842">
        <v>2016</v>
      </c>
      <c r="D842">
        <v>3.9</v>
      </c>
      <c r="E842" t="s">
        <v>27</v>
      </c>
      <c r="F842">
        <v>6163</v>
      </c>
      <c r="G842" t="s">
        <v>16</v>
      </c>
      <c r="H842">
        <v>35550.89</v>
      </c>
      <c r="I842" t="s">
        <v>25</v>
      </c>
      <c r="J842" t="s">
        <v>18</v>
      </c>
      <c r="K842" t="s">
        <v>50</v>
      </c>
      <c r="L842">
        <v>10</v>
      </c>
      <c r="M842">
        <v>5.77</v>
      </c>
      <c r="N842" t="s">
        <v>20</v>
      </c>
    </row>
    <row r="843" spans="1:14" x14ac:dyDescent="0.25">
      <c r="A843">
        <v>842</v>
      </c>
      <c r="B843" t="s">
        <v>43</v>
      </c>
      <c r="C843">
        <v>2021</v>
      </c>
      <c r="D843">
        <v>2.6</v>
      </c>
      <c r="E843" t="s">
        <v>15</v>
      </c>
      <c r="F843">
        <v>16065</v>
      </c>
      <c r="G843" t="s">
        <v>22</v>
      </c>
      <c r="H843">
        <v>6846.34</v>
      </c>
      <c r="I843" t="s">
        <v>44</v>
      </c>
      <c r="J843" t="s">
        <v>41</v>
      </c>
      <c r="K843" t="s">
        <v>50</v>
      </c>
      <c r="L843">
        <v>5</v>
      </c>
      <c r="M843">
        <v>0.43</v>
      </c>
      <c r="N843" t="s">
        <v>20</v>
      </c>
    </row>
    <row r="844" spans="1:14" x14ac:dyDescent="0.25">
      <c r="A844">
        <v>843</v>
      </c>
      <c r="B844" t="s">
        <v>43</v>
      </c>
      <c r="C844">
        <v>2012</v>
      </c>
      <c r="D844">
        <v>1.2</v>
      </c>
      <c r="E844" t="s">
        <v>15</v>
      </c>
      <c r="F844">
        <v>241262</v>
      </c>
      <c r="G844" t="s">
        <v>22</v>
      </c>
      <c r="H844">
        <v>15517.04</v>
      </c>
      <c r="I844" t="s">
        <v>48</v>
      </c>
      <c r="J844" t="s">
        <v>41</v>
      </c>
      <c r="K844" t="s">
        <v>26</v>
      </c>
      <c r="L844">
        <v>14</v>
      </c>
      <c r="M844">
        <v>0.06</v>
      </c>
      <c r="N844" t="s">
        <v>20</v>
      </c>
    </row>
    <row r="845" spans="1:14" x14ac:dyDescent="0.25">
      <c r="A845">
        <v>844</v>
      </c>
      <c r="B845" t="s">
        <v>29</v>
      </c>
      <c r="C845">
        <v>2005</v>
      </c>
      <c r="D845">
        <v>2.4</v>
      </c>
      <c r="E845" t="s">
        <v>27</v>
      </c>
      <c r="F845">
        <v>248924</v>
      </c>
      <c r="G845" t="s">
        <v>16</v>
      </c>
      <c r="H845">
        <v>82126.53</v>
      </c>
      <c r="I845" t="s">
        <v>40</v>
      </c>
      <c r="J845" t="s">
        <v>32</v>
      </c>
      <c r="K845" t="s">
        <v>26</v>
      </c>
      <c r="L845">
        <v>21</v>
      </c>
      <c r="M845">
        <v>0.33</v>
      </c>
      <c r="N845" t="s">
        <v>33</v>
      </c>
    </row>
    <row r="846" spans="1:14" x14ac:dyDescent="0.25">
      <c r="A846">
        <v>845</v>
      </c>
      <c r="B846" t="s">
        <v>14</v>
      </c>
      <c r="C846">
        <v>2016</v>
      </c>
      <c r="D846">
        <v>1</v>
      </c>
      <c r="E846" t="s">
        <v>27</v>
      </c>
      <c r="F846">
        <v>179420</v>
      </c>
      <c r="G846" t="s">
        <v>22</v>
      </c>
      <c r="H846">
        <v>83794.28</v>
      </c>
      <c r="I846" t="s">
        <v>39</v>
      </c>
      <c r="J846" t="s">
        <v>18</v>
      </c>
      <c r="K846" t="s">
        <v>26</v>
      </c>
      <c r="L846">
        <v>10</v>
      </c>
      <c r="M846">
        <v>0.47</v>
      </c>
      <c r="N846" t="s">
        <v>20</v>
      </c>
    </row>
    <row r="847" spans="1:14" x14ac:dyDescent="0.25">
      <c r="A847">
        <v>846</v>
      </c>
      <c r="B847" t="s">
        <v>52</v>
      </c>
      <c r="C847">
        <v>2012</v>
      </c>
      <c r="D847">
        <v>5.9</v>
      </c>
      <c r="E847" t="s">
        <v>27</v>
      </c>
      <c r="F847">
        <v>281298</v>
      </c>
      <c r="G847" t="s">
        <v>30</v>
      </c>
      <c r="H847">
        <v>81184.899999999994</v>
      </c>
      <c r="I847" t="s">
        <v>53</v>
      </c>
      <c r="J847" t="s">
        <v>46</v>
      </c>
      <c r="K847" t="s">
        <v>26</v>
      </c>
      <c r="L847">
        <v>14</v>
      </c>
      <c r="M847">
        <v>0.28999999999999998</v>
      </c>
      <c r="N847" t="s">
        <v>33</v>
      </c>
    </row>
    <row r="848" spans="1:14" x14ac:dyDescent="0.25">
      <c r="A848">
        <v>847</v>
      </c>
      <c r="B848" t="s">
        <v>29</v>
      </c>
      <c r="C848">
        <v>2018</v>
      </c>
      <c r="D848">
        <v>5.8</v>
      </c>
      <c r="E848" t="s">
        <v>27</v>
      </c>
      <c r="F848">
        <v>20229</v>
      </c>
      <c r="G848" t="s">
        <v>22</v>
      </c>
      <c r="H848">
        <v>74047.77</v>
      </c>
      <c r="I848" t="s">
        <v>62</v>
      </c>
      <c r="J848" t="s">
        <v>41</v>
      </c>
      <c r="K848" t="s">
        <v>50</v>
      </c>
      <c r="L848">
        <v>8</v>
      </c>
      <c r="M848">
        <v>3.66</v>
      </c>
      <c r="N848" t="s">
        <v>33</v>
      </c>
    </row>
    <row r="849" spans="1:14" x14ac:dyDescent="0.25">
      <c r="A849">
        <v>848</v>
      </c>
      <c r="B849" t="s">
        <v>21</v>
      </c>
      <c r="C849">
        <v>2020</v>
      </c>
      <c r="D849">
        <v>3</v>
      </c>
      <c r="E849" t="s">
        <v>27</v>
      </c>
      <c r="F849">
        <v>250470</v>
      </c>
      <c r="G849" t="s">
        <v>30</v>
      </c>
      <c r="H849">
        <v>80364.72</v>
      </c>
      <c r="I849" t="s">
        <v>47</v>
      </c>
      <c r="J849" t="s">
        <v>41</v>
      </c>
      <c r="K849" t="s">
        <v>26</v>
      </c>
      <c r="L849">
        <v>6</v>
      </c>
      <c r="M849">
        <v>0.32</v>
      </c>
      <c r="N849" t="s">
        <v>20</v>
      </c>
    </row>
    <row r="850" spans="1:14" x14ac:dyDescent="0.25">
      <c r="A850">
        <v>849</v>
      </c>
      <c r="B850" t="s">
        <v>36</v>
      </c>
      <c r="C850">
        <v>2018</v>
      </c>
      <c r="D850">
        <v>4.5999999999999996</v>
      </c>
      <c r="E850" t="s">
        <v>15</v>
      </c>
      <c r="F850">
        <v>158069</v>
      </c>
      <c r="G850" t="s">
        <v>30</v>
      </c>
      <c r="H850">
        <v>68743.320000000007</v>
      </c>
      <c r="I850" t="s">
        <v>37</v>
      </c>
      <c r="J850" t="s">
        <v>41</v>
      </c>
      <c r="K850" t="s">
        <v>26</v>
      </c>
      <c r="L850">
        <v>8</v>
      </c>
      <c r="M850">
        <v>0.43</v>
      </c>
      <c r="N850" t="s">
        <v>33</v>
      </c>
    </row>
    <row r="851" spans="1:14" x14ac:dyDescent="0.25">
      <c r="A851">
        <v>850</v>
      </c>
      <c r="B851" t="s">
        <v>43</v>
      </c>
      <c r="C851">
        <v>2009</v>
      </c>
      <c r="D851">
        <v>2.7</v>
      </c>
      <c r="E851" t="s">
        <v>27</v>
      </c>
      <c r="F851">
        <v>21101</v>
      </c>
      <c r="G851" t="s">
        <v>30</v>
      </c>
      <c r="H851">
        <v>68634.17</v>
      </c>
      <c r="I851" t="s">
        <v>55</v>
      </c>
      <c r="J851" t="s">
        <v>46</v>
      </c>
      <c r="K851" t="s">
        <v>50</v>
      </c>
      <c r="L851">
        <v>17</v>
      </c>
      <c r="M851">
        <v>3.25</v>
      </c>
      <c r="N851" t="s">
        <v>20</v>
      </c>
    </row>
    <row r="852" spans="1:14" x14ac:dyDescent="0.25">
      <c r="A852">
        <v>851</v>
      </c>
      <c r="B852" t="s">
        <v>21</v>
      </c>
      <c r="C852">
        <v>2002</v>
      </c>
      <c r="D852">
        <v>4.4000000000000004</v>
      </c>
      <c r="E852" t="s">
        <v>27</v>
      </c>
      <c r="F852">
        <v>40391</v>
      </c>
      <c r="G852" t="s">
        <v>22</v>
      </c>
      <c r="H852">
        <v>68399.37</v>
      </c>
      <c r="I852" t="s">
        <v>60</v>
      </c>
      <c r="J852" t="s">
        <v>18</v>
      </c>
      <c r="K852" t="s">
        <v>50</v>
      </c>
      <c r="L852">
        <v>24</v>
      </c>
      <c r="M852">
        <v>1.69</v>
      </c>
      <c r="N852" t="s">
        <v>20</v>
      </c>
    </row>
    <row r="853" spans="1:14" x14ac:dyDescent="0.25">
      <c r="A853">
        <v>852</v>
      </c>
      <c r="B853" t="s">
        <v>21</v>
      </c>
      <c r="C853">
        <v>2013</v>
      </c>
      <c r="D853">
        <v>5</v>
      </c>
      <c r="E853" t="s">
        <v>27</v>
      </c>
      <c r="F853">
        <v>206935</v>
      </c>
      <c r="G853" t="s">
        <v>30</v>
      </c>
      <c r="H853">
        <v>53834.07</v>
      </c>
      <c r="I853" t="s">
        <v>60</v>
      </c>
      <c r="J853" t="s">
        <v>41</v>
      </c>
      <c r="K853" t="s">
        <v>26</v>
      </c>
      <c r="L853">
        <v>13</v>
      </c>
      <c r="M853">
        <v>0.26</v>
      </c>
      <c r="N853" t="s">
        <v>20</v>
      </c>
    </row>
    <row r="854" spans="1:14" x14ac:dyDescent="0.25">
      <c r="A854">
        <v>853</v>
      </c>
      <c r="B854" t="s">
        <v>24</v>
      </c>
      <c r="C854">
        <v>2018</v>
      </c>
      <c r="D854">
        <v>5.7</v>
      </c>
      <c r="E854" t="s">
        <v>15</v>
      </c>
      <c r="F854">
        <v>72723</v>
      </c>
      <c r="G854" t="s">
        <v>30</v>
      </c>
      <c r="H854">
        <v>39517.99</v>
      </c>
      <c r="I854" t="s">
        <v>34</v>
      </c>
      <c r="J854" t="s">
        <v>32</v>
      </c>
      <c r="K854" t="s">
        <v>19</v>
      </c>
      <c r="L854">
        <v>8</v>
      </c>
      <c r="M854">
        <v>0.54</v>
      </c>
      <c r="N854" t="s">
        <v>20</v>
      </c>
    </row>
    <row r="855" spans="1:14" x14ac:dyDescent="0.25">
      <c r="A855">
        <v>854</v>
      </c>
      <c r="B855" t="s">
        <v>36</v>
      </c>
      <c r="C855">
        <v>2004</v>
      </c>
      <c r="D855">
        <v>3</v>
      </c>
      <c r="E855" t="s">
        <v>15</v>
      </c>
      <c r="F855">
        <v>226293</v>
      </c>
      <c r="G855" t="s">
        <v>22</v>
      </c>
      <c r="H855">
        <v>74368.55</v>
      </c>
      <c r="I855" t="s">
        <v>37</v>
      </c>
      <c r="J855" t="s">
        <v>46</v>
      </c>
      <c r="K855" t="s">
        <v>26</v>
      </c>
      <c r="L855">
        <v>22</v>
      </c>
      <c r="M855">
        <v>0.33</v>
      </c>
      <c r="N855" t="s">
        <v>33</v>
      </c>
    </row>
    <row r="856" spans="1:14" x14ac:dyDescent="0.25">
      <c r="A856">
        <v>855</v>
      </c>
      <c r="B856" t="s">
        <v>21</v>
      </c>
      <c r="C856">
        <v>2004</v>
      </c>
      <c r="D856">
        <v>4.9000000000000004</v>
      </c>
      <c r="E856" t="s">
        <v>27</v>
      </c>
      <c r="F856">
        <v>190477</v>
      </c>
      <c r="G856" t="s">
        <v>30</v>
      </c>
      <c r="H856">
        <v>33371.370000000003</v>
      </c>
      <c r="I856" t="s">
        <v>23</v>
      </c>
      <c r="J856" t="s">
        <v>32</v>
      </c>
      <c r="K856" t="s">
        <v>26</v>
      </c>
      <c r="L856">
        <v>22</v>
      </c>
      <c r="M856">
        <v>0.18</v>
      </c>
      <c r="N856" t="s">
        <v>20</v>
      </c>
    </row>
    <row r="857" spans="1:14" x14ac:dyDescent="0.25">
      <c r="A857">
        <v>856</v>
      </c>
      <c r="B857" t="s">
        <v>21</v>
      </c>
      <c r="C857">
        <v>2019</v>
      </c>
      <c r="D857">
        <v>2.2999999999999998</v>
      </c>
      <c r="E857" t="s">
        <v>27</v>
      </c>
      <c r="F857">
        <v>166020</v>
      </c>
      <c r="G857" t="s">
        <v>22</v>
      </c>
      <c r="H857">
        <v>56575.7</v>
      </c>
      <c r="I857" t="s">
        <v>47</v>
      </c>
      <c r="J857" t="s">
        <v>41</v>
      </c>
      <c r="K857" t="s">
        <v>26</v>
      </c>
      <c r="L857">
        <v>7</v>
      </c>
      <c r="M857">
        <v>0.34</v>
      </c>
      <c r="N857" t="s">
        <v>20</v>
      </c>
    </row>
    <row r="858" spans="1:14" x14ac:dyDescent="0.25">
      <c r="A858">
        <v>857</v>
      </c>
      <c r="B858" t="s">
        <v>36</v>
      </c>
      <c r="C858">
        <v>2016</v>
      </c>
      <c r="D858">
        <v>6</v>
      </c>
      <c r="E858" t="s">
        <v>15</v>
      </c>
      <c r="F858">
        <v>290604</v>
      </c>
      <c r="G858" t="s">
        <v>16</v>
      </c>
      <c r="H858">
        <v>46168.78</v>
      </c>
      <c r="I858" t="s">
        <v>54</v>
      </c>
      <c r="J858" t="s">
        <v>32</v>
      </c>
      <c r="K858" t="s">
        <v>26</v>
      </c>
      <c r="L858">
        <v>10</v>
      </c>
      <c r="M858">
        <v>0.16</v>
      </c>
      <c r="N858" t="s">
        <v>33</v>
      </c>
    </row>
    <row r="859" spans="1:14" x14ac:dyDescent="0.25">
      <c r="A859">
        <v>858</v>
      </c>
      <c r="B859" t="s">
        <v>36</v>
      </c>
      <c r="C859">
        <v>2020</v>
      </c>
      <c r="D859">
        <v>1.1000000000000001</v>
      </c>
      <c r="E859" t="s">
        <v>15</v>
      </c>
      <c r="F859">
        <v>197190</v>
      </c>
      <c r="G859" t="s">
        <v>30</v>
      </c>
      <c r="H859">
        <v>31279.119999999999</v>
      </c>
      <c r="I859" t="s">
        <v>51</v>
      </c>
      <c r="J859" t="s">
        <v>41</v>
      </c>
      <c r="K859" t="s">
        <v>26</v>
      </c>
      <c r="L859">
        <v>6</v>
      </c>
      <c r="M859">
        <v>0.16</v>
      </c>
      <c r="N859" t="s">
        <v>33</v>
      </c>
    </row>
    <row r="860" spans="1:14" x14ac:dyDescent="0.25">
      <c r="A860">
        <v>859</v>
      </c>
      <c r="B860" t="s">
        <v>21</v>
      </c>
      <c r="C860">
        <v>2009</v>
      </c>
      <c r="D860">
        <v>4</v>
      </c>
      <c r="E860" t="s">
        <v>15</v>
      </c>
      <c r="F860">
        <v>179354</v>
      </c>
      <c r="G860" t="s">
        <v>22</v>
      </c>
      <c r="H860">
        <v>97595.54</v>
      </c>
      <c r="I860" t="s">
        <v>60</v>
      </c>
      <c r="J860" t="s">
        <v>46</v>
      </c>
      <c r="K860" t="s">
        <v>26</v>
      </c>
      <c r="L860">
        <v>17</v>
      </c>
      <c r="M860">
        <v>0.54</v>
      </c>
      <c r="N860" t="s">
        <v>20</v>
      </c>
    </row>
    <row r="861" spans="1:14" x14ac:dyDescent="0.25">
      <c r="A861">
        <v>860</v>
      </c>
      <c r="B861" t="s">
        <v>36</v>
      </c>
      <c r="C861">
        <v>2004</v>
      </c>
      <c r="D861">
        <v>4.3</v>
      </c>
      <c r="E861" t="s">
        <v>15</v>
      </c>
      <c r="F861">
        <v>91725</v>
      </c>
      <c r="G861" t="s">
        <v>16</v>
      </c>
      <c r="H861">
        <v>29581.41</v>
      </c>
      <c r="I861" t="s">
        <v>54</v>
      </c>
      <c r="J861" t="s">
        <v>32</v>
      </c>
      <c r="K861" t="s">
        <v>19</v>
      </c>
      <c r="L861">
        <v>22</v>
      </c>
      <c r="M861">
        <v>0.32</v>
      </c>
      <c r="N861" t="s">
        <v>33</v>
      </c>
    </row>
    <row r="862" spans="1:14" x14ac:dyDescent="0.25">
      <c r="A862">
        <v>861</v>
      </c>
      <c r="B862" t="s">
        <v>21</v>
      </c>
      <c r="C862">
        <v>2003</v>
      </c>
      <c r="D862">
        <v>4.4000000000000004</v>
      </c>
      <c r="E862" t="s">
        <v>27</v>
      </c>
      <c r="F862">
        <v>212139</v>
      </c>
      <c r="G862" t="s">
        <v>30</v>
      </c>
      <c r="H862">
        <v>34382.839999999997</v>
      </c>
      <c r="I862" t="s">
        <v>60</v>
      </c>
      <c r="J862" t="s">
        <v>32</v>
      </c>
      <c r="K862" t="s">
        <v>26</v>
      </c>
      <c r="L862">
        <v>23</v>
      </c>
      <c r="M862">
        <v>0.16</v>
      </c>
      <c r="N862" t="s">
        <v>20</v>
      </c>
    </row>
    <row r="863" spans="1:14" x14ac:dyDescent="0.25">
      <c r="A863">
        <v>862</v>
      </c>
      <c r="B863" t="s">
        <v>21</v>
      </c>
      <c r="C863">
        <v>2005</v>
      </c>
      <c r="D863">
        <v>1.6</v>
      </c>
      <c r="E863" t="s">
        <v>15</v>
      </c>
      <c r="F863">
        <v>85779</v>
      </c>
      <c r="G863" t="s">
        <v>30</v>
      </c>
      <c r="H863">
        <v>20350.810000000001</v>
      </c>
      <c r="I863" t="s">
        <v>60</v>
      </c>
      <c r="J863" t="s">
        <v>41</v>
      </c>
      <c r="K863" t="s">
        <v>19</v>
      </c>
      <c r="L863">
        <v>21</v>
      </c>
      <c r="M863">
        <v>0.24</v>
      </c>
      <c r="N863" t="s">
        <v>20</v>
      </c>
    </row>
    <row r="864" spans="1:14" x14ac:dyDescent="0.25">
      <c r="A864">
        <v>863</v>
      </c>
      <c r="B864" t="s">
        <v>24</v>
      </c>
      <c r="C864">
        <v>2003</v>
      </c>
      <c r="D864">
        <v>5.7</v>
      </c>
      <c r="E864" t="s">
        <v>27</v>
      </c>
      <c r="F864">
        <v>3060</v>
      </c>
      <c r="G864" t="s">
        <v>22</v>
      </c>
      <c r="H864">
        <v>83183.16</v>
      </c>
      <c r="I864" t="s">
        <v>25</v>
      </c>
      <c r="J864" t="s">
        <v>41</v>
      </c>
      <c r="K864" t="s">
        <v>50</v>
      </c>
      <c r="L864">
        <v>23</v>
      </c>
      <c r="M864">
        <v>27.18</v>
      </c>
      <c r="N864" t="s">
        <v>20</v>
      </c>
    </row>
    <row r="865" spans="1:14" x14ac:dyDescent="0.25">
      <c r="A865">
        <v>864</v>
      </c>
      <c r="B865" t="s">
        <v>52</v>
      </c>
      <c r="C865">
        <v>2006</v>
      </c>
      <c r="D865">
        <v>1.9</v>
      </c>
      <c r="E865" t="s">
        <v>27</v>
      </c>
      <c r="F865">
        <v>125806</v>
      </c>
      <c r="G865" t="s">
        <v>16</v>
      </c>
      <c r="H865">
        <v>60725.99</v>
      </c>
      <c r="I865" t="s">
        <v>61</v>
      </c>
      <c r="J865" t="s">
        <v>18</v>
      </c>
      <c r="K865" t="s">
        <v>19</v>
      </c>
      <c r="L865">
        <v>20</v>
      </c>
      <c r="M865">
        <v>0.48</v>
      </c>
      <c r="N865" t="s">
        <v>33</v>
      </c>
    </row>
    <row r="866" spans="1:14" x14ac:dyDescent="0.25">
      <c r="A866">
        <v>865</v>
      </c>
      <c r="B866" t="s">
        <v>21</v>
      </c>
      <c r="C866">
        <v>2006</v>
      </c>
      <c r="D866">
        <v>4.0999999999999996</v>
      </c>
      <c r="E866" t="s">
        <v>15</v>
      </c>
      <c r="F866">
        <v>275875</v>
      </c>
      <c r="G866" t="s">
        <v>22</v>
      </c>
      <c r="H866">
        <v>63238.73</v>
      </c>
      <c r="I866" t="s">
        <v>60</v>
      </c>
      <c r="J866" t="s">
        <v>41</v>
      </c>
      <c r="K866" t="s">
        <v>26</v>
      </c>
      <c r="L866">
        <v>20</v>
      </c>
      <c r="M866">
        <v>0.23</v>
      </c>
      <c r="N866" t="s">
        <v>20</v>
      </c>
    </row>
    <row r="867" spans="1:14" x14ac:dyDescent="0.25">
      <c r="A867">
        <v>866</v>
      </c>
      <c r="B867" t="s">
        <v>29</v>
      </c>
      <c r="C867">
        <v>2017</v>
      </c>
      <c r="D867">
        <v>2.1</v>
      </c>
      <c r="E867" t="s">
        <v>15</v>
      </c>
      <c r="F867">
        <v>115871</v>
      </c>
      <c r="G867" t="s">
        <v>30</v>
      </c>
      <c r="H867">
        <v>82953.33</v>
      </c>
      <c r="I867" t="s">
        <v>38</v>
      </c>
      <c r="J867" t="s">
        <v>41</v>
      </c>
      <c r="K867" t="s">
        <v>19</v>
      </c>
      <c r="L867">
        <v>9</v>
      </c>
      <c r="M867">
        <v>0.72</v>
      </c>
      <c r="N867" t="s">
        <v>33</v>
      </c>
    </row>
    <row r="868" spans="1:14" x14ac:dyDescent="0.25">
      <c r="A868">
        <v>867</v>
      </c>
      <c r="B868" t="s">
        <v>43</v>
      </c>
      <c r="C868">
        <v>2002</v>
      </c>
      <c r="D868">
        <v>2.5</v>
      </c>
      <c r="E868" t="s">
        <v>15</v>
      </c>
      <c r="F868">
        <v>20719</v>
      </c>
      <c r="G868" t="s">
        <v>30</v>
      </c>
      <c r="H868">
        <v>37577.370000000003</v>
      </c>
      <c r="I868" t="s">
        <v>55</v>
      </c>
      <c r="J868" t="s">
        <v>18</v>
      </c>
      <c r="K868" t="s">
        <v>50</v>
      </c>
      <c r="L868">
        <v>24</v>
      </c>
      <c r="M868">
        <v>1.81</v>
      </c>
      <c r="N868" t="s">
        <v>20</v>
      </c>
    </row>
    <row r="869" spans="1:14" x14ac:dyDescent="0.25">
      <c r="A869">
        <v>868</v>
      </c>
      <c r="B869" t="s">
        <v>14</v>
      </c>
      <c r="C869">
        <v>2000</v>
      </c>
      <c r="D869">
        <v>3.7</v>
      </c>
      <c r="E869" t="s">
        <v>15</v>
      </c>
      <c r="F869">
        <v>49116</v>
      </c>
      <c r="G869" t="s">
        <v>30</v>
      </c>
      <c r="H869">
        <v>23395.18</v>
      </c>
      <c r="I869" t="s">
        <v>39</v>
      </c>
      <c r="J869" t="s">
        <v>18</v>
      </c>
      <c r="K869" t="s">
        <v>50</v>
      </c>
      <c r="L869">
        <v>26</v>
      </c>
      <c r="M869">
        <v>0.48</v>
      </c>
      <c r="N869" t="s">
        <v>20</v>
      </c>
    </row>
    <row r="870" spans="1:14" x14ac:dyDescent="0.25">
      <c r="A870">
        <v>869</v>
      </c>
      <c r="B870" t="s">
        <v>52</v>
      </c>
      <c r="C870">
        <v>2023</v>
      </c>
      <c r="D870">
        <v>3.1</v>
      </c>
      <c r="E870" t="s">
        <v>27</v>
      </c>
      <c r="F870">
        <v>26325</v>
      </c>
      <c r="G870" t="s">
        <v>30</v>
      </c>
      <c r="H870">
        <v>23848.51</v>
      </c>
      <c r="I870" t="s">
        <v>61</v>
      </c>
      <c r="J870" t="s">
        <v>41</v>
      </c>
      <c r="K870" t="s">
        <v>50</v>
      </c>
      <c r="L870">
        <v>3</v>
      </c>
      <c r="M870">
        <v>0.91</v>
      </c>
      <c r="N870" t="s">
        <v>33</v>
      </c>
    </row>
    <row r="871" spans="1:14" x14ac:dyDescent="0.25">
      <c r="A871">
        <v>870</v>
      </c>
      <c r="B871" t="s">
        <v>52</v>
      </c>
      <c r="C871">
        <v>2003</v>
      </c>
      <c r="D871">
        <v>1.8</v>
      </c>
      <c r="E871" t="s">
        <v>27</v>
      </c>
      <c r="F871">
        <v>14551</v>
      </c>
      <c r="G871" t="s">
        <v>16</v>
      </c>
      <c r="H871">
        <v>74598.880000000005</v>
      </c>
      <c r="I871" t="s">
        <v>61</v>
      </c>
      <c r="J871" t="s">
        <v>18</v>
      </c>
      <c r="K871" t="s">
        <v>50</v>
      </c>
      <c r="L871">
        <v>23</v>
      </c>
      <c r="M871">
        <v>5.13</v>
      </c>
      <c r="N871" t="s">
        <v>33</v>
      </c>
    </row>
    <row r="872" spans="1:14" x14ac:dyDescent="0.25">
      <c r="A872">
        <v>871</v>
      </c>
      <c r="B872" t="s">
        <v>52</v>
      </c>
      <c r="C872">
        <v>2005</v>
      </c>
      <c r="D872">
        <v>1.9</v>
      </c>
      <c r="E872" t="s">
        <v>27</v>
      </c>
      <c r="F872">
        <v>286422</v>
      </c>
      <c r="G872" t="s">
        <v>16</v>
      </c>
      <c r="H872">
        <v>63340.94</v>
      </c>
      <c r="I872" t="s">
        <v>59</v>
      </c>
      <c r="J872" t="s">
        <v>46</v>
      </c>
      <c r="K872" t="s">
        <v>26</v>
      </c>
      <c r="L872">
        <v>21</v>
      </c>
      <c r="M872">
        <v>0.22</v>
      </c>
      <c r="N872" t="s">
        <v>33</v>
      </c>
    </row>
    <row r="873" spans="1:14" x14ac:dyDescent="0.25">
      <c r="A873">
        <v>872</v>
      </c>
      <c r="B873" t="s">
        <v>24</v>
      </c>
      <c r="C873">
        <v>2008</v>
      </c>
      <c r="D873">
        <v>3.1</v>
      </c>
      <c r="E873" t="s">
        <v>15</v>
      </c>
      <c r="F873">
        <v>15141</v>
      </c>
      <c r="G873" t="s">
        <v>22</v>
      </c>
      <c r="H873">
        <v>24602.19</v>
      </c>
      <c r="I873" t="s">
        <v>34</v>
      </c>
      <c r="J873" t="s">
        <v>46</v>
      </c>
      <c r="K873" t="s">
        <v>50</v>
      </c>
      <c r="L873">
        <v>18</v>
      </c>
      <c r="M873">
        <v>1.62</v>
      </c>
      <c r="N873" t="s">
        <v>20</v>
      </c>
    </row>
    <row r="874" spans="1:14" x14ac:dyDescent="0.25">
      <c r="A874">
        <v>873</v>
      </c>
      <c r="B874" t="s">
        <v>21</v>
      </c>
      <c r="C874">
        <v>2021</v>
      </c>
      <c r="D874">
        <v>4.8</v>
      </c>
      <c r="E874" t="s">
        <v>27</v>
      </c>
      <c r="F874">
        <v>295759</v>
      </c>
      <c r="G874" t="s">
        <v>22</v>
      </c>
      <c r="H874">
        <v>18781.21</v>
      </c>
      <c r="I874" t="s">
        <v>42</v>
      </c>
      <c r="J874" t="s">
        <v>41</v>
      </c>
      <c r="K874" t="s">
        <v>26</v>
      </c>
      <c r="L874">
        <v>5</v>
      </c>
      <c r="M874">
        <v>0.06</v>
      </c>
      <c r="N874" t="s">
        <v>20</v>
      </c>
    </row>
    <row r="875" spans="1:14" x14ac:dyDescent="0.25">
      <c r="A875">
        <v>874</v>
      </c>
      <c r="B875" t="s">
        <v>24</v>
      </c>
      <c r="C875">
        <v>2013</v>
      </c>
      <c r="D875">
        <v>5.5</v>
      </c>
      <c r="E875" t="s">
        <v>15</v>
      </c>
      <c r="F875">
        <v>122058</v>
      </c>
      <c r="G875" t="s">
        <v>22</v>
      </c>
      <c r="H875">
        <v>16465.29</v>
      </c>
      <c r="I875" t="s">
        <v>25</v>
      </c>
      <c r="J875" t="s">
        <v>41</v>
      </c>
      <c r="K875" t="s">
        <v>19</v>
      </c>
      <c r="L875">
        <v>13</v>
      </c>
      <c r="M875">
        <v>0.13</v>
      </c>
      <c r="N875" t="s">
        <v>20</v>
      </c>
    </row>
    <row r="876" spans="1:14" x14ac:dyDescent="0.25">
      <c r="A876">
        <v>875</v>
      </c>
      <c r="B876" t="s">
        <v>21</v>
      </c>
      <c r="C876">
        <v>2011</v>
      </c>
      <c r="D876">
        <v>1.4</v>
      </c>
      <c r="E876" t="s">
        <v>27</v>
      </c>
      <c r="F876">
        <v>193823</v>
      </c>
      <c r="G876" t="s">
        <v>30</v>
      </c>
      <c r="H876">
        <v>64640.87</v>
      </c>
      <c r="I876" t="s">
        <v>42</v>
      </c>
      <c r="J876" t="s">
        <v>18</v>
      </c>
      <c r="K876" t="s">
        <v>26</v>
      </c>
      <c r="L876">
        <v>15</v>
      </c>
      <c r="M876">
        <v>0.33</v>
      </c>
      <c r="N876" t="s">
        <v>20</v>
      </c>
    </row>
    <row r="877" spans="1:14" x14ac:dyDescent="0.25">
      <c r="A877">
        <v>876</v>
      </c>
      <c r="B877" t="s">
        <v>24</v>
      </c>
      <c r="C877">
        <v>2019</v>
      </c>
      <c r="D877">
        <v>3</v>
      </c>
      <c r="E877" t="s">
        <v>15</v>
      </c>
      <c r="F877">
        <v>112684</v>
      </c>
      <c r="G877" t="s">
        <v>22</v>
      </c>
      <c r="H877">
        <v>5011.2700000000004</v>
      </c>
      <c r="I877" t="s">
        <v>25</v>
      </c>
      <c r="J877" t="s">
        <v>18</v>
      </c>
      <c r="K877" t="s">
        <v>19</v>
      </c>
      <c r="L877">
        <v>7</v>
      </c>
      <c r="M877">
        <v>0.04</v>
      </c>
      <c r="N877" t="s">
        <v>20</v>
      </c>
    </row>
    <row r="878" spans="1:14" x14ac:dyDescent="0.25">
      <c r="A878">
        <v>877</v>
      </c>
      <c r="B878" t="s">
        <v>24</v>
      </c>
      <c r="C878">
        <v>2023</v>
      </c>
      <c r="D878">
        <v>1.5</v>
      </c>
      <c r="E878" t="s">
        <v>27</v>
      </c>
      <c r="F878">
        <v>289596</v>
      </c>
      <c r="G878" t="s">
        <v>16</v>
      </c>
      <c r="H878">
        <v>6740.34</v>
      </c>
      <c r="I878" t="s">
        <v>45</v>
      </c>
      <c r="J878" t="s">
        <v>46</v>
      </c>
      <c r="K878" t="s">
        <v>26</v>
      </c>
      <c r="L878">
        <v>3</v>
      </c>
      <c r="M878">
        <v>0.02</v>
      </c>
      <c r="N878" t="s">
        <v>20</v>
      </c>
    </row>
    <row r="879" spans="1:14" x14ac:dyDescent="0.25">
      <c r="A879">
        <v>878</v>
      </c>
      <c r="B879" t="s">
        <v>43</v>
      </c>
      <c r="C879">
        <v>2003</v>
      </c>
      <c r="D879">
        <v>1.1000000000000001</v>
      </c>
      <c r="E879" t="s">
        <v>27</v>
      </c>
      <c r="F879">
        <v>50391</v>
      </c>
      <c r="G879" t="s">
        <v>22</v>
      </c>
      <c r="H879">
        <v>42007.55</v>
      </c>
      <c r="I879" t="s">
        <v>48</v>
      </c>
      <c r="J879" t="s">
        <v>32</v>
      </c>
      <c r="K879" t="s">
        <v>19</v>
      </c>
      <c r="L879">
        <v>23</v>
      </c>
      <c r="M879">
        <v>0.83</v>
      </c>
      <c r="N879" t="s">
        <v>20</v>
      </c>
    </row>
    <row r="880" spans="1:14" x14ac:dyDescent="0.25">
      <c r="A880">
        <v>879</v>
      </c>
      <c r="B880" t="s">
        <v>29</v>
      </c>
      <c r="C880">
        <v>2020</v>
      </c>
      <c r="D880">
        <v>4.3</v>
      </c>
      <c r="E880" t="s">
        <v>15</v>
      </c>
      <c r="F880">
        <v>120288</v>
      </c>
      <c r="G880" t="s">
        <v>22</v>
      </c>
      <c r="H880">
        <v>70678.240000000005</v>
      </c>
      <c r="I880" t="s">
        <v>38</v>
      </c>
      <c r="J880" t="s">
        <v>41</v>
      </c>
      <c r="K880" t="s">
        <v>19</v>
      </c>
      <c r="L880">
        <v>6</v>
      </c>
      <c r="M880">
        <v>0.59</v>
      </c>
      <c r="N880" t="s">
        <v>33</v>
      </c>
    </row>
    <row r="881" spans="1:14" x14ac:dyDescent="0.25">
      <c r="A881">
        <v>880</v>
      </c>
      <c r="B881" t="s">
        <v>24</v>
      </c>
      <c r="C881">
        <v>2023</v>
      </c>
      <c r="D881">
        <v>4</v>
      </c>
      <c r="E881" t="s">
        <v>27</v>
      </c>
      <c r="F881">
        <v>206132</v>
      </c>
      <c r="G881" t="s">
        <v>16</v>
      </c>
      <c r="H881">
        <v>71028.740000000005</v>
      </c>
      <c r="I881" t="s">
        <v>45</v>
      </c>
      <c r="J881" t="s">
        <v>32</v>
      </c>
      <c r="K881" t="s">
        <v>26</v>
      </c>
      <c r="L881">
        <v>3</v>
      </c>
      <c r="M881">
        <v>0.34</v>
      </c>
      <c r="N881" t="s">
        <v>20</v>
      </c>
    </row>
    <row r="882" spans="1:14" x14ac:dyDescent="0.25">
      <c r="A882">
        <v>881</v>
      </c>
      <c r="B882" t="s">
        <v>43</v>
      </c>
      <c r="C882">
        <v>2011</v>
      </c>
      <c r="D882">
        <v>1.8</v>
      </c>
      <c r="E882" t="s">
        <v>27</v>
      </c>
      <c r="F882">
        <v>113535</v>
      </c>
      <c r="G882" t="s">
        <v>16</v>
      </c>
      <c r="H882">
        <v>45861.24</v>
      </c>
      <c r="I882" t="s">
        <v>55</v>
      </c>
      <c r="J882" t="s">
        <v>32</v>
      </c>
      <c r="K882" t="s">
        <v>19</v>
      </c>
      <c r="L882">
        <v>15</v>
      </c>
      <c r="M882">
        <v>0.4</v>
      </c>
      <c r="N882" t="s">
        <v>20</v>
      </c>
    </row>
    <row r="883" spans="1:14" x14ac:dyDescent="0.25">
      <c r="A883">
        <v>882</v>
      </c>
      <c r="B883" t="s">
        <v>36</v>
      </c>
      <c r="C883">
        <v>2009</v>
      </c>
      <c r="D883">
        <v>2.2000000000000002</v>
      </c>
      <c r="E883" t="s">
        <v>15</v>
      </c>
      <c r="F883">
        <v>142770</v>
      </c>
      <c r="G883" t="s">
        <v>30</v>
      </c>
      <c r="H883">
        <v>70651.990000000005</v>
      </c>
      <c r="I883" t="s">
        <v>51</v>
      </c>
      <c r="J883" t="s">
        <v>18</v>
      </c>
      <c r="K883" t="s">
        <v>19</v>
      </c>
      <c r="L883">
        <v>17</v>
      </c>
      <c r="M883">
        <v>0.49</v>
      </c>
      <c r="N883" t="s">
        <v>33</v>
      </c>
    </row>
    <row r="884" spans="1:14" x14ac:dyDescent="0.25">
      <c r="A884">
        <v>883</v>
      </c>
      <c r="B884" t="s">
        <v>29</v>
      </c>
      <c r="C884">
        <v>2021</v>
      </c>
      <c r="D884">
        <v>1.1000000000000001</v>
      </c>
      <c r="E884" t="s">
        <v>15</v>
      </c>
      <c r="F884">
        <v>239947</v>
      </c>
      <c r="G884" t="s">
        <v>16</v>
      </c>
      <c r="H884">
        <v>54504.14</v>
      </c>
      <c r="I884" t="s">
        <v>31</v>
      </c>
      <c r="J884" t="s">
        <v>41</v>
      </c>
      <c r="K884" t="s">
        <v>26</v>
      </c>
      <c r="L884">
        <v>5</v>
      </c>
      <c r="M884">
        <v>0.23</v>
      </c>
      <c r="N884" t="s">
        <v>33</v>
      </c>
    </row>
    <row r="885" spans="1:14" x14ac:dyDescent="0.25">
      <c r="A885">
        <v>884</v>
      </c>
      <c r="B885" t="s">
        <v>24</v>
      </c>
      <c r="C885">
        <v>2006</v>
      </c>
      <c r="D885">
        <v>5.2</v>
      </c>
      <c r="E885" t="s">
        <v>15</v>
      </c>
      <c r="F885">
        <v>86711</v>
      </c>
      <c r="G885" t="s">
        <v>16</v>
      </c>
      <c r="H885">
        <v>97808.48</v>
      </c>
      <c r="I885" t="s">
        <v>35</v>
      </c>
      <c r="J885" t="s">
        <v>41</v>
      </c>
      <c r="K885" t="s">
        <v>19</v>
      </c>
      <c r="L885">
        <v>20</v>
      </c>
      <c r="M885">
        <v>1.1299999999999999</v>
      </c>
      <c r="N885" t="s">
        <v>20</v>
      </c>
    </row>
    <row r="886" spans="1:14" x14ac:dyDescent="0.25">
      <c r="A886">
        <v>885</v>
      </c>
      <c r="B886" t="s">
        <v>14</v>
      </c>
      <c r="C886">
        <v>2002</v>
      </c>
      <c r="D886">
        <v>5.9</v>
      </c>
      <c r="E886" t="s">
        <v>15</v>
      </c>
      <c r="F886">
        <v>264509</v>
      </c>
      <c r="G886" t="s">
        <v>22</v>
      </c>
      <c r="H886">
        <v>20433.72</v>
      </c>
      <c r="I886" t="s">
        <v>28</v>
      </c>
      <c r="J886" t="s">
        <v>18</v>
      </c>
      <c r="K886" t="s">
        <v>26</v>
      </c>
      <c r="L886">
        <v>24</v>
      </c>
      <c r="M886">
        <v>0.08</v>
      </c>
      <c r="N886" t="s">
        <v>20</v>
      </c>
    </row>
    <row r="887" spans="1:14" x14ac:dyDescent="0.25">
      <c r="A887">
        <v>886</v>
      </c>
      <c r="B887" t="s">
        <v>52</v>
      </c>
      <c r="C887">
        <v>2022</v>
      </c>
      <c r="D887">
        <v>1.7</v>
      </c>
      <c r="E887" t="s">
        <v>15</v>
      </c>
      <c r="F887">
        <v>228625</v>
      </c>
      <c r="G887" t="s">
        <v>16</v>
      </c>
      <c r="H887">
        <v>62063.39</v>
      </c>
      <c r="I887" t="s">
        <v>59</v>
      </c>
      <c r="J887" t="s">
        <v>32</v>
      </c>
      <c r="K887" t="s">
        <v>26</v>
      </c>
      <c r="L887">
        <v>4</v>
      </c>
      <c r="M887">
        <v>0.27</v>
      </c>
      <c r="N887" t="s">
        <v>33</v>
      </c>
    </row>
    <row r="888" spans="1:14" x14ac:dyDescent="0.25">
      <c r="A888">
        <v>887</v>
      </c>
      <c r="B888" t="s">
        <v>36</v>
      </c>
      <c r="C888">
        <v>2013</v>
      </c>
      <c r="D888">
        <v>2.2000000000000002</v>
      </c>
      <c r="E888" t="s">
        <v>27</v>
      </c>
      <c r="F888">
        <v>43372</v>
      </c>
      <c r="G888" t="s">
        <v>30</v>
      </c>
      <c r="H888">
        <v>51667.68</v>
      </c>
      <c r="I888" t="s">
        <v>37</v>
      </c>
      <c r="J888" t="s">
        <v>18</v>
      </c>
      <c r="K888" t="s">
        <v>50</v>
      </c>
      <c r="L888">
        <v>13</v>
      </c>
      <c r="M888">
        <v>1.19</v>
      </c>
      <c r="N888" t="s">
        <v>33</v>
      </c>
    </row>
    <row r="889" spans="1:14" x14ac:dyDescent="0.25">
      <c r="A889">
        <v>888</v>
      </c>
      <c r="B889" t="s">
        <v>36</v>
      </c>
      <c r="C889">
        <v>2023</v>
      </c>
      <c r="D889">
        <v>5.3</v>
      </c>
      <c r="E889" t="s">
        <v>15</v>
      </c>
      <c r="F889">
        <v>44134</v>
      </c>
      <c r="G889" t="s">
        <v>22</v>
      </c>
      <c r="H889">
        <v>23474.3</v>
      </c>
      <c r="I889" t="s">
        <v>51</v>
      </c>
      <c r="J889" t="s">
        <v>46</v>
      </c>
      <c r="K889" t="s">
        <v>50</v>
      </c>
      <c r="L889">
        <v>3</v>
      </c>
      <c r="M889">
        <v>0.53</v>
      </c>
      <c r="N889" t="s">
        <v>33</v>
      </c>
    </row>
    <row r="890" spans="1:14" x14ac:dyDescent="0.25">
      <c r="A890">
        <v>889</v>
      </c>
      <c r="B890" t="s">
        <v>43</v>
      </c>
      <c r="C890">
        <v>2009</v>
      </c>
      <c r="D890">
        <v>5.6</v>
      </c>
      <c r="E890" t="s">
        <v>27</v>
      </c>
      <c r="F890">
        <v>299967</v>
      </c>
      <c r="G890" t="s">
        <v>30</v>
      </c>
      <c r="H890">
        <v>76249.09</v>
      </c>
      <c r="I890" t="s">
        <v>44</v>
      </c>
      <c r="J890" t="s">
        <v>41</v>
      </c>
      <c r="K890" t="s">
        <v>26</v>
      </c>
      <c r="L890">
        <v>17</v>
      </c>
      <c r="M890">
        <v>0.25</v>
      </c>
      <c r="N890" t="s">
        <v>20</v>
      </c>
    </row>
    <row r="891" spans="1:14" x14ac:dyDescent="0.25">
      <c r="A891">
        <v>890</v>
      </c>
      <c r="B891" t="s">
        <v>36</v>
      </c>
      <c r="C891">
        <v>2015</v>
      </c>
      <c r="D891">
        <v>3.1</v>
      </c>
      <c r="E891" t="s">
        <v>27</v>
      </c>
      <c r="F891">
        <v>71158</v>
      </c>
      <c r="G891" t="s">
        <v>16</v>
      </c>
      <c r="H891">
        <v>31173.26</v>
      </c>
      <c r="I891" t="s">
        <v>54</v>
      </c>
      <c r="J891" t="s">
        <v>46</v>
      </c>
      <c r="K891" t="s">
        <v>19</v>
      </c>
      <c r="L891">
        <v>11</v>
      </c>
      <c r="M891">
        <v>0.44</v>
      </c>
      <c r="N891" t="s">
        <v>33</v>
      </c>
    </row>
    <row r="892" spans="1:14" x14ac:dyDescent="0.25">
      <c r="A892">
        <v>891</v>
      </c>
      <c r="B892" t="s">
        <v>29</v>
      </c>
      <c r="C892">
        <v>2015</v>
      </c>
      <c r="D892">
        <v>1.3</v>
      </c>
      <c r="E892" t="s">
        <v>15</v>
      </c>
      <c r="F892">
        <v>237159</v>
      </c>
      <c r="G892" t="s">
        <v>30</v>
      </c>
      <c r="H892">
        <v>41262.43</v>
      </c>
      <c r="I892" t="s">
        <v>40</v>
      </c>
      <c r="J892" t="s">
        <v>18</v>
      </c>
      <c r="K892" t="s">
        <v>26</v>
      </c>
      <c r="L892">
        <v>11</v>
      </c>
      <c r="M892">
        <v>0.17</v>
      </c>
      <c r="N892" t="s">
        <v>33</v>
      </c>
    </row>
    <row r="893" spans="1:14" x14ac:dyDescent="0.25">
      <c r="A893">
        <v>892</v>
      </c>
      <c r="B893" t="s">
        <v>24</v>
      </c>
      <c r="C893">
        <v>2021</v>
      </c>
      <c r="D893">
        <v>1.2</v>
      </c>
      <c r="E893" t="s">
        <v>27</v>
      </c>
      <c r="F893">
        <v>133021</v>
      </c>
      <c r="G893" t="s">
        <v>30</v>
      </c>
      <c r="H893">
        <v>40608.9</v>
      </c>
      <c r="I893" t="s">
        <v>45</v>
      </c>
      <c r="J893" t="s">
        <v>41</v>
      </c>
      <c r="K893" t="s">
        <v>19</v>
      </c>
      <c r="L893">
        <v>5</v>
      </c>
      <c r="M893">
        <v>0.31</v>
      </c>
      <c r="N893" t="s">
        <v>20</v>
      </c>
    </row>
    <row r="894" spans="1:14" x14ac:dyDescent="0.25">
      <c r="A894">
        <v>893</v>
      </c>
      <c r="B894" t="s">
        <v>24</v>
      </c>
      <c r="C894">
        <v>2009</v>
      </c>
      <c r="D894">
        <v>3.9</v>
      </c>
      <c r="E894" t="s">
        <v>27</v>
      </c>
      <c r="F894">
        <v>49396</v>
      </c>
      <c r="G894" t="s">
        <v>16</v>
      </c>
      <c r="H894">
        <v>28199.42</v>
      </c>
      <c r="I894" t="s">
        <v>34</v>
      </c>
      <c r="J894" t="s">
        <v>46</v>
      </c>
      <c r="K894" t="s">
        <v>50</v>
      </c>
      <c r="L894">
        <v>17</v>
      </c>
      <c r="M894">
        <v>0.56999999999999995</v>
      </c>
      <c r="N894" t="s">
        <v>20</v>
      </c>
    </row>
    <row r="895" spans="1:14" x14ac:dyDescent="0.25">
      <c r="A895">
        <v>894</v>
      </c>
      <c r="B895" t="s">
        <v>14</v>
      </c>
      <c r="C895">
        <v>2012</v>
      </c>
      <c r="D895">
        <v>3</v>
      </c>
      <c r="E895" t="s">
        <v>15</v>
      </c>
      <c r="F895">
        <v>31912</v>
      </c>
      <c r="G895" t="s">
        <v>16</v>
      </c>
      <c r="H895">
        <v>45917.01</v>
      </c>
      <c r="I895" t="s">
        <v>58</v>
      </c>
      <c r="J895" t="s">
        <v>18</v>
      </c>
      <c r="K895" t="s">
        <v>50</v>
      </c>
      <c r="L895">
        <v>14</v>
      </c>
      <c r="M895">
        <v>1.44</v>
      </c>
      <c r="N895" t="s">
        <v>20</v>
      </c>
    </row>
    <row r="896" spans="1:14" x14ac:dyDescent="0.25">
      <c r="A896">
        <v>895</v>
      </c>
      <c r="B896" t="s">
        <v>52</v>
      </c>
      <c r="C896">
        <v>2005</v>
      </c>
      <c r="D896">
        <v>1.1000000000000001</v>
      </c>
      <c r="E896" t="s">
        <v>27</v>
      </c>
      <c r="F896">
        <v>56947</v>
      </c>
      <c r="G896" t="s">
        <v>22</v>
      </c>
      <c r="H896">
        <v>49967.86</v>
      </c>
      <c r="I896" t="s">
        <v>59</v>
      </c>
      <c r="J896" t="s">
        <v>32</v>
      </c>
      <c r="K896" t="s">
        <v>19</v>
      </c>
      <c r="L896">
        <v>21</v>
      </c>
      <c r="M896">
        <v>0.88</v>
      </c>
      <c r="N896" t="s">
        <v>33</v>
      </c>
    </row>
    <row r="897" spans="1:14" x14ac:dyDescent="0.25">
      <c r="A897">
        <v>896</v>
      </c>
      <c r="B897" t="s">
        <v>43</v>
      </c>
      <c r="C897">
        <v>2011</v>
      </c>
      <c r="D897">
        <v>3.9</v>
      </c>
      <c r="E897" t="s">
        <v>15</v>
      </c>
      <c r="F897">
        <v>44387</v>
      </c>
      <c r="G897" t="s">
        <v>22</v>
      </c>
      <c r="H897">
        <v>75701.06</v>
      </c>
      <c r="I897" t="s">
        <v>49</v>
      </c>
      <c r="J897" t="s">
        <v>41</v>
      </c>
      <c r="K897" t="s">
        <v>50</v>
      </c>
      <c r="L897">
        <v>15</v>
      </c>
      <c r="M897">
        <v>1.71</v>
      </c>
      <c r="N897" t="s">
        <v>20</v>
      </c>
    </row>
    <row r="898" spans="1:14" x14ac:dyDescent="0.25">
      <c r="A898">
        <v>897</v>
      </c>
      <c r="B898" t="s">
        <v>52</v>
      </c>
      <c r="C898">
        <v>2008</v>
      </c>
      <c r="D898">
        <v>1.1000000000000001</v>
      </c>
      <c r="E898" t="s">
        <v>15</v>
      </c>
      <c r="F898">
        <v>278652</v>
      </c>
      <c r="G898" t="s">
        <v>22</v>
      </c>
      <c r="H898">
        <v>77681.509999999995</v>
      </c>
      <c r="I898" t="s">
        <v>53</v>
      </c>
      <c r="J898" t="s">
        <v>46</v>
      </c>
      <c r="K898" t="s">
        <v>26</v>
      </c>
      <c r="L898">
        <v>18</v>
      </c>
      <c r="M898">
        <v>0.28000000000000003</v>
      </c>
      <c r="N898" t="s">
        <v>33</v>
      </c>
    </row>
    <row r="899" spans="1:14" x14ac:dyDescent="0.25">
      <c r="A899">
        <v>898</v>
      </c>
      <c r="B899" t="s">
        <v>36</v>
      </c>
      <c r="C899">
        <v>2012</v>
      </c>
      <c r="D899">
        <v>4.9000000000000004</v>
      </c>
      <c r="E899" t="s">
        <v>15</v>
      </c>
      <c r="F899">
        <v>109249</v>
      </c>
      <c r="G899" t="s">
        <v>16</v>
      </c>
      <c r="H899">
        <v>20062.82</v>
      </c>
      <c r="I899" t="s">
        <v>37</v>
      </c>
      <c r="J899" t="s">
        <v>46</v>
      </c>
      <c r="K899" t="s">
        <v>19</v>
      </c>
      <c r="L899">
        <v>14</v>
      </c>
      <c r="M899">
        <v>0.18</v>
      </c>
      <c r="N899" t="s">
        <v>33</v>
      </c>
    </row>
    <row r="900" spans="1:14" x14ac:dyDescent="0.25">
      <c r="A900">
        <v>899</v>
      </c>
      <c r="B900" t="s">
        <v>14</v>
      </c>
      <c r="C900">
        <v>2003</v>
      </c>
      <c r="D900">
        <v>2.5</v>
      </c>
      <c r="E900" t="s">
        <v>27</v>
      </c>
      <c r="F900">
        <v>1919</v>
      </c>
      <c r="G900" t="s">
        <v>30</v>
      </c>
      <c r="H900">
        <v>61313.37</v>
      </c>
      <c r="I900" t="s">
        <v>39</v>
      </c>
      <c r="J900" t="s">
        <v>18</v>
      </c>
      <c r="K900" t="s">
        <v>50</v>
      </c>
      <c r="L900">
        <v>23</v>
      </c>
      <c r="M900">
        <v>31.95</v>
      </c>
      <c r="N900" t="s">
        <v>20</v>
      </c>
    </row>
    <row r="901" spans="1:14" x14ac:dyDescent="0.25">
      <c r="A901">
        <v>900</v>
      </c>
      <c r="B901" t="s">
        <v>52</v>
      </c>
      <c r="C901">
        <v>2023</v>
      </c>
      <c r="D901">
        <v>1.2</v>
      </c>
      <c r="E901" t="s">
        <v>27</v>
      </c>
      <c r="F901">
        <v>140689</v>
      </c>
      <c r="G901" t="s">
        <v>30</v>
      </c>
      <c r="H901">
        <v>90138.79</v>
      </c>
      <c r="I901" t="s">
        <v>56</v>
      </c>
      <c r="J901" t="s">
        <v>46</v>
      </c>
      <c r="K901" t="s">
        <v>19</v>
      </c>
      <c r="L901">
        <v>3</v>
      </c>
      <c r="M901">
        <v>0.64</v>
      </c>
      <c r="N901" t="s">
        <v>33</v>
      </c>
    </row>
    <row r="902" spans="1:14" x14ac:dyDescent="0.25">
      <c r="A902">
        <v>901</v>
      </c>
      <c r="B902" t="s">
        <v>29</v>
      </c>
      <c r="C902">
        <v>2010</v>
      </c>
      <c r="D902">
        <v>3.9</v>
      </c>
      <c r="E902" t="s">
        <v>27</v>
      </c>
      <c r="F902">
        <v>33298</v>
      </c>
      <c r="G902" t="s">
        <v>22</v>
      </c>
      <c r="H902">
        <v>15334.73</v>
      </c>
      <c r="I902" t="s">
        <v>31</v>
      </c>
      <c r="J902" t="s">
        <v>46</v>
      </c>
      <c r="K902" t="s">
        <v>50</v>
      </c>
      <c r="L902">
        <v>16</v>
      </c>
      <c r="M902">
        <v>0.46</v>
      </c>
      <c r="N902" t="s">
        <v>33</v>
      </c>
    </row>
    <row r="903" spans="1:14" x14ac:dyDescent="0.25">
      <c r="A903">
        <v>902</v>
      </c>
      <c r="B903" t="s">
        <v>24</v>
      </c>
      <c r="C903">
        <v>2019</v>
      </c>
      <c r="D903">
        <v>3</v>
      </c>
      <c r="E903" t="s">
        <v>27</v>
      </c>
      <c r="F903">
        <v>237225</v>
      </c>
      <c r="G903" t="s">
        <v>22</v>
      </c>
      <c r="H903">
        <v>49926.83</v>
      </c>
      <c r="I903" t="s">
        <v>45</v>
      </c>
      <c r="J903" t="s">
        <v>46</v>
      </c>
      <c r="K903" t="s">
        <v>26</v>
      </c>
      <c r="L903">
        <v>7</v>
      </c>
      <c r="M903">
        <v>0.21</v>
      </c>
      <c r="N903" t="s">
        <v>20</v>
      </c>
    </row>
    <row r="904" spans="1:14" x14ac:dyDescent="0.25">
      <c r="A904">
        <v>903</v>
      </c>
      <c r="B904" t="s">
        <v>36</v>
      </c>
      <c r="C904">
        <v>2017</v>
      </c>
      <c r="D904">
        <v>5.9</v>
      </c>
      <c r="E904" t="s">
        <v>15</v>
      </c>
      <c r="F904">
        <v>233725</v>
      </c>
      <c r="G904" t="s">
        <v>16</v>
      </c>
      <c r="H904">
        <v>76283.55</v>
      </c>
      <c r="I904" t="s">
        <v>57</v>
      </c>
      <c r="J904" t="s">
        <v>32</v>
      </c>
      <c r="K904" t="s">
        <v>26</v>
      </c>
      <c r="L904">
        <v>9</v>
      </c>
      <c r="M904">
        <v>0.33</v>
      </c>
      <c r="N904" t="s">
        <v>33</v>
      </c>
    </row>
    <row r="905" spans="1:14" x14ac:dyDescent="0.25">
      <c r="A905">
        <v>904</v>
      </c>
      <c r="B905" t="s">
        <v>14</v>
      </c>
      <c r="C905">
        <v>2010</v>
      </c>
      <c r="D905">
        <v>3.7</v>
      </c>
      <c r="E905" t="s">
        <v>27</v>
      </c>
      <c r="F905">
        <v>276600</v>
      </c>
      <c r="G905" t="s">
        <v>30</v>
      </c>
      <c r="H905">
        <v>63091.68</v>
      </c>
      <c r="I905" t="s">
        <v>17</v>
      </c>
      <c r="J905" t="s">
        <v>18</v>
      </c>
      <c r="K905" t="s">
        <v>26</v>
      </c>
      <c r="L905">
        <v>16</v>
      </c>
      <c r="M905">
        <v>0.23</v>
      </c>
      <c r="N905" t="s">
        <v>20</v>
      </c>
    </row>
    <row r="906" spans="1:14" x14ac:dyDescent="0.25">
      <c r="A906">
        <v>905</v>
      </c>
      <c r="B906" t="s">
        <v>52</v>
      </c>
      <c r="C906">
        <v>2020</v>
      </c>
      <c r="D906">
        <v>2.4</v>
      </c>
      <c r="E906" t="s">
        <v>15</v>
      </c>
      <c r="F906">
        <v>109599</v>
      </c>
      <c r="G906" t="s">
        <v>22</v>
      </c>
      <c r="H906">
        <v>14555.64</v>
      </c>
      <c r="I906" t="s">
        <v>53</v>
      </c>
      <c r="J906" t="s">
        <v>46</v>
      </c>
      <c r="K906" t="s">
        <v>19</v>
      </c>
      <c r="L906">
        <v>6</v>
      </c>
      <c r="M906">
        <v>0.13</v>
      </c>
      <c r="N906" t="s">
        <v>33</v>
      </c>
    </row>
    <row r="907" spans="1:14" x14ac:dyDescent="0.25">
      <c r="A907">
        <v>906</v>
      </c>
      <c r="B907" t="s">
        <v>43</v>
      </c>
      <c r="C907">
        <v>2003</v>
      </c>
      <c r="D907">
        <v>4.5</v>
      </c>
      <c r="E907" t="s">
        <v>27</v>
      </c>
      <c r="F907">
        <v>83721</v>
      </c>
      <c r="G907" t="s">
        <v>16</v>
      </c>
      <c r="H907">
        <v>42677.58</v>
      </c>
      <c r="I907" t="s">
        <v>55</v>
      </c>
      <c r="J907" t="s">
        <v>41</v>
      </c>
      <c r="K907" t="s">
        <v>19</v>
      </c>
      <c r="L907">
        <v>23</v>
      </c>
      <c r="M907">
        <v>0.51</v>
      </c>
      <c r="N907" t="s">
        <v>20</v>
      </c>
    </row>
    <row r="908" spans="1:14" x14ac:dyDescent="0.25">
      <c r="A908">
        <v>907</v>
      </c>
      <c r="B908" t="s">
        <v>29</v>
      </c>
      <c r="C908">
        <v>2017</v>
      </c>
      <c r="D908">
        <v>2.4</v>
      </c>
      <c r="E908" t="s">
        <v>27</v>
      </c>
      <c r="F908">
        <v>286384</v>
      </c>
      <c r="G908" t="s">
        <v>22</v>
      </c>
      <c r="H908">
        <v>53187.75</v>
      </c>
      <c r="I908" t="s">
        <v>38</v>
      </c>
      <c r="J908" t="s">
        <v>41</v>
      </c>
      <c r="K908" t="s">
        <v>26</v>
      </c>
      <c r="L908">
        <v>9</v>
      </c>
      <c r="M908">
        <v>0.19</v>
      </c>
      <c r="N908" t="s">
        <v>33</v>
      </c>
    </row>
    <row r="909" spans="1:14" x14ac:dyDescent="0.25">
      <c r="A909">
        <v>908</v>
      </c>
      <c r="B909" t="s">
        <v>29</v>
      </c>
      <c r="C909">
        <v>2000</v>
      </c>
      <c r="D909">
        <v>5.5</v>
      </c>
      <c r="E909" t="s">
        <v>27</v>
      </c>
      <c r="F909">
        <v>271372</v>
      </c>
      <c r="G909" t="s">
        <v>16</v>
      </c>
      <c r="H909">
        <v>99605.33</v>
      </c>
      <c r="I909" t="s">
        <v>62</v>
      </c>
      <c r="J909" t="s">
        <v>32</v>
      </c>
      <c r="K909" t="s">
        <v>26</v>
      </c>
      <c r="L909">
        <v>26</v>
      </c>
      <c r="M909">
        <v>0.37</v>
      </c>
      <c r="N909" t="s">
        <v>33</v>
      </c>
    </row>
    <row r="910" spans="1:14" x14ac:dyDescent="0.25">
      <c r="A910">
        <v>909</v>
      </c>
      <c r="B910" t="s">
        <v>52</v>
      </c>
      <c r="C910">
        <v>2006</v>
      </c>
      <c r="D910">
        <v>2.9</v>
      </c>
      <c r="E910" t="s">
        <v>27</v>
      </c>
      <c r="F910">
        <v>283830</v>
      </c>
      <c r="G910" t="s">
        <v>30</v>
      </c>
      <c r="H910">
        <v>21967.75</v>
      </c>
      <c r="I910" t="s">
        <v>53</v>
      </c>
      <c r="J910" t="s">
        <v>18</v>
      </c>
      <c r="K910" t="s">
        <v>26</v>
      </c>
      <c r="L910">
        <v>20</v>
      </c>
      <c r="M910">
        <v>0.08</v>
      </c>
      <c r="N910" t="s">
        <v>33</v>
      </c>
    </row>
    <row r="911" spans="1:14" x14ac:dyDescent="0.25">
      <c r="A911">
        <v>910</v>
      </c>
      <c r="B911" t="s">
        <v>24</v>
      </c>
      <c r="C911">
        <v>2005</v>
      </c>
      <c r="D911">
        <v>3.7</v>
      </c>
      <c r="E911" t="s">
        <v>27</v>
      </c>
      <c r="F911">
        <v>11920</v>
      </c>
      <c r="G911" t="s">
        <v>16</v>
      </c>
      <c r="H911">
        <v>98330.26</v>
      </c>
      <c r="I911" t="s">
        <v>34</v>
      </c>
      <c r="J911" t="s">
        <v>41</v>
      </c>
      <c r="K911" t="s">
        <v>50</v>
      </c>
      <c r="L911">
        <v>21</v>
      </c>
      <c r="M911">
        <v>8.25</v>
      </c>
      <c r="N911" t="s">
        <v>20</v>
      </c>
    </row>
    <row r="912" spans="1:14" x14ac:dyDescent="0.25">
      <c r="A912">
        <v>911</v>
      </c>
      <c r="B912" t="s">
        <v>52</v>
      </c>
      <c r="C912">
        <v>2014</v>
      </c>
      <c r="D912">
        <v>1.3</v>
      </c>
      <c r="E912" t="s">
        <v>15</v>
      </c>
      <c r="F912">
        <v>7432</v>
      </c>
      <c r="G912" t="s">
        <v>22</v>
      </c>
      <c r="H912">
        <v>40734.230000000003</v>
      </c>
      <c r="I912" t="s">
        <v>53</v>
      </c>
      <c r="J912" t="s">
        <v>32</v>
      </c>
      <c r="K912" t="s">
        <v>50</v>
      </c>
      <c r="L912">
        <v>12</v>
      </c>
      <c r="M912">
        <v>5.48</v>
      </c>
      <c r="N912" t="s">
        <v>33</v>
      </c>
    </row>
    <row r="913" spans="1:14" x14ac:dyDescent="0.25">
      <c r="A913">
        <v>912</v>
      </c>
      <c r="B913" t="s">
        <v>36</v>
      </c>
      <c r="C913">
        <v>2017</v>
      </c>
      <c r="D913">
        <v>3.1</v>
      </c>
      <c r="E913" t="s">
        <v>27</v>
      </c>
      <c r="F913">
        <v>110507</v>
      </c>
      <c r="G913" t="s">
        <v>22</v>
      </c>
      <c r="H913">
        <v>24030.45</v>
      </c>
      <c r="I913" t="s">
        <v>37</v>
      </c>
      <c r="J913" t="s">
        <v>46</v>
      </c>
      <c r="K913" t="s">
        <v>19</v>
      </c>
      <c r="L913">
        <v>9</v>
      </c>
      <c r="M913">
        <v>0.22</v>
      </c>
      <c r="N913" t="s">
        <v>33</v>
      </c>
    </row>
    <row r="914" spans="1:14" x14ac:dyDescent="0.25">
      <c r="A914">
        <v>913</v>
      </c>
      <c r="B914" t="s">
        <v>52</v>
      </c>
      <c r="C914">
        <v>2023</v>
      </c>
      <c r="D914">
        <v>5.2</v>
      </c>
      <c r="E914" t="s">
        <v>27</v>
      </c>
      <c r="F914">
        <v>224647</v>
      </c>
      <c r="G914" t="s">
        <v>30</v>
      </c>
      <c r="H914">
        <v>44340.36</v>
      </c>
      <c r="I914" t="s">
        <v>56</v>
      </c>
      <c r="J914" t="s">
        <v>46</v>
      </c>
      <c r="K914" t="s">
        <v>26</v>
      </c>
      <c r="L914">
        <v>3</v>
      </c>
      <c r="M914">
        <v>0.2</v>
      </c>
      <c r="N914" t="s">
        <v>33</v>
      </c>
    </row>
    <row r="915" spans="1:14" x14ac:dyDescent="0.25">
      <c r="A915">
        <v>914</v>
      </c>
      <c r="B915" t="s">
        <v>29</v>
      </c>
      <c r="C915">
        <v>2010</v>
      </c>
      <c r="D915">
        <v>5</v>
      </c>
      <c r="E915" t="s">
        <v>27</v>
      </c>
      <c r="F915">
        <v>164982</v>
      </c>
      <c r="G915" t="s">
        <v>30</v>
      </c>
      <c r="H915">
        <v>63329.54</v>
      </c>
      <c r="I915" t="s">
        <v>62</v>
      </c>
      <c r="J915" t="s">
        <v>32</v>
      </c>
      <c r="K915" t="s">
        <v>26</v>
      </c>
      <c r="L915">
        <v>16</v>
      </c>
      <c r="M915">
        <v>0.38</v>
      </c>
      <c r="N915" t="s">
        <v>33</v>
      </c>
    </row>
    <row r="916" spans="1:14" x14ac:dyDescent="0.25">
      <c r="A916">
        <v>915</v>
      </c>
      <c r="B916" t="s">
        <v>14</v>
      </c>
      <c r="C916">
        <v>2019</v>
      </c>
      <c r="D916">
        <v>2.1</v>
      </c>
      <c r="E916" t="s">
        <v>27</v>
      </c>
      <c r="F916">
        <v>121764</v>
      </c>
      <c r="G916" t="s">
        <v>22</v>
      </c>
      <c r="H916">
        <v>25282.25</v>
      </c>
      <c r="I916" t="s">
        <v>17</v>
      </c>
      <c r="J916" t="s">
        <v>18</v>
      </c>
      <c r="K916" t="s">
        <v>19</v>
      </c>
      <c r="L916">
        <v>7</v>
      </c>
      <c r="M916">
        <v>0.21</v>
      </c>
      <c r="N916" t="s">
        <v>20</v>
      </c>
    </row>
    <row r="917" spans="1:14" x14ac:dyDescent="0.25">
      <c r="A917">
        <v>916</v>
      </c>
      <c r="B917" t="s">
        <v>52</v>
      </c>
      <c r="C917">
        <v>2023</v>
      </c>
      <c r="D917">
        <v>2.1</v>
      </c>
      <c r="E917" t="s">
        <v>15</v>
      </c>
      <c r="F917">
        <v>161298</v>
      </c>
      <c r="G917" t="s">
        <v>22</v>
      </c>
      <c r="H917">
        <v>32686.71</v>
      </c>
      <c r="I917" t="s">
        <v>61</v>
      </c>
      <c r="J917" t="s">
        <v>46</v>
      </c>
      <c r="K917" t="s">
        <v>26</v>
      </c>
      <c r="L917">
        <v>3</v>
      </c>
      <c r="M917">
        <v>0.2</v>
      </c>
      <c r="N917" t="s">
        <v>33</v>
      </c>
    </row>
    <row r="918" spans="1:14" x14ac:dyDescent="0.25">
      <c r="A918">
        <v>917</v>
      </c>
      <c r="B918" t="s">
        <v>24</v>
      </c>
      <c r="C918">
        <v>2014</v>
      </c>
      <c r="D918">
        <v>5.0999999999999996</v>
      </c>
      <c r="E918" t="s">
        <v>27</v>
      </c>
      <c r="F918">
        <v>204222</v>
      </c>
      <c r="G918" t="s">
        <v>22</v>
      </c>
      <c r="H918">
        <v>86181.92</v>
      </c>
      <c r="I918" t="s">
        <v>34</v>
      </c>
      <c r="J918" t="s">
        <v>18</v>
      </c>
      <c r="K918" t="s">
        <v>26</v>
      </c>
      <c r="L918">
        <v>12</v>
      </c>
      <c r="M918">
        <v>0.42</v>
      </c>
      <c r="N918" t="s">
        <v>20</v>
      </c>
    </row>
    <row r="919" spans="1:14" x14ac:dyDescent="0.25">
      <c r="A919">
        <v>918</v>
      </c>
      <c r="B919" t="s">
        <v>14</v>
      </c>
      <c r="C919">
        <v>2015</v>
      </c>
      <c r="D919">
        <v>5.7</v>
      </c>
      <c r="E919" t="s">
        <v>15</v>
      </c>
      <c r="F919">
        <v>112557</v>
      </c>
      <c r="G919" t="s">
        <v>30</v>
      </c>
      <c r="H919">
        <v>99905.9</v>
      </c>
      <c r="I919" t="s">
        <v>58</v>
      </c>
      <c r="J919" t="s">
        <v>18</v>
      </c>
      <c r="K919" t="s">
        <v>19</v>
      </c>
      <c r="L919">
        <v>11</v>
      </c>
      <c r="M919">
        <v>0.89</v>
      </c>
      <c r="N919" t="s">
        <v>20</v>
      </c>
    </row>
    <row r="920" spans="1:14" x14ac:dyDescent="0.25">
      <c r="A920">
        <v>919</v>
      </c>
      <c r="B920" t="s">
        <v>43</v>
      </c>
      <c r="C920">
        <v>2006</v>
      </c>
      <c r="D920">
        <v>1.5</v>
      </c>
      <c r="E920" t="s">
        <v>27</v>
      </c>
      <c r="F920">
        <v>18013</v>
      </c>
      <c r="G920" t="s">
        <v>22</v>
      </c>
      <c r="H920">
        <v>35226.410000000003</v>
      </c>
      <c r="I920" t="s">
        <v>48</v>
      </c>
      <c r="J920" t="s">
        <v>41</v>
      </c>
      <c r="K920" t="s">
        <v>50</v>
      </c>
      <c r="L920">
        <v>20</v>
      </c>
      <c r="M920">
        <v>1.96</v>
      </c>
      <c r="N920" t="s">
        <v>20</v>
      </c>
    </row>
    <row r="921" spans="1:14" x14ac:dyDescent="0.25">
      <c r="A921">
        <v>920</v>
      </c>
      <c r="B921" t="s">
        <v>21</v>
      </c>
      <c r="C921">
        <v>2020</v>
      </c>
      <c r="D921">
        <v>3.3</v>
      </c>
      <c r="E921" t="s">
        <v>15</v>
      </c>
      <c r="F921">
        <v>21446</v>
      </c>
      <c r="G921" t="s">
        <v>30</v>
      </c>
      <c r="H921">
        <v>19141.400000000001</v>
      </c>
      <c r="I921" t="s">
        <v>60</v>
      </c>
      <c r="J921" t="s">
        <v>46</v>
      </c>
      <c r="K921" t="s">
        <v>50</v>
      </c>
      <c r="L921">
        <v>6</v>
      </c>
      <c r="M921">
        <v>0.89</v>
      </c>
      <c r="N921" t="s">
        <v>20</v>
      </c>
    </row>
    <row r="922" spans="1:14" x14ac:dyDescent="0.25">
      <c r="A922">
        <v>921</v>
      </c>
      <c r="B922" t="s">
        <v>52</v>
      </c>
      <c r="C922">
        <v>2009</v>
      </c>
      <c r="D922">
        <v>2.7</v>
      </c>
      <c r="E922" t="s">
        <v>15</v>
      </c>
      <c r="F922">
        <v>201447</v>
      </c>
      <c r="G922" t="s">
        <v>22</v>
      </c>
      <c r="H922">
        <v>80351.23</v>
      </c>
      <c r="I922" t="s">
        <v>56</v>
      </c>
      <c r="J922" t="s">
        <v>32</v>
      </c>
      <c r="K922" t="s">
        <v>26</v>
      </c>
      <c r="L922">
        <v>17</v>
      </c>
      <c r="M922">
        <v>0.4</v>
      </c>
      <c r="N922" t="s">
        <v>33</v>
      </c>
    </row>
    <row r="923" spans="1:14" x14ac:dyDescent="0.25">
      <c r="A923">
        <v>922</v>
      </c>
      <c r="B923" t="s">
        <v>24</v>
      </c>
      <c r="C923">
        <v>2011</v>
      </c>
      <c r="D923">
        <v>5.4</v>
      </c>
      <c r="E923" t="s">
        <v>15</v>
      </c>
      <c r="F923">
        <v>102261</v>
      </c>
      <c r="G923" t="s">
        <v>16</v>
      </c>
      <c r="H923">
        <v>62043.29</v>
      </c>
      <c r="I923" t="s">
        <v>35</v>
      </c>
      <c r="J923" t="s">
        <v>18</v>
      </c>
      <c r="K923" t="s">
        <v>19</v>
      </c>
      <c r="L923">
        <v>15</v>
      </c>
      <c r="M923">
        <v>0.61</v>
      </c>
      <c r="N923" t="s">
        <v>20</v>
      </c>
    </row>
    <row r="924" spans="1:14" x14ac:dyDescent="0.25">
      <c r="A924">
        <v>923</v>
      </c>
      <c r="B924" t="s">
        <v>14</v>
      </c>
      <c r="C924">
        <v>2023</v>
      </c>
      <c r="D924">
        <v>1.4</v>
      </c>
      <c r="E924" t="s">
        <v>15</v>
      </c>
      <c r="F924">
        <v>262701</v>
      </c>
      <c r="G924" t="s">
        <v>16</v>
      </c>
      <c r="H924">
        <v>14538.11</v>
      </c>
      <c r="I924" t="s">
        <v>17</v>
      </c>
      <c r="J924" t="s">
        <v>18</v>
      </c>
      <c r="K924" t="s">
        <v>26</v>
      </c>
      <c r="L924">
        <v>3</v>
      </c>
      <c r="M924">
        <v>0.06</v>
      </c>
      <c r="N924" t="s">
        <v>20</v>
      </c>
    </row>
    <row r="925" spans="1:14" x14ac:dyDescent="0.25">
      <c r="A925">
        <v>924</v>
      </c>
      <c r="B925" t="s">
        <v>24</v>
      </c>
      <c r="C925">
        <v>2013</v>
      </c>
      <c r="D925">
        <v>2.1</v>
      </c>
      <c r="E925" t="s">
        <v>15</v>
      </c>
      <c r="F925">
        <v>168461</v>
      </c>
      <c r="G925" t="s">
        <v>22</v>
      </c>
      <c r="H925">
        <v>94943.29</v>
      </c>
      <c r="I925" t="s">
        <v>34</v>
      </c>
      <c r="J925" t="s">
        <v>32</v>
      </c>
      <c r="K925" t="s">
        <v>26</v>
      </c>
      <c r="L925">
        <v>13</v>
      </c>
      <c r="M925">
        <v>0.56000000000000005</v>
      </c>
      <c r="N925" t="s">
        <v>20</v>
      </c>
    </row>
    <row r="926" spans="1:14" x14ac:dyDescent="0.25">
      <c r="A926">
        <v>925</v>
      </c>
      <c r="B926" t="s">
        <v>43</v>
      </c>
      <c r="C926">
        <v>2004</v>
      </c>
      <c r="D926">
        <v>4.8</v>
      </c>
      <c r="E926" t="s">
        <v>27</v>
      </c>
      <c r="F926">
        <v>178772</v>
      </c>
      <c r="G926" t="s">
        <v>16</v>
      </c>
      <c r="H926">
        <v>12414.71</v>
      </c>
      <c r="I926" t="s">
        <v>55</v>
      </c>
      <c r="J926" t="s">
        <v>41</v>
      </c>
      <c r="K926" t="s">
        <v>26</v>
      </c>
      <c r="L926">
        <v>22</v>
      </c>
      <c r="M926">
        <v>7.0000000000000007E-2</v>
      </c>
      <c r="N926" t="s">
        <v>20</v>
      </c>
    </row>
    <row r="927" spans="1:14" x14ac:dyDescent="0.25">
      <c r="A927">
        <v>926</v>
      </c>
      <c r="B927" t="s">
        <v>29</v>
      </c>
      <c r="C927">
        <v>2020</v>
      </c>
      <c r="D927">
        <v>1.3</v>
      </c>
      <c r="E927" t="s">
        <v>15</v>
      </c>
      <c r="F927">
        <v>130878</v>
      </c>
      <c r="G927" t="s">
        <v>30</v>
      </c>
      <c r="H927">
        <v>64408.86</v>
      </c>
      <c r="I927" t="s">
        <v>38</v>
      </c>
      <c r="J927" t="s">
        <v>46</v>
      </c>
      <c r="K927" t="s">
        <v>19</v>
      </c>
      <c r="L927">
        <v>6</v>
      </c>
      <c r="M927">
        <v>0.49</v>
      </c>
      <c r="N927" t="s">
        <v>33</v>
      </c>
    </row>
    <row r="928" spans="1:14" x14ac:dyDescent="0.25">
      <c r="A928">
        <v>927</v>
      </c>
      <c r="B928" t="s">
        <v>24</v>
      </c>
      <c r="C928">
        <v>2017</v>
      </c>
      <c r="D928">
        <v>3.5</v>
      </c>
      <c r="E928" t="s">
        <v>27</v>
      </c>
      <c r="F928">
        <v>99143</v>
      </c>
      <c r="G928" t="s">
        <v>16</v>
      </c>
      <c r="H928">
        <v>45274.04</v>
      </c>
      <c r="I928" t="s">
        <v>45</v>
      </c>
      <c r="J928" t="s">
        <v>18</v>
      </c>
      <c r="K928" t="s">
        <v>19</v>
      </c>
      <c r="L928">
        <v>9</v>
      </c>
      <c r="M928">
        <v>0.46</v>
      </c>
      <c r="N928" t="s">
        <v>20</v>
      </c>
    </row>
    <row r="929" spans="1:14" x14ac:dyDescent="0.25">
      <c r="A929">
        <v>928</v>
      </c>
      <c r="B929" t="s">
        <v>14</v>
      </c>
      <c r="C929">
        <v>2004</v>
      </c>
      <c r="D929">
        <v>3.2</v>
      </c>
      <c r="E929" t="s">
        <v>15</v>
      </c>
      <c r="F929">
        <v>24578</v>
      </c>
      <c r="G929" t="s">
        <v>16</v>
      </c>
      <c r="H929">
        <v>57879.27</v>
      </c>
      <c r="I929" t="s">
        <v>39</v>
      </c>
      <c r="J929" t="s">
        <v>18</v>
      </c>
      <c r="K929" t="s">
        <v>50</v>
      </c>
      <c r="L929">
        <v>22</v>
      </c>
      <c r="M929">
        <v>2.35</v>
      </c>
      <c r="N929" t="s">
        <v>20</v>
      </c>
    </row>
    <row r="930" spans="1:14" x14ac:dyDescent="0.25">
      <c r="A930">
        <v>929</v>
      </c>
      <c r="B930" t="s">
        <v>24</v>
      </c>
      <c r="C930">
        <v>2002</v>
      </c>
      <c r="D930">
        <v>2.7</v>
      </c>
      <c r="E930" t="s">
        <v>15</v>
      </c>
      <c r="F930">
        <v>74779</v>
      </c>
      <c r="G930" t="s">
        <v>30</v>
      </c>
      <c r="H930">
        <v>25255.35</v>
      </c>
      <c r="I930" t="s">
        <v>25</v>
      </c>
      <c r="J930" t="s">
        <v>32</v>
      </c>
      <c r="K930" t="s">
        <v>19</v>
      </c>
      <c r="L930">
        <v>24</v>
      </c>
      <c r="M930">
        <v>0.34</v>
      </c>
      <c r="N930" t="s">
        <v>20</v>
      </c>
    </row>
    <row r="931" spans="1:14" x14ac:dyDescent="0.25">
      <c r="A931">
        <v>930</v>
      </c>
      <c r="B931" t="s">
        <v>24</v>
      </c>
      <c r="C931">
        <v>2022</v>
      </c>
      <c r="D931">
        <v>3</v>
      </c>
      <c r="E931" t="s">
        <v>27</v>
      </c>
      <c r="F931">
        <v>140668</v>
      </c>
      <c r="G931" t="s">
        <v>16</v>
      </c>
      <c r="H931">
        <v>70370.490000000005</v>
      </c>
      <c r="I931" t="s">
        <v>45</v>
      </c>
      <c r="J931" t="s">
        <v>18</v>
      </c>
      <c r="K931" t="s">
        <v>19</v>
      </c>
      <c r="L931">
        <v>4</v>
      </c>
      <c r="M931">
        <v>0.5</v>
      </c>
      <c r="N931" t="s">
        <v>20</v>
      </c>
    </row>
    <row r="932" spans="1:14" x14ac:dyDescent="0.25">
      <c r="A932">
        <v>931</v>
      </c>
      <c r="B932" t="s">
        <v>24</v>
      </c>
      <c r="C932">
        <v>2004</v>
      </c>
      <c r="D932">
        <v>3.6</v>
      </c>
      <c r="E932" t="s">
        <v>15</v>
      </c>
      <c r="F932">
        <v>72534</v>
      </c>
      <c r="G932" t="s">
        <v>16</v>
      </c>
      <c r="H932">
        <v>96173.37</v>
      </c>
      <c r="I932" t="s">
        <v>34</v>
      </c>
      <c r="J932" t="s">
        <v>46</v>
      </c>
      <c r="K932" t="s">
        <v>19</v>
      </c>
      <c r="L932">
        <v>22</v>
      </c>
      <c r="M932">
        <v>1.33</v>
      </c>
      <c r="N932" t="s">
        <v>20</v>
      </c>
    </row>
    <row r="933" spans="1:14" x14ac:dyDescent="0.25">
      <c r="A933">
        <v>932</v>
      </c>
      <c r="B933" t="s">
        <v>36</v>
      </c>
      <c r="C933">
        <v>2023</v>
      </c>
      <c r="D933">
        <v>1.8</v>
      </c>
      <c r="E933" t="s">
        <v>15</v>
      </c>
      <c r="F933">
        <v>272273</v>
      </c>
      <c r="G933" t="s">
        <v>22</v>
      </c>
      <c r="H933">
        <v>48550.46</v>
      </c>
      <c r="I933" t="s">
        <v>51</v>
      </c>
      <c r="J933" t="s">
        <v>41</v>
      </c>
      <c r="K933" t="s">
        <v>26</v>
      </c>
      <c r="L933">
        <v>3</v>
      </c>
      <c r="M933">
        <v>0.18</v>
      </c>
      <c r="N933" t="s">
        <v>33</v>
      </c>
    </row>
    <row r="934" spans="1:14" x14ac:dyDescent="0.25">
      <c r="A934">
        <v>933</v>
      </c>
      <c r="B934" t="s">
        <v>36</v>
      </c>
      <c r="C934">
        <v>2016</v>
      </c>
      <c r="D934">
        <v>3.9</v>
      </c>
      <c r="E934" t="s">
        <v>15</v>
      </c>
      <c r="F934">
        <v>197118</v>
      </c>
      <c r="G934" t="s">
        <v>30</v>
      </c>
      <c r="H934">
        <v>54681.04</v>
      </c>
      <c r="I934" t="s">
        <v>51</v>
      </c>
      <c r="J934" t="s">
        <v>18</v>
      </c>
      <c r="K934" t="s">
        <v>26</v>
      </c>
      <c r="L934">
        <v>10</v>
      </c>
      <c r="M934">
        <v>0.28000000000000003</v>
      </c>
      <c r="N934" t="s">
        <v>33</v>
      </c>
    </row>
    <row r="935" spans="1:14" x14ac:dyDescent="0.25">
      <c r="A935">
        <v>934</v>
      </c>
      <c r="B935" t="s">
        <v>29</v>
      </c>
      <c r="C935">
        <v>2018</v>
      </c>
      <c r="D935">
        <v>5</v>
      </c>
      <c r="E935" t="s">
        <v>15</v>
      </c>
      <c r="F935">
        <v>273740</v>
      </c>
      <c r="G935" t="s">
        <v>30</v>
      </c>
      <c r="H935">
        <v>27782.11</v>
      </c>
      <c r="I935" t="s">
        <v>40</v>
      </c>
      <c r="J935" t="s">
        <v>41</v>
      </c>
      <c r="K935" t="s">
        <v>26</v>
      </c>
      <c r="L935">
        <v>8</v>
      </c>
      <c r="M935">
        <v>0.1</v>
      </c>
      <c r="N935" t="s">
        <v>33</v>
      </c>
    </row>
    <row r="936" spans="1:14" x14ac:dyDescent="0.25">
      <c r="A936">
        <v>935</v>
      </c>
      <c r="B936" t="s">
        <v>52</v>
      </c>
      <c r="C936">
        <v>2018</v>
      </c>
      <c r="D936">
        <v>4.8</v>
      </c>
      <c r="E936" t="s">
        <v>27</v>
      </c>
      <c r="F936">
        <v>65355</v>
      </c>
      <c r="G936" t="s">
        <v>22</v>
      </c>
      <c r="H936">
        <v>89727.46</v>
      </c>
      <c r="I936" t="s">
        <v>61</v>
      </c>
      <c r="J936" t="s">
        <v>32</v>
      </c>
      <c r="K936" t="s">
        <v>19</v>
      </c>
      <c r="L936">
        <v>8</v>
      </c>
      <c r="M936">
        <v>1.37</v>
      </c>
      <c r="N936" t="s">
        <v>33</v>
      </c>
    </row>
    <row r="937" spans="1:14" x14ac:dyDescent="0.25">
      <c r="A937">
        <v>936</v>
      </c>
      <c r="B937" t="s">
        <v>24</v>
      </c>
      <c r="C937">
        <v>2020</v>
      </c>
      <c r="D937">
        <v>1.8</v>
      </c>
      <c r="E937" t="s">
        <v>15</v>
      </c>
      <c r="F937">
        <v>12974</v>
      </c>
      <c r="G937" t="s">
        <v>22</v>
      </c>
      <c r="H937">
        <v>97261.57</v>
      </c>
      <c r="I937" t="s">
        <v>35</v>
      </c>
      <c r="J937" t="s">
        <v>46</v>
      </c>
      <c r="K937" t="s">
        <v>50</v>
      </c>
      <c r="L937">
        <v>6</v>
      </c>
      <c r="M937">
        <v>7.5</v>
      </c>
      <c r="N937" t="s">
        <v>20</v>
      </c>
    </row>
    <row r="938" spans="1:14" x14ac:dyDescent="0.25">
      <c r="A938">
        <v>937</v>
      </c>
      <c r="B938" t="s">
        <v>43</v>
      </c>
      <c r="C938">
        <v>2011</v>
      </c>
      <c r="D938">
        <v>1.7</v>
      </c>
      <c r="E938" t="s">
        <v>15</v>
      </c>
      <c r="F938">
        <v>197745</v>
      </c>
      <c r="G938" t="s">
        <v>16</v>
      </c>
      <c r="H938">
        <v>79698.2</v>
      </c>
      <c r="I938" t="s">
        <v>48</v>
      </c>
      <c r="J938" t="s">
        <v>41</v>
      </c>
      <c r="K938" t="s">
        <v>26</v>
      </c>
      <c r="L938">
        <v>15</v>
      </c>
      <c r="M938">
        <v>0.4</v>
      </c>
      <c r="N938" t="s">
        <v>20</v>
      </c>
    </row>
    <row r="939" spans="1:14" x14ac:dyDescent="0.25">
      <c r="A939">
        <v>938</v>
      </c>
      <c r="B939" t="s">
        <v>52</v>
      </c>
      <c r="C939">
        <v>2008</v>
      </c>
      <c r="D939">
        <v>2.2999999999999998</v>
      </c>
      <c r="E939" t="s">
        <v>27</v>
      </c>
      <c r="F939">
        <v>251366</v>
      </c>
      <c r="G939" t="s">
        <v>16</v>
      </c>
      <c r="H939">
        <v>56563.48</v>
      </c>
      <c r="I939" t="s">
        <v>61</v>
      </c>
      <c r="J939" t="s">
        <v>32</v>
      </c>
      <c r="K939" t="s">
        <v>26</v>
      </c>
      <c r="L939">
        <v>18</v>
      </c>
      <c r="M939">
        <v>0.23</v>
      </c>
      <c r="N939" t="s">
        <v>33</v>
      </c>
    </row>
    <row r="940" spans="1:14" x14ac:dyDescent="0.25">
      <c r="A940">
        <v>939</v>
      </c>
      <c r="B940" t="s">
        <v>43</v>
      </c>
      <c r="C940">
        <v>2000</v>
      </c>
      <c r="D940">
        <v>2.8</v>
      </c>
      <c r="E940" t="s">
        <v>27</v>
      </c>
      <c r="F940">
        <v>74442</v>
      </c>
      <c r="G940" t="s">
        <v>16</v>
      </c>
      <c r="H940">
        <v>95895.7</v>
      </c>
      <c r="I940" t="s">
        <v>44</v>
      </c>
      <c r="J940" t="s">
        <v>46</v>
      </c>
      <c r="K940" t="s">
        <v>19</v>
      </c>
      <c r="L940">
        <v>26</v>
      </c>
      <c r="M940">
        <v>1.29</v>
      </c>
      <c r="N940" t="s">
        <v>20</v>
      </c>
    </row>
    <row r="941" spans="1:14" x14ac:dyDescent="0.25">
      <c r="A941">
        <v>940</v>
      </c>
      <c r="B941" t="s">
        <v>52</v>
      </c>
      <c r="C941">
        <v>2017</v>
      </c>
      <c r="D941">
        <v>3</v>
      </c>
      <c r="E941" t="s">
        <v>15</v>
      </c>
      <c r="F941">
        <v>152890</v>
      </c>
      <c r="G941" t="s">
        <v>22</v>
      </c>
      <c r="H941">
        <v>19615.759999999998</v>
      </c>
      <c r="I941" t="s">
        <v>59</v>
      </c>
      <c r="J941" t="s">
        <v>32</v>
      </c>
      <c r="K941" t="s">
        <v>26</v>
      </c>
      <c r="L941">
        <v>9</v>
      </c>
      <c r="M941">
        <v>0.13</v>
      </c>
      <c r="N941" t="s">
        <v>33</v>
      </c>
    </row>
    <row r="942" spans="1:14" x14ac:dyDescent="0.25">
      <c r="A942">
        <v>941</v>
      </c>
      <c r="B942" t="s">
        <v>29</v>
      </c>
      <c r="C942">
        <v>2020</v>
      </c>
      <c r="D942">
        <v>4.4000000000000004</v>
      </c>
      <c r="E942" t="s">
        <v>15</v>
      </c>
      <c r="F942">
        <v>55598</v>
      </c>
      <c r="G942" t="s">
        <v>30</v>
      </c>
      <c r="H942">
        <v>50456.63</v>
      </c>
      <c r="I942" t="s">
        <v>62</v>
      </c>
      <c r="J942" t="s">
        <v>41</v>
      </c>
      <c r="K942" t="s">
        <v>19</v>
      </c>
      <c r="L942">
        <v>6</v>
      </c>
      <c r="M942">
        <v>0.91</v>
      </c>
      <c r="N942" t="s">
        <v>33</v>
      </c>
    </row>
    <row r="943" spans="1:14" x14ac:dyDescent="0.25">
      <c r="A943">
        <v>942</v>
      </c>
      <c r="B943" t="s">
        <v>24</v>
      </c>
      <c r="C943">
        <v>2003</v>
      </c>
      <c r="D943">
        <v>1.3</v>
      </c>
      <c r="E943" t="s">
        <v>27</v>
      </c>
      <c r="F943">
        <v>133726</v>
      </c>
      <c r="G943" t="s">
        <v>16</v>
      </c>
      <c r="H943">
        <v>56072.54</v>
      </c>
      <c r="I943" t="s">
        <v>25</v>
      </c>
      <c r="J943" t="s">
        <v>32</v>
      </c>
      <c r="K943" t="s">
        <v>19</v>
      </c>
      <c r="L943">
        <v>23</v>
      </c>
      <c r="M943">
        <v>0.42</v>
      </c>
      <c r="N943" t="s">
        <v>20</v>
      </c>
    </row>
    <row r="944" spans="1:14" x14ac:dyDescent="0.25">
      <c r="A944">
        <v>943</v>
      </c>
      <c r="B944" t="s">
        <v>24</v>
      </c>
      <c r="C944">
        <v>2009</v>
      </c>
      <c r="D944">
        <v>1.2</v>
      </c>
      <c r="E944" t="s">
        <v>15</v>
      </c>
      <c r="F944">
        <v>33758</v>
      </c>
      <c r="G944" t="s">
        <v>22</v>
      </c>
      <c r="H944">
        <v>51732.06</v>
      </c>
      <c r="I944" t="s">
        <v>34</v>
      </c>
      <c r="J944" t="s">
        <v>18</v>
      </c>
      <c r="K944" t="s">
        <v>50</v>
      </c>
      <c r="L944">
        <v>17</v>
      </c>
      <c r="M944">
        <v>1.53</v>
      </c>
      <c r="N944" t="s">
        <v>20</v>
      </c>
    </row>
    <row r="945" spans="1:14" x14ac:dyDescent="0.25">
      <c r="A945">
        <v>944</v>
      </c>
      <c r="B945" t="s">
        <v>21</v>
      </c>
      <c r="C945">
        <v>2006</v>
      </c>
      <c r="D945">
        <v>3</v>
      </c>
      <c r="E945" t="s">
        <v>27</v>
      </c>
      <c r="F945">
        <v>286348</v>
      </c>
      <c r="G945" t="s">
        <v>30</v>
      </c>
      <c r="H945">
        <v>81229.740000000005</v>
      </c>
      <c r="I945" t="s">
        <v>23</v>
      </c>
      <c r="J945" t="s">
        <v>46</v>
      </c>
      <c r="K945" t="s">
        <v>26</v>
      </c>
      <c r="L945">
        <v>20</v>
      </c>
      <c r="M945">
        <v>0.28000000000000003</v>
      </c>
      <c r="N945" t="s">
        <v>20</v>
      </c>
    </row>
    <row r="946" spans="1:14" x14ac:dyDescent="0.25">
      <c r="A946">
        <v>945</v>
      </c>
      <c r="B946" t="s">
        <v>43</v>
      </c>
      <c r="C946">
        <v>2021</v>
      </c>
      <c r="D946">
        <v>4.5</v>
      </c>
      <c r="E946" t="s">
        <v>15</v>
      </c>
      <c r="F946">
        <v>127309</v>
      </c>
      <c r="G946" t="s">
        <v>22</v>
      </c>
      <c r="H946">
        <v>68688.27</v>
      </c>
      <c r="I946" t="s">
        <v>48</v>
      </c>
      <c r="J946" t="s">
        <v>32</v>
      </c>
      <c r="K946" t="s">
        <v>19</v>
      </c>
      <c r="L946">
        <v>5</v>
      </c>
      <c r="M946">
        <v>0.54</v>
      </c>
      <c r="N946" t="s">
        <v>20</v>
      </c>
    </row>
    <row r="947" spans="1:14" x14ac:dyDescent="0.25">
      <c r="A947">
        <v>946</v>
      </c>
      <c r="B947" t="s">
        <v>52</v>
      </c>
      <c r="C947">
        <v>2022</v>
      </c>
      <c r="D947">
        <v>2</v>
      </c>
      <c r="E947" t="s">
        <v>27</v>
      </c>
      <c r="F947">
        <v>166000</v>
      </c>
      <c r="G947" t="s">
        <v>16</v>
      </c>
      <c r="H947">
        <v>17032.55</v>
      </c>
      <c r="I947" t="s">
        <v>61</v>
      </c>
      <c r="J947" t="s">
        <v>41</v>
      </c>
      <c r="K947" t="s">
        <v>26</v>
      </c>
      <c r="L947">
        <v>4</v>
      </c>
      <c r="M947">
        <v>0.1</v>
      </c>
      <c r="N947" t="s">
        <v>33</v>
      </c>
    </row>
    <row r="948" spans="1:14" x14ac:dyDescent="0.25">
      <c r="A948">
        <v>947</v>
      </c>
      <c r="B948" t="s">
        <v>52</v>
      </c>
      <c r="C948">
        <v>2000</v>
      </c>
      <c r="D948">
        <v>4.2</v>
      </c>
      <c r="E948" t="s">
        <v>27</v>
      </c>
      <c r="F948">
        <v>184681</v>
      </c>
      <c r="G948" t="s">
        <v>22</v>
      </c>
      <c r="H948">
        <v>37912.870000000003</v>
      </c>
      <c r="I948" t="s">
        <v>53</v>
      </c>
      <c r="J948" t="s">
        <v>46</v>
      </c>
      <c r="K948" t="s">
        <v>26</v>
      </c>
      <c r="L948">
        <v>26</v>
      </c>
      <c r="M948">
        <v>0.21</v>
      </c>
      <c r="N948" t="s">
        <v>33</v>
      </c>
    </row>
    <row r="949" spans="1:14" x14ac:dyDescent="0.25">
      <c r="A949">
        <v>948</v>
      </c>
      <c r="B949" t="s">
        <v>36</v>
      </c>
      <c r="C949">
        <v>2016</v>
      </c>
      <c r="D949">
        <v>2.2999999999999998</v>
      </c>
      <c r="E949" t="s">
        <v>27</v>
      </c>
      <c r="F949">
        <v>30552</v>
      </c>
      <c r="G949" t="s">
        <v>22</v>
      </c>
      <c r="H949">
        <v>37212.300000000003</v>
      </c>
      <c r="I949" t="s">
        <v>37</v>
      </c>
      <c r="J949" t="s">
        <v>18</v>
      </c>
      <c r="K949" t="s">
        <v>50</v>
      </c>
      <c r="L949">
        <v>10</v>
      </c>
      <c r="M949">
        <v>1.22</v>
      </c>
      <c r="N949" t="s">
        <v>33</v>
      </c>
    </row>
    <row r="950" spans="1:14" x14ac:dyDescent="0.25">
      <c r="A950">
        <v>949</v>
      </c>
      <c r="B950" t="s">
        <v>21</v>
      </c>
      <c r="C950">
        <v>2023</v>
      </c>
      <c r="D950">
        <v>5.4</v>
      </c>
      <c r="E950" t="s">
        <v>15</v>
      </c>
      <c r="F950">
        <v>147278</v>
      </c>
      <c r="G950" t="s">
        <v>22</v>
      </c>
      <c r="H950">
        <v>58735.06</v>
      </c>
      <c r="I950" t="s">
        <v>42</v>
      </c>
      <c r="J950" t="s">
        <v>46</v>
      </c>
      <c r="K950" t="s">
        <v>19</v>
      </c>
      <c r="L950">
        <v>3</v>
      </c>
      <c r="M950">
        <v>0.4</v>
      </c>
      <c r="N950" t="s">
        <v>20</v>
      </c>
    </row>
    <row r="951" spans="1:14" x14ac:dyDescent="0.25">
      <c r="A951">
        <v>950</v>
      </c>
      <c r="B951" t="s">
        <v>14</v>
      </c>
      <c r="C951">
        <v>2001</v>
      </c>
      <c r="D951">
        <v>5.5</v>
      </c>
      <c r="E951" t="s">
        <v>15</v>
      </c>
      <c r="F951">
        <v>34831</v>
      </c>
      <c r="G951" t="s">
        <v>22</v>
      </c>
      <c r="H951">
        <v>32688.55</v>
      </c>
      <c r="I951" t="s">
        <v>28</v>
      </c>
      <c r="J951" t="s">
        <v>18</v>
      </c>
      <c r="K951" t="s">
        <v>50</v>
      </c>
      <c r="L951">
        <v>25</v>
      </c>
      <c r="M951">
        <v>0.94</v>
      </c>
      <c r="N951" t="s">
        <v>20</v>
      </c>
    </row>
    <row r="952" spans="1:14" x14ac:dyDescent="0.25">
      <c r="A952">
        <v>951</v>
      </c>
      <c r="B952" t="s">
        <v>14</v>
      </c>
      <c r="C952">
        <v>2010</v>
      </c>
      <c r="D952">
        <v>2.5</v>
      </c>
      <c r="E952" t="s">
        <v>15</v>
      </c>
      <c r="F952">
        <v>43563</v>
      </c>
      <c r="G952" t="s">
        <v>30</v>
      </c>
      <c r="H952">
        <v>16140.82</v>
      </c>
      <c r="I952" t="s">
        <v>28</v>
      </c>
      <c r="J952" t="s">
        <v>18</v>
      </c>
      <c r="K952" t="s">
        <v>50</v>
      </c>
      <c r="L952">
        <v>16</v>
      </c>
      <c r="M952">
        <v>0.37</v>
      </c>
      <c r="N952" t="s">
        <v>20</v>
      </c>
    </row>
    <row r="953" spans="1:14" x14ac:dyDescent="0.25">
      <c r="A953">
        <v>952</v>
      </c>
      <c r="B953" t="s">
        <v>36</v>
      </c>
      <c r="C953">
        <v>2008</v>
      </c>
      <c r="D953">
        <v>2.1</v>
      </c>
      <c r="E953" t="s">
        <v>15</v>
      </c>
      <c r="F953">
        <v>18361</v>
      </c>
      <c r="G953" t="s">
        <v>16</v>
      </c>
      <c r="H953">
        <v>67099.850000000006</v>
      </c>
      <c r="I953" t="s">
        <v>37</v>
      </c>
      <c r="J953" t="s">
        <v>32</v>
      </c>
      <c r="K953" t="s">
        <v>50</v>
      </c>
      <c r="L953">
        <v>18</v>
      </c>
      <c r="M953">
        <v>3.65</v>
      </c>
      <c r="N953" t="s">
        <v>33</v>
      </c>
    </row>
    <row r="954" spans="1:14" x14ac:dyDescent="0.25">
      <c r="A954">
        <v>953</v>
      </c>
      <c r="B954" t="s">
        <v>36</v>
      </c>
      <c r="C954">
        <v>2006</v>
      </c>
      <c r="D954">
        <v>3.1</v>
      </c>
      <c r="E954" t="s">
        <v>27</v>
      </c>
      <c r="F954">
        <v>74469</v>
      </c>
      <c r="G954" t="s">
        <v>30</v>
      </c>
      <c r="H954">
        <v>85848.51</v>
      </c>
      <c r="I954" t="s">
        <v>51</v>
      </c>
      <c r="J954" t="s">
        <v>32</v>
      </c>
      <c r="K954" t="s">
        <v>19</v>
      </c>
      <c r="L954">
        <v>20</v>
      </c>
      <c r="M954">
        <v>1.1499999999999999</v>
      </c>
      <c r="N954" t="s">
        <v>33</v>
      </c>
    </row>
    <row r="955" spans="1:14" x14ac:dyDescent="0.25">
      <c r="A955">
        <v>954</v>
      </c>
      <c r="B955" t="s">
        <v>36</v>
      </c>
      <c r="C955">
        <v>2021</v>
      </c>
      <c r="D955">
        <v>2.2000000000000002</v>
      </c>
      <c r="E955" t="s">
        <v>27</v>
      </c>
      <c r="F955">
        <v>25816</v>
      </c>
      <c r="G955" t="s">
        <v>22</v>
      </c>
      <c r="H955">
        <v>93502.77</v>
      </c>
      <c r="I955" t="s">
        <v>57</v>
      </c>
      <c r="J955" t="s">
        <v>41</v>
      </c>
      <c r="K955" t="s">
        <v>50</v>
      </c>
      <c r="L955">
        <v>5</v>
      </c>
      <c r="M955">
        <v>3.62</v>
      </c>
      <c r="N955" t="s">
        <v>33</v>
      </c>
    </row>
    <row r="956" spans="1:14" x14ac:dyDescent="0.25">
      <c r="A956">
        <v>955</v>
      </c>
      <c r="B956" t="s">
        <v>43</v>
      </c>
      <c r="C956">
        <v>2016</v>
      </c>
      <c r="D956">
        <v>4.4000000000000004</v>
      </c>
      <c r="E956" t="s">
        <v>27</v>
      </c>
      <c r="F956">
        <v>257422</v>
      </c>
      <c r="G956" t="s">
        <v>22</v>
      </c>
      <c r="H956">
        <v>97394.95</v>
      </c>
      <c r="I956" t="s">
        <v>49</v>
      </c>
      <c r="J956" t="s">
        <v>18</v>
      </c>
      <c r="K956" t="s">
        <v>26</v>
      </c>
      <c r="L956">
        <v>10</v>
      </c>
      <c r="M956">
        <v>0.38</v>
      </c>
      <c r="N956" t="s">
        <v>20</v>
      </c>
    </row>
    <row r="957" spans="1:14" x14ac:dyDescent="0.25">
      <c r="A957">
        <v>956</v>
      </c>
      <c r="B957" t="s">
        <v>43</v>
      </c>
      <c r="C957">
        <v>2016</v>
      </c>
      <c r="D957">
        <v>5.0999999999999996</v>
      </c>
      <c r="E957" t="s">
        <v>15</v>
      </c>
      <c r="F957">
        <v>146691</v>
      </c>
      <c r="G957" t="s">
        <v>16</v>
      </c>
      <c r="H957">
        <v>79206.100000000006</v>
      </c>
      <c r="I957" t="s">
        <v>55</v>
      </c>
      <c r="J957" t="s">
        <v>41</v>
      </c>
      <c r="K957" t="s">
        <v>19</v>
      </c>
      <c r="L957">
        <v>10</v>
      </c>
      <c r="M957">
        <v>0.54</v>
      </c>
      <c r="N957" t="s">
        <v>20</v>
      </c>
    </row>
    <row r="958" spans="1:14" x14ac:dyDescent="0.25">
      <c r="A958">
        <v>957</v>
      </c>
      <c r="B958" t="s">
        <v>29</v>
      </c>
      <c r="C958">
        <v>2001</v>
      </c>
      <c r="D958">
        <v>4.4000000000000004</v>
      </c>
      <c r="E958" t="s">
        <v>15</v>
      </c>
      <c r="F958">
        <v>234295</v>
      </c>
      <c r="G958" t="s">
        <v>16</v>
      </c>
      <c r="H958">
        <v>18271.73</v>
      </c>
      <c r="I958" t="s">
        <v>62</v>
      </c>
      <c r="J958" t="s">
        <v>32</v>
      </c>
      <c r="K958" t="s">
        <v>26</v>
      </c>
      <c r="L958">
        <v>25</v>
      </c>
      <c r="M958">
        <v>0.08</v>
      </c>
      <c r="N958" t="s">
        <v>33</v>
      </c>
    </row>
    <row r="959" spans="1:14" x14ac:dyDescent="0.25">
      <c r="A959">
        <v>958</v>
      </c>
      <c r="B959" t="s">
        <v>29</v>
      </c>
      <c r="C959">
        <v>2005</v>
      </c>
      <c r="D959">
        <v>5.0999999999999996</v>
      </c>
      <c r="E959" t="s">
        <v>15</v>
      </c>
      <c r="F959">
        <v>92479</v>
      </c>
      <c r="G959" t="s">
        <v>30</v>
      </c>
      <c r="H959">
        <v>86045.62</v>
      </c>
      <c r="I959" t="s">
        <v>38</v>
      </c>
      <c r="J959" t="s">
        <v>18</v>
      </c>
      <c r="K959" t="s">
        <v>19</v>
      </c>
      <c r="L959">
        <v>21</v>
      </c>
      <c r="M959">
        <v>0.93</v>
      </c>
      <c r="N959" t="s">
        <v>33</v>
      </c>
    </row>
    <row r="960" spans="1:14" x14ac:dyDescent="0.25">
      <c r="A960">
        <v>959</v>
      </c>
      <c r="B960" t="s">
        <v>36</v>
      </c>
      <c r="C960">
        <v>2013</v>
      </c>
      <c r="D960">
        <v>3</v>
      </c>
      <c r="E960" t="s">
        <v>27</v>
      </c>
      <c r="F960">
        <v>26819</v>
      </c>
      <c r="G960" t="s">
        <v>30</v>
      </c>
      <c r="H960">
        <v>42996.21</v>
      </c>
      <c r="I960" t="s">
        <v>51</v>
      </c>
      <c r="J960" t="s">
        <v>41</v>
      </c>
      <c r="K960" t="s">
        <v>50</v>
      </c>
      <c r="L960">
        <v>13</v>
      </c>
      <c r="M960">
        <v>1.6</v>
      </c>
      <c r="N960" t="s">
        <v>33</v>
      </c>
    </row>
    <row r="961" spans="1:14" x14ac:dyDescent="0.25">
      <c r="A961">
        <v>960</v>
      </c>
      <c r="B961" t="s">
        <v>21</v>
      </c>
      <c r="C961">
        <v>2005</v>
      </c>
      <c r="D961">
        <v>1.8</v>
      </c>
      <c r="E961" t="s">
        <v>15</v>
      </c>
      <c r="F961">
        <v>8798</v>
      </c>
      <c r="G961" t="s">
        <v>16</v>
      </c>
      <c r="H961">
        <v>74341.570000000007</v>
      </c>
      <c r="I961" t="s">
        <v>23</v>
      </c>
      <c r="J961" t="s">
        <v>41</v>
      </c>
      <c r="K961" t="s">
        <v>50</v>
      </c>
      <c r="L961">
        <v>21</v>
      </c>
      <c r="M961">
        <v>8.4499999999999993</v>
      </c>
      <c r="N961" t="s">
        <v>20</v>
      </c>
    </row>
    <row r="962" spans="1:14" x14ac:dyDescent="0.25">
      <c r="A962">
        <v>961</v>
      </c>
      <c r="B962" t="s">
        <v>52</v>
      </c>
      <c r="C962">
        <v>2001</v>
      </c>
      <c r="D962">
        <v>4.7</v>
      </c>
      <c r="E962" t="s">
        <v>15</v>
      </c>
      <c r="F962">
        <v>156215</v>
      </c>
      <c r="G962" t="s">
        <v>30</v>
      </c>
      <c r="H962">
        <v>55470.46</v>
      </c>
      <c r="I962" t="s">
        <v>61</v>
      </c>
      <c r="J962" t="s">
        <v>41</v>
      </c>
      <c r="K962" t="s">
        <v>26</v>
      </c>
      <c r="L962">
        <v>25</v>
      </c>
      <c r="M962">
        <v>0.36</v>
      </c>
      <c r="N962" t="s">
        <v>33</v>
      </c>
    </row>
    <row r="963" spans="1:14" x14ac:dyDescent="0.25">
      <c r="A963">
        <v>962</v>
      </c>
      <c r="B963" t="s">
        <v>43</v>
      </c>
      <c r="C963">
        <v>2000</v>
      </c>
      <c r="D963">
        <v>2.8</v>
      </c>
      <c r="E963" t="s">
        <v>27</v>
      </c>
      <c r="F963">
        <v>243942</v>
      </c>
      <c r="G963" t="s">
        <v>22</v>
      </c>
      <c r="H963">
        <v>83717.58</v>
      </c>
      <c r="I963" t="s">
        <v>55</v>
      </c>
      <c r="J963" t="s">
        <v>41</v>
      </c>
      <c r="K963" t="s">
        <v>26</v>
      </c>
      <c r="L963">
        <v>26</v>
      </c>
      <c r="M963">
        <v>0.34</v>
      </c>
      <c r="N963" t="s">
        <v>20</v>
      </c>
    </row>
    <row r="964" spans="1:14" x14ac:dyDescent="0.25">
      <c r="A964">
        <v>963</v>
      </c>
      <c r="B964" t="s">
        <v>21</v>
      </c>
      <c r="C964">
        <v>2009</v>
      </c>
      <c r="D964">
        <v>4.4000000000000004</v>
      </c>
      <c r="E964" t="s">
        <v>27</v>
      </c>
      <c r="F964">
        <v>230259</v>
      </c>
      <c r="G964" t="s">
        <v>22</v>
      </c>
      <c r="H964">
        <v>45423.040000000001</v>
      </c>
      <c r="I964" t="s">
        <v>23</v>
      </c>
      <c r="J964" t="s">
        <v>41</v>
      </c>
      <c r="K964" t="s">
        <v>26</v>
      </c>
      <c r="L964">
        <v>17</v>
      </c>
      <c r="M964">
        <v>0.2</v>
      </c>
      <c r="N964" t="s">
        <v>20</v>
      </c>
    </row>
    <row r="965" spans="1:14" x14ac:dyDescent="0.25">
      <c r="A965">
        <v>964</v>
      </c>
      <c r="B965" t="s">
        <v>24</v>
      </c>
      <c r="C965">
        <v>2020</v>
      </c>
      <c r="D965">
        <v>2.4</v>
      </c>
      <c r="E965" t="s">
        <v>15</v>
      </c>
      <c r="F965">
        <v>129544</v>
      </c>
      <c r="G965" t="s">
        <v>16</v>
      </c>
      <c r="H965">
        <v>10870.41</v>
      </c>
      <c r="I965" t="s">
        <v>35</v>
      </c>
      <c r="J965" t="s">
        <v>18</v>
      </c>
      <c r="K965" t="s">
        <v>19</v>
      </c>
      <c r="L965">
        <v>6</v>
      </c>
      <c r="M965">
        <v>0.08</v>
      </c>
      <c r="N965" t="s">
        <v>20</v>
      </c>
    </row>
    <row r="966" spans="1:14" x14ac:dyDescent="0.25">
      <c r="A966">
        <v>965</v>
      </c>
      <c r="B966" t="s">
        <v>43</v>
      </c>
      <c r="C966">
        <v>2004</v>
      </c>
      <c r="D966">
        <v>1.4</v>
      </c>
      <c r="E966" t="s">
        <v>27</v>
      </c>
      <c r="F966">
        <v>152254</v>
      </c>
      <c r="G966" t="s">
        <v>30</v>
      </c>
      <c r="H966">
        <v>57898.25</v>
      </c>
      <c r="I966" t="s">
        <v>44</v>
      </c>
      <c r="J966" t="s">
        <v>41</v>
      </c>
      <c r="K966" t="s">
        <v>26</v>
      </c>
      <c r="L966">
        <v>22</v>
      </c>
      <c r="M966">
        <v>0.38</v>
      </c>
      <c r="N966" t="s">
        <v>20</v>
      </c>
    </row>
    <row r="967" spans="1:14" x14ac:dyDescent="0.25">
      <c r="A967">
        <v>966</v>
      </c>
      <c r="B967" t="s">
        <v>43</v>
      </c>
      <c r="C967">
        <v>2001</v>
      </c>
      <c r="D967">
        <v>6</v>
      </c>
      <c r="E967" t="s">
        <v>15</v>
      </c>
      <c r="F967">
        <v>253800</v>
      </c>
      <c r="G967" t="s">
        <v>22</v>
      </c>
      <c r="H967">
        <v>21272.6</v>
      </c>
      <c r="I967" t="s">
        <v>48</v>
      </c>
      <c r="J967" t="s">
        <v>18</v>
      </c>
      <c r="K967" t="s">
        <v>26</v>
      </c>
      <c r="L967">
        <v>25</v>
      </c>
      <c r="M967">
        <v>0.08</v>
      </c>
      <c r="N967" t="s">
        <v>20</v>
      </c>
    </row>
    <row r="968" spans="1:14" x14ac:dyDescent="0.25">
      <c r="A968">
        <v>967</v>
      </c>
      <c r="B968" t="s">
        <v>29</v>
      </c>
      <c r="C968">
        <v>2021</v>
      </c>
      <c r="D968">
        <v>1.8</v>
      </c>
      <c r="E968" t="s">
        <v>27</v>
      </c>
      <c r="F968">
        <v>9415</v>
      </c>
      <c r="G968" t="s">
        <v>16</v>
      </c>
      <c r="H968">
        <v>96724.18</v>
      </c>
      <c r="I968" t="s">
        <v>62</v>
      </c>
      <c r="J968" t="s">
        <v>41</v>
      </c>
      <c r="K968" t="s">
        <v>50</v>
      </c>
      <c r="L968">
        <v>5</v>
      </c>
      <c r="M968">
        <v>10.27</v>
      </c>
      <c r="N968" t="s">
        <v>33</v>
      </c>
    </row>
    <row r="969" spans="1:14" x14ac:dyDescent="0.25">
      <c r="A969">
        <v>968</v>
      </c>
      <c r="B969" t="s">
        <v>52</v>
      </c>
      <c r="C969">
        <v>2015</v>
      </c>
      <c r="D969">
        <v>5.9</v>
      </c>
      <c r="E969" t="s">
        <v>27</v>
      </c>
      <c r="F969">
        <v>87638</v>
      </c>
      <c r="G969" t="s">
        <v>30</v>
      </c>
      <c r="H969">
        <v>55061.49</v>
      </c>
      <c r="I969" t="s">
        <v>53</v>
      </c>
      <c r="J969" t="s">
        <v>32</v>
      </c>
      <c r="K969" t="s">
        <v>19</v>
      </c>
      <c r="L969">
        <v>11</v>
      </c>
      <c r="M969">
        <v>0.63</v>
      </c>
      <c r="N969" t="s">
        <v>33</v>
      </c>
    </row>
    <row r="970" spans="1:14" x14ac:dyDescent="0.25">
      <c r="A970">
        <v>969</v>
      </c>
      <c r="B970" t="s">
        <v>52</v>
      </c>
      <c r="C970">
        <v>2001</v>
      </c>
      <c r="D970">
        <v>5.9</v>
      </c>
      <c r="E970" t="s">
        <v>27</v>
      </c>
      <c r="F970">
        <v>18452</v>
      </c>
      <c r="G970" t="s">
        <v>22</v>
      </c>
      <c r="H970">
        <v>57588.09</v>
      </c>
      <c r="I970" t="s">
        <v>61</v>
      </c>
      <c r="J970" t="s">
        <v>32</v>
      </c>
      <c r="K970" t="s">
        <v>50</v>
      </c>
      <c r="L970">
        <v>25</v>
      </c>
      <c r="M970">
        <v>3.12</v>
      </c>
      <c r="N970" t="s">
        <v>33</v>
      </c>
    </row>
    <row r="971" spans="1:14" x14ac:dyDescent="0.25">
      <c r="A971">
        <v>970</v>
      </c>
      <c r="B971" t="s">
        <v>14</v>
      </c>
      <c r="C971">
        <v>2009</v>
      </c>
      <c r="D971">
        <v>5</v>
      </c>
      <c r="E971" t="s">
        <v>15</v>
      </c>
      <c r="F971">
        <v>195457</v>
      </c>
      <c r="G971" t="s">
        <v>30</v>
      </c>
      <c r="H971">
        <v>91190.24</v>
      </c>
      <c r="I971" t="s">
        <v>28</v>
      </c>
      <c r="J971" t="s">
        <v>18</v>
      </c>
      <c r="K971" t="s">
        <v>26</v>
      </c>
      <c r="L971">
        <v>17</v>
      </c>
      <c r="M971">
        <v>0.47</v>
      </c>
      <c r="N971" t="s">
        <v>20</v>
      </c>
    </row>
    <row r="972" spans="1:14" x14ac:dyDescent="0.25">
      <c r="A972">
        <v>971</v>
      </c>
      <c r="B972" t="s">
        <v>14</v>
      </c>
      <c r="C972">
        <v>2001</v>
      </c>
      <c r="D972">
        <v>4.3</v>
      </c>
      <c r="E972" t="s">
        <v>15</v>
      </c>
      <c r="F972">
        <v>110205</v>
      </c>
      <c r="G972" t="s">
        <v>30</v>
      </c>
      <c r="H972">
        <v>64335.6</v>
      </c>
      <c r="I972" t="s">
        <v>28</v>
      </c>
      <c r="J972" t="s">
        <v>18</v>
      </c>
      <c r="K972" t="s">
        <v>19</v>
      </c>
      <c r="L972">
        <v>25</v>
      </c>
      <c r="M972">
        <v>0.57999999999999996</v>
      </c>
      <c r="N972" t="s">
        <v>20</v>
      </c>
    </row>
    <row r="973" spans="1:14" x14ac:dyDescent="0.25">
      <c r="A973">
        <v>972</v>
      </c>
      <c r="B973" t="s">
        <v>14</v>
      </c>
      <c r="C973">
        <v>2015</v>
      </c>
      <c r="D973">
        <v>3.9</v>
      </c>
      <c r="E973" t="s">
        <v>15</v>
      </c>
      <c r="F973">
        <v>18170</v>
      </c>
      <c r="G973" t="s">
        <v>30</v>
      </c>
      <c r="H973">
        <v>33759.29</v>
      </c>
      <c r="I973" t="s">
        <v>39</v>
      </c>
      <c r="J973" t="s">
        <v>18</v>
      </c>
      <c r="K973" t="s">
        <v>50</v>
      </c>
      <c r="L973">
        <v>11</v>
      </c>
      <c r="M973">
        <v>1.86</v>
      </c>
      <c r="N973" t="s">
        <v>20</v>
      </c>
    </row>
    <row r="974" spans="1:14" x14ac:dyDescent="0.25">
      <c r="A974">
        <v>973</v>
      </c>
      <c r="B974" t="s">
        <v>14</v>
      </c>
      <c r="C974">
        <v>2015</v>
      </c>
      <c r="D974">
        <v>5.3</v>
      </c>
      <c r="E974" t="s">
        <v>27</v>
      </c>
      <c r="F974">
        <v>16259</v>
      </c>
      <c r="G974" t="s">
        <v>16</v>
      </c>
      <c r="H974">
        <v>33128.99</v>
      </c>
      <c r="I974" t="s">
        <v>28</v>
      </c>
      <c r="J974" t="s">
        <v>18</v>
      </c>
      <c r="K974" t="s">
        <v>50</v>
      </c>
      <c r="L974">
        <v>11</v>
      </c>
      <c r="M974">
        <v>2.04</v>
      </c>
      <c r="N974" t="s">
        <v>20</v>
      </c>
    </row>
    <row r="975" spans="1:14" x14ac:dyDescent="0.25">
      <c r="A975">
        <v>974</v>
      </c>
      <c r="B975" t="s">
        <v>24</v>
      </c>
      <c r="C975">
        <v>2018</v>
      </c>
      <c r="D975">
        <v>2.4</v>
      </c>
      <c r="E975" t="s">
        <v>27</v>
      </c>
      <c r="F975">
        <v>284243</v>
      </c>
      <c r="G975" t="s">
        <v>22</v>
      </c>
      <c r="H975">
        <v>52649.97</v>
      </c>
      <c r="I975" t="s">
        <v>35</v>
      </c>
      <c r="J975" t="s">
        <v>41</v>
      </c>
      <c r="K975" t="s">
        <v>26</v>
      </c>
      <c r="L975">
        <v>8</v>
      </c>
      <c r="M975">
        <v>0.19</v>
      </c>
      <c r="N975" t="s">
        <v>20</v>
      </c>
    </row>
    <row r="976" spans="1:14" x14ac:dyDescent="0.25">
      <c r="A976">
        <v>975</v>
      </c>
      <c r="B976" t="s">
        <v>24</v>
      </c>
      <c r="C976">
        <v>2006</v>
      </c>
      <c r="D976">
        <v>3.3</v>
      </c>
      <c r="E976" t="s">
        <v>27</v>
      </c>
      <c r="F976">
        <v>140721</v>
      </c>
      <c r="G976" t="s">
        <v>16</v>
      </c>
      <c r="H976">
        <v>87327.78</v>
      </c>
      <c r="I976" t="s">
        <v>25</v>
      </c>
      <c r="J976" t="s">
        <v>18</v>
      </c>
      <c r="K976" t="s">
        <v>19</v>
      </c>
      <c r="L976">
        <v>20</v>
      </c>
      <c r="M976">
        <v>0.62</v>
      </c>
      <c r="N976" t="s">
        <v>20</v>
      </c>
    </row>
    <row r="977" spans="1:14" x14ac:dyDescent="0.25">
      <c r="A977">
        <v>976</v>
      </c>
      <c r="B977" t="s">
        <v>43</v>
      </c>
      <c r="C977">
        <v>2021</v>
      </c>
      <c r="D977">
        <v>4.0999999999999996</v>
      </c>
      <c r="E977" t="s">
        <v>27</v>
      </c>
      <c r="F977">
        <v>129394</v>
      </c>
      <c r="G977" t="s">
        <v>22</v>
      </c>
      <c r="H977">
        <v>80499.289999999994</v>
      </c>
      <c r="I977" t="s">
        <v>44</v>
      </c>
      <c r="J977" t="s">
        <v>46</v>
      </c>
      <c r="K977" t="s">
        <v>19</v>
      </c>
      <c r="L977">
        <v>5</v>
      </c>
      <c r="M977">
        <v>0.62</v>
      </c>
      <c r="N977" t="s">
        <v>20</v>
      </c>
    </row>
    <row r="978" spans="1:14" x14ac:dyDescent="0.25">
      <c r="A978">
        <v>977</v>
      </c>
      <c r="B978" t="s">
        <v>36</v>
      </c>
      <c r="C978">
        <v>2011</v>
      </c>
      <c r="D978">
        <v>3.1</v>
      </c>
      <c r="E978" t="s">
        <v>15</v>
      </c>
      <c r="F978">
        <v>172109</v>
      </c>
      <c r="G978" t="s">
        <v>22</v>
      </c>
      <c r="H978">
        <v>96460.36</v>
      </c>
      <c r="I978" t="s">
        <v>57</v>
      </c>
      <c r="J978" t="s">
        <v>41</v>
      </c>
      <c r="K978" t="s">
        <v>26</v>
      </c>
      <c r="L978">
        <v>15</v>
      </c>
      <c r="M978">
        <v>0.56000000000000005</v>
      </c>
      <c r="N978" t="s">
        <v>33</v>
      </c>
    </row>
    <row r="979" spans="1:14" x14ac:dyDescent="0.25">
      <c r="A979">
        <v>978</v>
      </c>
      <c r="B979" t="s">
        <v>29</v>
      </c>
      <c r="C979">
        <v>2023</v>
      </c>
      <c r="D979">
        <v>3.1</v>
      </c>
      <c r="E979" t="s">
        <v>15</v>
      </c>
      <c r="F979">
        <v>273949</v>
      </c>
      <c r="G979" t="s">
        <v>16</v>
      </c>
      <c r="H979">
        <v>11829.18</v>
      </c>
      <c r="I979" t="s">
        <v>62</v>
      </c>
      <c r="J979" t="s">
        <v>32</v>
      </c>
      <c r="K979" t="s">
        <v>26</v>
      </c>
      <c r="L979">
        <v>3</v>
      </c>
      <c r="M979">
        <v>0.04</v>
      </c>
      <c r="N979" t="s">
        <v>33</v>
      </c>
    </row>
    <row r="980" spans="1:14" x14ac:dyDescent="0.25">
      <c r="A980">
        <v>979</v>
      </c>
      <c r="B980" t="s">
        <v>29</v>
      </c>
      <c r="C980">
        <v>2014</v>
      </c>
      <c r="D980">
        <v>2.7</v>
      </c>
      <c r="E980" t="s">
        <v>15</v>
      </c>
      <c r="F980">
        <v>254599</v>
      </c>
      <c r="G980" t="s">
        <v>16</v>
      </c>
      <c r="H980">
        <v>30490.98</v>
      </c>
      <c r="I980" t="s">
        <v>62</v>
      </c>
      <c r="J980" t="s">
        <v>18</v>
      </c>
      <c r="K980" t="s">
        <v>26</v>
      </c>
      <c r="L980">
        <v>12</v>
      </c>
      <c r="M980">
        <v>0.12</v>
      </c>
      <c r="N980" t="s">
        <v>33</v>
      </c>
    </row>
    <row r="981" spans="1:14" x14ac:dyDescent="0.25">
      <c r="A981">
        <v>980</v>
      </c>
      <c r="B981" t="s">
        <v>14</v>
      </c>
      <c r="C981">
        <v>2007</v>
      </c>
      <c r="D981">
        <v>3.8</v>
      </c>
      <c r="E981" t="s">
        <v>27</v>
      </c>
      <c r="F981">
        <v>43147</v>
      </c>
      <c r="G981" t="s">
        <v>22</v>
      </c>
      <c r="H981">
        <v>12619.73</v>
      </c>
      <c r="I981" t="s">
        <v>58</v>
      </c>
      <c r="J981" t="s">
        <v>18</v>
      </c>
      <c r="K981" t="s">
        <v>50</v>
      </c>
      <c r="L981">
        <v>19</v>
      </c>
      <c r="M981">
        <v>0.28999999999999998</v>
      </c>
      <c r="N981" t="s">
        <v>20</v>
      </c>
    </row>
    <row r="982" spans="1:14" x14ac:dyDescent="0.25">
      <c r="A982">
        <v>981</v>
      </c>
      <c r="B982" t="s">
        <v>43</v>
      </c>
      <c r="C982">
        <v>2005</v>
      </c>
      <c r="D982">
        <v>5.3</v>
      </c>
      <c r="E982" t="s">
        <v>27</v>
      </c>
      <c r="F982">
        <v>74280</v>
      </c>
      <c r="G982" t="s">
        <v>22</v>
      </c>
      <c r="H982">
        <v>76352.52</v>
      </c>
      <c r="I982" t="s">
        <v>48</v>
      </c>
      <c r="J982" t="s">
        <v>32</v>
      </c>
      <c r="K982" t="s">
        <v>19</v>
      </c>
      <c r="L982">
        <v>21</v>
      </c>
      <c r="M982">
        <v>1.03</v>
      </c>
      <c r="N982" t="s">
        <v>20</v>
      </c>
    </row>
    <row r="983" spans="1:14" x14ac:dyDescent="0.25">
      <c r="A983">
        <v>982</v>
      </c>
      <c r="B983" t="s">
        <v>21</v>
      </c>
      <c r="C983">
        <v>2009</v>
      </c>
      <c r="D983">
        <v>2</v>
      </c>
      <c r="E983" t="s">
        <v>15</v>
      </c>
      <c r="F983">
        <v>177125</v>
      </c>
      <c r="G983" t="s">
        <v>22</v>
      </c>
      <c r="H983">
        <v>18379.2</v>
      </c>
      <c r="I983" t="s">
        <v>42</v>
      </c>
      <c r="J983" t="s">
        <v>41</v>
      </c>
      <c r="K983" t="s">
        <v>26</v>
      </c>
      <c r="L983">
        <v>17</v>
      </c>
      <c r="M983">
        <v>0.1</v>
      </c>
      <c r="N983" t="s">
        <v>20</v>
      </c>
    </row>
    <row r="984" spans="1:14" x14ac:dyDescent="0.25">
      <c r="A984">
        <v>983</v>
      </c>
      <c r="B984" t="s">
        <v>36</v>
      </c>
      <c r="C984">
        <v>2002</v>
      </c>
      <c r="D984">
        <v>5.7</v>
      </c>
      <c r="E984" t="s">
        <v>27</v>
      </c>
      <c r="F984">
        <v>97841</v>
      </c>
      <c r="G984" t="s">
        <v>30</v>
      </c>
      <c r="H984">
        <v>14489.2</v>
      </c>
      <c r="I984" t="s">
        <v>57</v>
      </c>
      <c r="J984" t="s">
        <v>18</v>
      </c>
      <c r="K984" t="s">
        <v>19</v>
      </c>
      <c r="L984">
        <v>24</v>
      </c>
      <c r="M984">
        <v>0.15</v>
      </c>
      <c r="N984" t="s">
        <v>33</v>
      </c>
    </row>
    <row r="985" spans="1:14" x14ac:dyDescent="0.25">
      <c r="A985">
        <v>984</v>
      </c>
      <c r="B985" t="s">
        <v>43</v>
      </c>
      <c r="C985">
        <v>2018</v>
      </c>
      <c r="D985">
        <v>4.4000000000000004</v>
      </c>
      <c r="E985" t="s">
        <v>15</v>
      </c>
      <c r="F985">
        <v>124726</v>
      </c>
      <c r="G985" t="s">
        <v>22</v>
      </c>
      <c r="H985">
        <v>58358.86</v>
      </c>
      <c r="I985" t="s">
        <v>49</v>
      </c>
      <c r="J985" t="s">
        <v>46</v>
      </c>
      <c r="K985" t="s">
        <v>19</v>
      </c>
      <c r="L985">
        <v>8</v>
      </c>
      <c r="M985">
        <v>0.47</v>
      </c>
      <c r="N985" t="s">
        <v>20</v>
      </c>
    </row>
    <row r="986" spans="1:14" x14ac:dyDescent="0.25">
      <c r="A986">
        <v>985</v>
      </c>
      <c r="B986" t="s">
        <v>36</v>
      </c>
      <c r="C986">
        <v>2016</v>
      </c>
      <c r="D986">
        <v>5.0999999999999996</v>
      </c>
      <c r="E986" t="s">
        <v>27</v>
      </c>
      <c r="F986">
        <v>76215</v>
      </c>
      <c r="G986" t="s">
        <v>16</v>
      </c>
      <c r="H986">
        <v>44091.05</v>
      </c>
      <c r="I986" t="s">
        <v>57</v>
      </c>
      <c r="J986" t="s">
        <v>32</v>
      </c>
      <c r="K986" t="s">
        <v>19</v>
      </c>
      <c r="L986">
        <v>10</v>
      </c>
      <c r="M986">
        <v>0.57999999999999996</v>
      </c>
      <c r="N986" t="s">
        <v>33</v>
      </c>
    </row>
    <row r="987" spans="1:14" x14ac:dyDescent="0.25">
      <c r="A987">
        <v>986</v>
      </c>
      <c r="B987" t="s">
        <v>36</v>
      </c>
      <c r="C987">
        <v>2006</v>
      </c>
      <c r="D987">
        <v>3.8</v>
      </c>
      <c r="E987" t="s">
        <v>27</v>
      </c>
      <c r="F987">
        <v>112909</v>
      </c>
      <c r="G987" t="s">
        <v>16</v>
      </c>
      <c r="H987">
        <v>72934.63</v>
      </c>
      <c r="I987" t="s">
        <v>57</v>
      </c>
      <c r="J987" t="s">
        <v>41</v>
      </c>
      <c r="K987" t="s">
        <v>19</v>
      </c>
      <c r="L987">
        <v>20</v>
      </c>
      <c r="M987">
        <v>0.65</v>
      </c>
      <c r="N987" t="s">
        <v>33</v>
      </c>
    </row>
    <row r="988" spans="1:14" x14ac:dyDescent="0.25">
      <c r="A988">
        <v>987</v>
      </c>
      <c r="B988" t="s">
        <v>36</v>
      </c>
      <c r="C988">
        <v>2020</v>
      </c>
      <c r="D988">
        <v>4.9000000000000004</v>
      </c>
      <c r="E988" t="s">
        <v>15</v>
      </c>
      <c r="F988">
        <v>273129</v>
      </c>
      <c r="G988" t="s">
        <v>16</v>
      </c>
      <c r="H988">
        <v>51266.46</v>
      </c>
      <c r="I988" t="s">
        <v>57</v>
      </c>
      <c r="J988" t="s">
        <v>41</v>
      </c>
      <c r="K988" t="s">
        <v>26</v>
      </c>
      <c r="L988">
        <v>6</v>
      </c>
      <c r="M988">
        <v>0.19</v>
      </c>
      <c r="N988" t="s">
        <v>33</v>
      </c>
    </row>
    <row r="989" spans="1:14" x14ac:dyDescent="0.25">
      <c r="A989">
        <v>988</v>
      </c>
      <c r="B989" t="s">
        <v>43</v>
      </c>
      <c r="C989">
        <v>2019</v>
      </c>
      <c r="D989">
        <v>1.1000000000000001</v>
      </c>
      <c r="E989" t="s">
        <v>15</v>
      </c>
      <c r="F989">
        <v>274535</v>
      </c>
      <c r="G989" t="s">
        <v>22</v>
      </c>
      <c r="H989">
        <v>45406.79</v>
      </c>
      <c r="I989" t="s">
        <v>48</v>
      </c>
      <c r="J989" t="s">
        <v>46</v>
      </c>
      <c r="K989" t="s">
        <v>26</v>
      </c>
      <c r="L989">
        <v>7</v>
      </c>
      <c r="M989">
        <v>0.17</v>
      </c>
      <c r="N989" t="s">
        <v>20</v>
      </c>
    </row>
    <row r="990" spans="1:14" x14ac:dyDescent="0.25">
      <c r="A990">
        <v>989</v>
      </c>
      <c r="B990" t="s">
        <v>14</v>
      </c>
      <c r="C990">
        <v>2003</v>
      </c>
      <c r="D990">
        <v>5.0999999999999996</v>
      </c>
      <c r="E990" t="s">
        <v>27</v>
      </c>
      <c r="F990">
        <v>4861</v>
      </c>
      <c r="G990" t="s">
        <v>22</v>
      </c>
      <c r="H990">
        <v>45422.54</v>
      </c>
      <c r="I990" t="s">
        <v>58</v>
      </c>
      <c r="J990" t="s">
        <v>18</v>
      </c>
      <c r="K990" t="s">
        <v>50</v>
      </c>
      <c r="L990">
        <v>23</v>
      </c>
      <c r="M990">
        <v>9.34</v>
      </c>
      <c r="N990" t="s">
        <v>20</v>
      </c>
    </row>
    <row r="991" spans="1:14" x14ac:dyDescent="0.25">
      <c r="A991">
        <v>990</v>
      </c>
      <c r="B991" t="s">
        <v>29</v>
      </c>
      <c r="C991">
        <v>2013</v>
      </c>
      <c r="D991">
        <v>1.2</v>
      </c>
      <c r="E991" t="s">
        <v>15</v>
      </c>
      <c r="F991">
        <v>261968</v>
      </c>
      <c r="G991" t="s">
        <v>30</v>
      </c>
      <c r="H991">
        <v>87828.26</v>
      </c>
      <c r="I991" t="s">
        <v>38</v>
      </c>
      <c r="J991" t="s">
        <v>32</v>
      </c>
      <c r="K991" t="s">
        <v>26</v>
      </c>
      <c r="L991">
        <v>13</v>
      </c>
      <c r="M991">
        <v>0.34</v>
      </c>
      <c r="N991" t="s">
        <v>33</v>
      </c>
    </row>
    <row r="992" spans="1:14" x14ac:dyDescent="0.25">
      <c r="A992">
        <v>991</v>
      </c>
      <c r="B992" t="s">
        <v>29</v>
      </c>
      <c r="C992">
        <v>2019</v>
      </c>
      <c r="D992">
        <v>5.4</v>
      </c>
      <c r="E992" t="s">
        <v>15</v>
      </c>
      <c r="F992">
        <v>183000</v>
      </c>
      <c r="G992" t="s">
        <v>30</v>
      </c>
      <c r="H992">
        <v>42546.44</v>
      </c>
      <c r="I992" t="s">
        <v>40</v>
      </c>
      <c r="J992" t="s">
        <v>41</v>
      </c>
      <c r="K992" t="s">
        <v>26</v>
      </c>
      <c r="L992">
        <v>7</v>
      </c>
      <c r="M992">
        <v>0.23</v>
      </c>
      <c r="N992" t="s">
        <v>33</v>
      </c>
    </row>
    <row r="993" spans="1:14" x14ac:dyDescent="0.25">
      <c r="A993">
        <v>992</v>
      </c>
      <c r="B993" t="s">
        <v>14</v>
      </c>
      <c r="C993">
        <v>2021</v>
      </c>
      <c r="D993">
        <v>6</v>
      </c>
      <c r="E993" t="s">
        <v>27</v>
      </c>
      <c r="F993">
        <v>296508</v>
      </c>
      <c r="G993" t="s">
        <v>16</v>
      </c>
      <c r="H993">
        <v>36672.730000000003</v>
      </c>
      <c r="I993" t="s">
        <v>17</v>
      </c>
      <c r="J993" t="s">
        <v>18</v>
      </c>
      <c r="K993" t="s">
        <v>26</v>
      </c>
      <c r="L993">
        <v>5</v>
      </c>
      <c r="M993">
        <v>0.12</v>
      </c>
      <c r="N993" t="s">
        <v>20</v>
      </c>
    </row>
    <row r="994" spans="1:14" x14ac:dyDescent="0.25">
      <c r="A994">
        <v>993</v>
      </c>
      <c r="B994" t="s">
        <v>36</v>
      </c>
      <c r="C994">
        <v>2014</v>
      </c>
      <c r="D994">
        <v>2.5</v>
      </c>
      <c r="E994" t="s">
        <v>27</v>
      </c>
      <c r="F994">
        <v>249072</v>
      </c>
      <c r="G994" t="s">
        <v>30</v>
      </c>
      <c r="H994">
        <v>37160.83</v>
      </c>
      <c r="I994" t="s">
        <v>51</v>
      </c>
      <c r="J994" t="s">
        <v>18</v>
      </c>
      <c r="K994" t="s">
        <v>26</v>
      </c>
      <c r="L994">
        <v>12</v>
      </c>
      <c r="M994">
        <v>0.15</v>
      </c>
      <c r="N994" t="s">
        <v>33</v>
      </c>
    </row>
    <row r="995" spans="1:14" x14ac:dyDescent="0.25">
      <c r="A995">
        <v>994</v>
      </c>
      <c r="B995" t="s">
        <v>21</v>
      </c>
      <c r="C995">
        <v>2023</v>
      </c>
      <c r="D995">
        <v>2.1</v>
      </c>
      <c r="E995" t="s">
        <v>27</v>
      </c>
      <c r="F995">
        <v>224402</v>
      </c>
      <c r="G995" t="s">
        <v>30</v>
      </c>
      <c r="H995">
        <v>23677.08</v>
      </c>
      <c r="I995" t="s">
        <v>23</v>
      </c>
      <c r="J995" t="s">
        <v>32</v>
      </c>
      <c r="K995" t="s">
        <v>26</v>
      </c>
      <c r="L995">
        <v>3</v>
      </c>
      <c r="M995">
        <v>0.11</v>
      </c>
      <c r="N995" t="s">
        <v>20</v>
      </c>
    </row>
    <row r="996" spans="1:14" x14ac:dyDescent="0.25">
      <c r="A996">
        <v>995</v>
      </c>
      <c r="B996" t="s">
        <v>52</v>
      </c>
      <c r="C996">
        <v>2007</v>
      </c>
      <c r="D996">
        <v>4.8</v>
      </c>
      <c r="E996" t="s">
        <v>15</v>
      </c>
      <c r="F996">
        <v>42923</v>
      </c>
      <c r="G996" t="s">
        <v>16</v>
      </c>
      <c r="H996">
        <v>86765.440000000002</v>
      </c>
      <c r="I996" t="s">
        <v>61</v>
      </c>
      <c r="J996" t="s">
        <v>18</v>
      </c>
      <c r="K996" t="s">
        <v>50</v>
      </c>
      <c r="L996">
        <v>19</v>
      </c>
      <c r="M996">
        <v>2.02</v>
      </c>
      <c r="N996" t="s">
        <v>33</v>
      </c>
    </row>
    <row r="997" spans="1:14" x14ac:dyDescent="0.25">
      <c r="A997">
        <v>996</v>
      </c>
      <c r="B997" t="s">
        <v>43</v>
      </c>
      <c r="C997">
        <v>2020</v>
      </c>
      <c r="D997">
        <v>2.2999999999999998</v>
      </c>
      <c r="E997" t="s">
        <v>27</v>
      </c>
      <c r="F997">
        <v>186968</v>
      </c>
      <c r="G997" t="s">
        <v>22</v>
      </c>
      <c r="H997">
        <v>18929.93</v>
      </c>
      <c r="I997" t="s">
        <v>49</v>
      </c>
      <c r="J997" t="s">
        <v>46</v>
      </c>
      <c r="K997" t="s">
        <v>26</v>
      </c>
      <c r="L997">
        <v>6</v>
      </c>
      <c r="M997">
        <v>0.1</v>
      </c>
      <c r="N997" t="s">
        <v>20</v>
      </c>
    </row>
    <row r="998" spans="1:14" x14ac:dyDescent="0.25">
      <c r="A998">
        <v>997</v>
      </c>
      <c r="B998" t="s">
        <v>52</v>
      </c>
      <c r="C998">
        <v>2014</v>
      </c>
      <c r="D998">
        <v>5.3</v>
      </c>
      <c r="E998" t="s">
        <v>27</v>
      </c>
      <c r="F998">
        <v>165912</v>
      </c>
      <c r="G998" t="s">
        <v>30</v>
      </c>
      <c r="H998">
        <v>91318.02</v>
      </c>
      <c r="I998" t="s">
        <v>56</v>
      </c>
      <c r="J998" t="s">
        <v>41</v>
      </c>
      <c r="K998" t="s">
        <v>26</v>
      </c>
      <c r="L998">
        <v>12</v>
      </c>
      <c r="M998">
        <v>0.55000000000000004</v>
      </c>
      <c r="N998" t="s">
        <v>33</v>
      </c>
    </row>
    <row r="999" spans="1:14" x14ac:dyDescent="0.25">
      <c r="A999">
        <v>998</v>
      </c>
      <c r="B999" t="s">
        <v>14</v>
      </c>
      <c r="C999">
        <v>2021</v>
      </c>
      <c r="D999">
        <v>1.5</v>
      </c>
      <c r="E999" t="s">
        <v>27</v>
      </c>
      <c r="F999">
        <v>173327</v>
      </c>
      <c r="G999" t="s">
        <v>22</v>
      </c>
      <c r="H999">
        <v>31929.43</v>
      </c>
      <c r="I999" t="s">
        <v>28</v>
      </c>
      <c r="J999" t="s">
        <v>18</v>
      </c>
      <c r="K999" t="s">
        <v>26</v>
      </c>
      <c r="L999">
        <v>5</v>
      </c>
      <c r="M999">
        <v>0.18</v>
      </c>
      <c r="N999" t="s">
        <v>20</v>
      </c>
    </row>
    <row r="1000" spans="1:14" x14ac:dyDescent="0.25">
      <c r="A1000">
        <v>999</v>
      </c>
      <c r="B1000" t="s">
        <v>21</v>
      </c>
      <c r="C1000">
        <v>2019</v>
      </c>
      <c r="D1000">
        <v>1.6</v>
      </c>
      <c r="E1000" t="s">
        <v>27</v>
      </c>
      <c r="F1000">
        <v>128165</v>
      </c>
      <c r="G1000" t="s">
        <v>16</v>
      </c>
      <c r="H1000">
        <v>90445.55</v>
      </c>
      <c r="I1000" t="s">
        <v>42</v>
      </c>
      <c r="J1000" t="s">
        <v>46</v>
      </c>
      <c r="K1000" t="s">
        <v>19</v>
      </c>
      <c r="L1000">
        <v>7</v>
      </c>
      <c r="M1000">
        <v>0.71</v>
      </c>
      <c r="N1000" t="s">
        <v>20</v>
      </c>
    </row>
    <row r="1001" spans="1:14" x14ac:dyDescent="0.25">
      <c r="A1001">
        <v>1000</v>
      </c>
      <c r="B1001" t="s">
        <v>43</v>
      </c>
      <c r="C1001">
        <v>2013</v>
      </c>
      <c r="D1001">
        <v>5.9</v>
      </c>
      <c r="E1001" t="s">
        <v>27</v>
      </c>
      <c r="F1001">
        <v>230314</v>
      </c>
      <c r="G1001" t="s">
        <v>16</v>
      </c>
      <c r="H1001">
        <v>80127.960000000006</v>
      </c>
      <c r="I1001" t="s">
        <v>44</v>
      </c>
      <c r="J1001" t="s">
        <v>41</v>
      </c>
      <c r="K1001" t="s">
        <v>26</v>
      </c>
      <c r="L1001">
        <v>13</v>
      </c>
      <c r="M1001">
        <v>0.35</v>
      </c>
      <c r="N1001" t="s">
        <v>20</v>
      </c>
    </row>
    <row r="1002" spans="1:14" x14ac:dyDescent="0.25">
      <c r="A1002">
        <v>1001</v>
      </c>
      <c r="B1002" t="s">
        <v>14</v>
      </c>
      <c r="C1002">
        <v>2008</v>
      </c>
      <c r="D1002">
        <v>4.4000000000000004</v>
      </c>
      <c r="E1002" t="s">
        <v>15</v>
      </c>
      <c r="F1002">
        <v>295673</v>
      </c>
      <c r="G1002" t="s">
        <v>30</v>
      </c>
      <c r="H1002">
        <v>60288.81</v>
      </c>
      <c r="I1002" t="s">
        <v>58</v>
      </c>
      <c r="J1002" t="s">
        <v>18</v>
      </c>
      <c r="K1002" t="s">
        <v>26</v>
      </c>
      <c r="L1002">
        <v>18</v>
      </c>
      <c r="M1002">
        <v>0.2</v>
      </c>
      <c r="N1002" t="s">
        <v>20</v>
      </c>
    </row>
    <row r="1003" spans="1:14" x14ac:dyDescent="0.25">
      <c r="A1003">
        <v>1002</v>
      </c>
      <c r="B1003" t="s">
        <v>36</v>
      </c>
      <c r="C1003">
        <v>2007</v>
      </c>
      <c r="D1003">
        <v>5.2</v>
      </c>
      <c r="E1003" t="s">
        <v>27</v>
      </c>
      <c r="F1003">
        <v>144013</v>
      </c>
      <c r="G1003" t="s">
        <v>16</v>
      </c>
      <c r="H1003">
        <v>68599.649999999994</v>
      </c>
      <c r="I1003" t="s">
        <v>54</v>
      </c>
      <c r="J1003" t="s">
        <v>32</v>
      </c>
      <c r="K1003" t="s">
        <v>19</v>
      </c>
      <c r="L1003">
        <v>19</v>
      </c>
      <c r="M1003">
        <v>0.48</v>
      </c>
      <c r="N1003" t="s">
        <v>33</v>
      </c>
    </row>
    <row r="1004" spans="1:14" x14ac:dyDescent="0.25">
      <c r="A1004">
        <v>1003</v>
      </c>
      <c r="B1004" t="s">
        <v>29</v>
      </c>
      <c r="C1004">
        <v>2016</v>
      </c>
      <c r="D1004">
        <v>2.6</v>
      </c>
      <c r="E1004" t="s">
        <v>27</v>
      </c>
      <c r="F1004">
        <v>1669</v>
      </c>
      <c r="G1004" t="s">
        <v>16</v>
      </c>
      <c r="H1004">
        <v>35955.19</v>
      </c>
      <c r="I1004" t="s">
        <v>40</v>
      </c>
      <c r="J1004" t="s">
        <v>32</v>
      </c>
      <c r="K1004" t="s">
        <v>50</v>
      </c>
      <c r="L1004">
        <v>10</v>
      </c>
      <c r="M1004">
        <v>21.54</v>
      </c>
      <c r="N1004" t="s">
        <v>33</v>
      </c>
    </row>
    <row r="1005" spans="1:14" x14ac:dyDescent="0.25">
      <c r="A1005">
        <v>1004</v>
      </c>
      <c r="B1005" t="s">
        <v>52</v>
      </c>
      <c r="C1005">
        <v>2001</v>
      </c>
      <c r="D1005">
        <v>4.4000000000000004</v>
      </c>
      <c r="E1005" t="s">
        <v>15</v>
      </c>
      <c r="F1005">
        <v>216854</v>
      </c>
      <c r="G1005" t="s">
        <v>16</v>
      </c>
      <c r="H1005">
        <v>59551.72</v>
      </c>
      <c r="I1005" t="s">
        <v>61</v>
      </c>
      <c r="J1005" t="s">
        <v>46</v>
      </c>
      <c r="K1005" t="s">
        <v>26</v>
      </c>
      <c r="L1005">
        <v>25</v>
      </c>
      <c r="M1005">
        <v>0.27</v>
      </c>
      <c r="N1005" t="s">
        <v>33</v>
      </c>
    </row>
    <row r="1006" spans="1:14" x14ac:dyDescent="0.25">
      <c r="A1006">
        <v>1005</v>
      </c>
      <c r="B1006" t="s">
        <v>24</v>
      </c>
      <c r="C1006">
        <v>2023</v>
      </c>
      <c r="D1006">
        <v>4</v>
      </c>
      <c r="E1006" t="s">
        <v>27</v>
      </c>
      <c r="F1006">
        <v>55786</v>
      </c>
      <c r="G1006" t="s">
        <v>30</v>
      </c>
      <c r="H1006">
        <v>32778.28</v>
      </c>
      <c r="I1006" t="s">
        <v>25</v>
      </c>
      <c r="J1006" t="s">
        <v>41</v>
      </c>
      <c r="K1006" t="s">
        <v>19</v>
      </c>
      <c r="L1006">
        <v>3</v>
      </c>
      <c r="M1006">
        <v>0.59</v>
      </c>
      <c r="N1006" t="s">
        <v>20</v>
      </c>
    </row>
    <row r="1007" spans="1:14" x14ac:dyDescent="0.25">
      <c r="A1007">
        <v>1006</v>
      </c>
      <c r="B1007" t="s">
        <v>24</v>
      </c>
      <c r="C1007">
        <v>2002</v>
      </c>
      <c r="D1007">
        <v>4</v>
      </c>
      <c r="E1007" t="s">
        <v>27</v>
      </c>
      <c r="F1007">
        <v>182155</v>
      </c>
      <c r="G1007" t="s">
        <v>30</v>
      </c>
      <c r="H1007">
        <v>43215.92</v>
      </c>
      <c r="I1007" t="s">
        <v>34</v>
      </c>
      <c r="J1007" t="s">
        <v>18</v>
      </c>
      <c r="K1007" t="s">
        <v>26</v>
      </c>
      <c r="L1007">
        <v>24</v>
      </c>
      <c r="M1007">
        <v>0.24</v>
      </c>
      <c r="N1007" t="s">
        <v>20</v>
      </c>
    </row>
    <row r="1008" spans="1:14" x14ac:dyDescent="0.25">
      <c r="A1008">
        <v>1007</v>
      </c>
      <c r="B1008" t="s">
        <v>21</v>
      </c>
      <c r="C1008">
        <v>2007</v>
      </c>
      <c r="D1008">
        <v>4.4000000000000004</v>
      </c>
      <c r="E1008" t="s">
        <v>15</v>
      </c>
      <c r="F1008">
        <v>20323</v>
      </c>
      <c r="G1008" t="s">
        <v>30</v>
      </c>
      <c r="H1008">
        <v>77642.94</v>
      </c>
      <c r="I1008" t="s">
        <v>47</v>
      </c>
      <c r="J1008" t="s">
        <v>18</v>
      </c>
      <c r="K1008" t="s">
        <v>50</v>
      </c>
      <c r="L1008">
        <v>19</v>
      </c>
      <c r="M1008">
        <v>3.82</v>
      </c>
      <c r="N1008" t="s">
        <v>20</v>
      </c>
    </row>
    <row r="1009" spans="1:14" x14ac:dyDescent="0.25">
      <c r="A1009">
        <v>1008</v>
      </c>
      <c r="B1009" t="s">
        <v>36</v>
      </c>
      <c r="C1009">
        <v>2011</v>
      </c>
      <c r="D1009">
        <v>3.9</v>
      </c>
      <c r="E1009" t="s">
        <v>27</v>
      </c>
      <c r="F1009">
        <v>230502</v>
      </c>
      <c r="G1009" t="s">
        <v>16</v>
      </c>
      <c r="H1009">
        <v>28173.59</v>
      </c>
      <c r="I1009" t="s">
        <v>51</v>
      </c>
      <c r="J1009" t="s">
        <v>46</v>
      </c>
      <c r="K1009" t="s">
        <v>26</v>
      </c>
      <c r="L1009">
        <v>15</v>
      </c>
      <c r="M1009">
        <v>0.12</v>
      </c>
      <c r="N1009" t="s">
        <v>33</v>
      </c>
    </row>
    <row r="1010" spans="1:14" x14ac:dyDescent="0.25">
      <c r="A1010">
        <v>1009</v>
      </c>
      <c r="B1010" t="s">
        <v>52</v>
      </c>
      <c r="C1010">
        <v>2000</v>
      </c>
      <c r="D1010">
        <v>3.1</v>
      </c>
      <c r="E1010" t="s">
        <v>15</v>
      </c>
      <c r="F1010">
        <v>257249</v>
      </c>
      <c r="G1010" t="s">
        <v>22</v>
      </c>
      <c r="H1010">
        <v>84690.37</v>
      </c>
      <c r="I1010" t="s">
        <v>59</v>
      </c>
      <c r="J1010" t="s">
        <v>32</v>
      </c>
      <c r="K1010" t="s">
        <v>26</v>
      </c>
      <c r="L1010">
        <v>26</v>
      </c>
      <c r="M1010">
        <v>0.33</v>
      </c>
      <c r="N1010" t="s">
        <v>33</v>
      </c>
    </row>
    <row r="1011" spans="1:14" x14ac:dyDescent="0.25">
      <c r="A1011">
        <v>1010</v>
      </c>
      <c r="B1011" t="s">
        <v>36</v>
      </c>
      <c r="C1011">
        <v>2009</v>
      </c>
      <c r="D1011">
        <v>2.4</v>
      </c>
      <c r="E1011" t="s">
        <v>27</v>
      </c>
      <c r="F1011">
        <v>6021</v>
      </c>
      <c r="G1011" t="s">
        <v>16</v>
      </c>
      <c r="H1011">
        <v>40708.870000000003</v>
      </c>
      <c r="I1011" t="s">
        <v>51</v>
      </c>
      <c r="J1011" t="s">
        <v>41</v>
      </c>
      <c r="K1011" t="s">
        <v>50</v>
      </c>
      <c r="L1011">
        <v>17</v>
      </c>
      <c r="M1011">
        <v>6.76</v>
      </c>
      <c r="N1011" t="s">
        <v>33</v>
      </c>
    </row>
    <row r="1012" spans="1:14" x14ac:dyDescent="0.25">
      <c r="A1012">
        <v>1011</v>
      </c>
      <c r="B1012" t="s">
        <v>52</v>
      </c>
      <c r="C1012">
        <v>2019</v>
      </c>
      <c r="D1012">
        <v>4.8</v>
      </c>
      <c r="E1012" t="s">
        <v>15</v>
      </c>
      <c r="F1012">
        <v>113415</v>
      </c>
      <c r="G1012" t="s">
        <v>30</v>
      </c>
      <c r="H1012">
        <v>55556.15</v>
      </c>
      <c r="I1012" t="s">
        <v>56</v>
      </c>
      <c r="J1012" t="s">
        <v>41</v>
      </c>
      <c r="K1012" t="s">
        <v>19</v>
      </c>
      <c r="L1012">
        <v>7</v>
      </c>
      <c r="M1012">
        <v>0.49</v>
      </c>
      <c r="N1012" t="s">
        <v>33</v>
      </c>
    </row>
    <row r="1013" spans="1:14" x14ac:dyDescent="0.25">
      <c r="A1013">
        <v>1012</v>
      </c>
      <c r="B1013" t="s">
        <v>21</v>
      </c>
      <c r="C1013">
        <v>2002</v>
      </c>
      <c r="D1013">
        <v>2.1</v>
      </c>
      <c r="E1013" t="s">
        <v>15</v>
      </c>
      <c r="F1013">
        <v>270855</v>
      </c>
      <c r="G1013" t="s">
        <v>22</v>
      </c>
      <c r="H1013">
        <v>94486.25</v>
      </c>
      <c r="I1013" t="s">
        <v>42</v>
      </c>
      <c r="J1013" t="s">
        <v>32</v>
      </c>
      <c r="K1013" t="s">
        <v>26</v>
      </c>
      <c r="L1013">
        <v>24</v>
      </c>
      <c r="M1013">
        <v>0.35</v>
      </c>
      <c r="N1013" t="s">
        <v>20</v>
      </c>
    </row>
    <row r="1014" spans="1:14" x14ac:dyDescent="0.25">
      <c r="A1014">
        <v>1013</v>
      </c>
      <c r="B1014" t="s">
        <v>21</v>
      </c>
      <c r="C1014">
        <v>2005</v>
      </c>
      <c r="D1014">
        <v>4.5</v>
      </c>
      <c r="E1014" t="s">
        <v>27</v>
      </c>
      <c r="F1014">
        <v>7904</v>
      </c>
      <c r="G1014" t="s">
        <v>22</v>
      </c>
      <c r="H1014">
        <v>69719.28</v>
      </c>
      <c r="I1014" t="s">
        <v>60</v>
      </c>
      <c r="J1014" t="s">
        <v>18</v>
      </c>
      <c r="K1014" t="s">
        <v>50</v>
      </c>
      <c r="L1014">
        <v>21</v>
      </c>
      <c r="M1014">
        <v>8.82</v>
      </c>
      <c r="N1014" t="s">
        <v>20</v>
      </c>
    </row>
    <row r="1015" spans="1:14" x14ac:dyDescent="0.25">
      <c r="A1015">
        <v>1014</v>
      </c>
      <c r="B1015" t="s">
        <v>24</v>
      </c>
      <c r="C1015">
        <v>2006</v>
      </c>
      <c r="D1015">
        <v>2.2000000000000002</v>
      </c>
      <c r="E1015" t="s">
        <v>15</v>
      </c>
      <c r="F1015">
        <v>64033</v>
      </c>
      <c r="G1015" t="s">
        <v>30</v>
      </c>
      <c r="H1015">
        <v>66332.39</v>
      </c>
      <c r="I1015" t="s">
        <v>25</v>
      </c>
      <c r="J1015" t="s">
        <v>41</v>
      </c>
      <c r="K1015" t="s">
        <v>19</v>
      </c>
      <c r="L1015">
        <v>20</v>
      </c>
      <c r="M1015">
        <v>1.04</v>
      </c>
      <c r="N1015" t="s">
        <v>20</v>
      </c>
    </row>
    <row r="1016" spans="1:14" x14ac:dyDescent="0.25">
      <c r="A1016">
        <v>1015</v>
      </c>
      <c r="B1016" t="s">
        <v>36</v>
      </c>
      <c r="C1016">
        <v>2019</v>
      </c>
      <c r="D1016">
        <v>4.0999999999999996</v>
      </c>
      <c r="E1016" t="s">
        <v>15</v>
      </c>
      <c r="F1016">
        <v>231659</v>
      </c>
      <c r="G1016" t="s">
        <v>22</v>
      </c>
      <c r="H1016">
        <v>72602.73</v>
      </c>
      <c r="I1016" t="s">
        <v>57</v>
      </c>
      <c r="J1016" t="s">
        <v>46</v>
      </c>
      <c r="K1016" t="s">
        <v>26</v>
      </c>
      <c r="L1016">
        <v>7</v>
      </c>
      <c r="M1016">
        <v>0.31</v>
      </c>
      <c r="N1016" t="s">
        <v>33</v>
      </c>
    </row>
    <row r="1017" spans="1:14" x14ac:dyDescent="0.25">
      <c r="A1017">
        <v>1016</v>
      </c>
      <c r="B1017" t="s">
        <v>43</v>
      </c>
      <c r="C1017">
        <v>2022</v>
      </c>
      <c r="D1017">
        <v>4.7</v>
      </c>
      <c r="E1017" t="s">
        <v>27</v>
      </c>
      <c r="F1017">
        <v>120035</v>
      </c>
      <c r="G1017" t="s">
        <v>22</v>
      </c>
      <c r="H1017">
        <v>92220.58</v>
      </c>
      <c r="I1017" t="s">
        <v>55</v>
      </c>
      <c r="J1017" t="s">
        <v>18</v>
      </c>
      <c r="K1017" t="s">
        <v>19</v>
      </c>
      <c r="L1017">
        <v>4</v>
      </c>
      <c r="M1017">
        <v>0.77</v>
      </c>
      <c r="N1017" t="s">
        <v>20</v>
      </c>
    </row>
    <row r="1018" spans="1:14" x14ac:dyDescent="0.25">
      <c r="A1018">
        <v>1017</v>
      </c>
      <c r="B1018" t="s">
        <v>24</v>
      </c>
      <c r="C1018">
        <v>2017</v>
      </c>
      <c r="D1018">
        <v>2.1</v>
      </c>
      <c r="E1018" t="s">
        <v>27</v>
      </c>
      <c r="F1018">
        <v>220859</v>
      </c>
      <c r="G1018" t="s">
        <v>30</v>
      </c>
      <c r="H1018">
        <v>28608.799999999999</v>
      </c>
      <c r="I1018" t="s">
        <v>45</v>
      </c>
      <c r="J1018" t="s">
        <v>46</v>
      </c>
      <c r="K1018" t="s">
        <v>26</v>
      </c>
      <c r="L1018">
        <v>9</v>
      </c>
      <c r="M1018">
        <v>0.13</v>
      </c>
      <c r="N1018" t="s">
        <v>20</v>
      </c>
    </row>
    <row r="1019" spans="1:14" x14ac:dyDescent="0.25">
      <c r="A1019">
        <v>1018</v>
      </c>
      <c r="B1019" t="s">
        <v>36</v>
      </c>
      <c r="C1019">
        <v>2010</v>
      </c>
      <c r="D1019">
        <v>1.3</v>
      </c>
      <c r="E1019" t="s">
        <v>15</v>
      </c>
      <c r="F1019">
        <v>186168</v>
      </c>
      <c r="G1019" t="s">
        <v>22</v>
      </c>
      <c r="H1019">
        <v>63257.91</v>
      </c>
      <c r="I1019" t="s">
        <v>37</v>
      </c>
      <c r="J1019" t="s">
        <v>18</v>
      </c>
      <c r="K1019" t="s">
        <v>26</v>
      </c>
      <c r="L1019">
        <v>16</v>
      </c>
      <c r="M1019">
        <v>0.34</v>
      </c>
      <c r="N1019" t="s">
        <v>33</v>
      </c>
    </row>
    <row r="1020" spans="1:14" x14ac:dyDescent="0.25">
      <c r="A1020">
        <v>1019</v>
      </c>
      <c r="B1020" t="s">
        <v>24</v>
      </c>
      <c r="C1020">
        <v>2018</v>
      </c>
      <c r="D1020">
        <v>1.7</v>
      </c>
      <c r="E1020" t="s">
        <v>27</v>
      </c>
      <c r="F1020">
        <v>221666</v>
      </c>
      <c r="G1020" t="s">
        <v>22</v>
      </c>
      <c r="H1020">
        <v>43037.42</v>
      </c>
      <c r="I1020" t="s">
        <v>45</v>
      </c>
      <c r="J1020" t="s">
        <v>32</v>
      </c>
      <c r="K1020" t="s">
        <v>26</v>
      </c>
      <c r="L1020">
        <v>8</v>
      </c>
      <c r="M1020">
        <v>0.19</v>
      </c>
      <c r="N1020" t="s">
        <v>20</v>
      </c>
    </row>
    <row r="1021" spans="1:14" x14ac:dyDescent="0.25">
      <c r="A1021">
        <v>1020</v>
      </c>
      <c r="B1021" t="s">
        <v>43</v>
      </c>
      <c r="C1021">
        <v>2004</v>
      </c>
      <c r="D1021">
        <v>4</v>
      </c>
      <c r="E1021" t="s">
        <v>15</v>
      </c>
      <c r="F1021">
        <v>231853</v>
      </c>
      <c r="G1021" t="s">
        <v>30</v>
      </c>
      <c r="H1021">
        <v>6126.25</v>
      </c>
      <c r="I1021" t="s">
        <v>44</v>
      </c>
      <c r="J1021" t="s">
        <v>46</v>
      </c>
      <c r="K1021" t="s">
        <v>26</v>
      </c>
      <c r="L1021">
        <v>22</v>
      </c>
      <c r="M1021">
        <v>0.03</v>
      </c>
      <c r="N1021" t="s">
        <v>20</v>
      </c>
    </row>
    <row r="1022" spans="1:14" x14ac:dyDescent="0.25">
      <c r="A1022">
        <v>1021</v>
      </c>
      <c r="B1022" t="s">
        <v>29</v>
      </c>
      <c r="C1022">
        <v>2018</v>
      </c>
      <c r="D1022">
        <v>5.2</v>
      </c>
      <c r="E1022" t="s">
        <v>15</v>
      </c>
      <c r="F1022">
        <v>265237</v>
      </c>
      <c r="G1022" t="s">
        <v>22</v>
      </c>
      <c r="H1022">
        <v>16903.59</v>
      </c>
      <c r="I1022" t="s">
        <v>38</v>
      </c>
      <c r="J1022" t="s">
        <v>46</v>
      </c>
      <c r="K1022" t="s">
        <v>26</v>
      </c>
      <c r="L1022">
        <v>8</v>
      </c>
      <c r="M1022">
        <v>0.06</v>
      </c>
      <c r="N1022" t="s">
        <v>33</v>
      </c>
    </row>
    <row r="1023" spans="1:14" x14ac:dyDescent="0.25">
      <c r="A1023">
        <v>1022</v>
      </c>
      <c r="B1023" t="s">
        <v>29</v>
      </c>
      <c r="C1023">
        <v>2010</v>
      </c>
      <c r="D1023">
        <v>1.2</v>
      </c>
      <c r="E1023" t="s">
        <v>27</v>
      </c>
      <c r="F1023">
        <v>287062</v>
      </c>
      <c r="G1023" t="s">
        <v>22</v>
      </c>
      <c r="H1023">
        <v>35874.230000000003</v>
      </c>
      <c r="I1023" t="s">
        <v>40</v>
      </c>
      <c r="J1023" t="s">
        <v>32</v>
      </c>
      <c r="K1023" t="s">
        <v>26</v>
      </c>
      <c r="L1023">
        <v>16</v>
      </c>
      <c r="M1023">
        <v>0.12</v>
      </c>
      <c r="N1023" t="s">
        <v>33</v>
      </c>
    </row>
    <row r="1024" spans="1:14" x14ac:dyDescent="0.25">
      <c r="A1024">
        <v>1023</v>
      </c>
      <c r="B1024" t="s">
        <v>29</v>
      </c>
      <c r="C1024">
        <v>2023</v>
      </c>
      <c r="D1024">
        <v>4.7</v>
      </c>
      <c r="E1024" t="s">
        <v>27</v>
      </c>
      <c r="F1024">
        <v>193708</v>
      </c>
      <c r="G1024" t="s">
        <v>22</v>
      </c>
      <c r="H1024">
        <v>58675</v>
      </c>
      <c r="I1024" t="s">
        <v>40</v>
      </c>
      <c r="J1024" t="s">
        <v>46</v>
      </c>
      <c r="K1024" t="s">
        <v>26</v>
      </c>
      <c r="L1024">
        <v>3</v>
      </c>
      <c r="M1024">
        <v>0.3</v>
      </c>
      <c r="N1024" t="s">
        <v>33</v>
      </c>
    </row>
    <row r="1025" spans="1:14" x14ac:dyDescent="0.25">
      <c r="A1025">
        <v>1024</v>
      </c>
      <c r="B1025" t="s">
        <v>29</v>
      </c>
      <c r="C1025">
        <v>2011</v>
      </c>
      <c r="D1025">
        <v>2.7</v>
      </c>
      <c r="E1025" t="s">
        <v>15</v>
      </c>
      <c r="F1025">
        <v>189878</v>
      </c>
      <c r="G1025" t="s">
        <v>22</v>
      </c>
      <c r="H1025">
        <v>88740.1</v>
      </c>
      <c r="I1025" t="s">
        <v>40</v>
      </c>
      <c r="J1025" t="s">
        <v>18</v>
      </c>
      <c r="K1025" t="s">
        <v>26</v>
      </c>
      <c r="L1025">
        <v>15</v>
      </c>
      <c r="M1025">
        <v>0.47</v>
      </c>
      <c r="N1025" t="s">
        <v>33</v>
      </c>
    </row>
    <row r="1026" spans="1:14" x14ac:dyDescent="0.25">
      <c r="A1026">
        <v>1025</v>
      </c>
      <c r="B1026" t="s">
        <v>14</v>
      </c>
      <c r="C1026">
        <v>2009</v>
      </c>
      <c r="D1026">
        <v>3.4</v>
      </c>
      <c r="E1026" t="s">
        <v>27</v>
      </c>
      <c r="F1026">
        <v>140466</v>
      </c>
      <c r="G1026" t="s">
        <v>30</v>
      </c>
      <c r="H1026">
        <v>80155.839999999997</v>
      </c>
      <c r="I1026" t="s">
        <v>28</v>
      </c>
      <c r="J1026" t="s">
        <v>18</v>
      </c>
      <c r="K1026" t="s">
        <v>19</v>
      </c>
      <c r="L1026">
        <v>17</v>
      </c>
      <c r="M1026">
        <v>0.56999999999999995</v>
      </c>
      <c r="N1026" t="s">
        <v>20</v>
      </c>
    </row>
    <row r="1027" spans="1:14" x14ac:dyDescent="0.25">
      <c r="A1027">
        <v>1026</v>
      </c>
      <c r="B1027" t="s">
        <v>52</v>
      </c>
      <c r="C1027">
        <v>2007</v>
      </c>
      <c r="D1027">
        <v>5.6</v>
      </c>
      <c r="E1027" t="s">
        <v>27</v>
      </c>
      <c r="F1027">
        <v>124501</v>
      </c>
      <c r="G1027" t="s">
        <v>16</v>
      </c>
      <c r="H1027">
        <v>57566.7</v>
      </c>
      <c r="I1027" t="s">
        <v>61</v>
      </c>
      <c r="J1027" t="s">
        <v>41</v>
      </c>
      <c r="K1027" t="s">
        <v>19</v>
      </c>
      <c r="L1027">
        <v>19</v>
      </c>
      <c r="M1027">
        <v>0.46</v>
      </c>
      <c r="N1027" t="s">
        <v>33</v>
      </c>
    </row>
    <row r="1028" spans="1:14" x14ac:dyDescent="0.25">
      <c r="A1028">
        <v>1027</v>
      </c>
      <c r="B1028" t="s">
        <v>14</v>
      </c>
      <c r="C1028">
        <v>2023</v>
      </c>
      <c r="D1028">
        <v>2.7</v>
      </c>
      <c r="E1028" t="s">
        <v>15</v>
      </c>
      <c r="F1028">
        <v>260228</v>
      </c>
      <c r="G1028" t="s">
        <v>16</v>
      </c>
      <c r="H1028">
        <v>12017.69</v>
      </c>
      <c r="I1028" t="s">
        <v>58</v>
      </c>
      <c r="J1028" t="s">
        <v>18</v>
      </c>
      <c r="K1028" t="s">
        <v>26</v>
      </c>
      <c r="L1028">
        <v>3</v>
      </c>
      <c r="M1028">
        <v>0.05</v>
      </c>
      <c r="N1028" t="s">
        <v>20</v>
      </c>
    </row>
    <row r="1029" spans="1:14" x14ac:dyDescent="0.25">
      <c r="A1029">
        <v>1028</v>
      </c>
      <c r="B1029" t="s">
        <v>14</v>
      </c>
      <c r="C1029">
        <v>2008</v>
      </c>
      <c r="D1029">
        <v>3.3</v>
      </c>
      <c r="E1029" t="s">
        <v>15</v>
      </c>
      <c r="F1029">
        <v>92510</v>
      </c>
      <c r="G1029" t="s">
        <v>22</v>
      </c>
      <c r="H1029">
        <v>32161.1</v>
      </c>
      <c r="I1029" t="s">
        <v>17</v>
      </c>
      <c r="J1029" t="s">
        <v>18</v>
      </c>
      <c r="K1029" t="s">
        <v>19</v>
      </c>
      <c r="L1029">
        <v>18</v>
      </c>
      <c r="M1029">
        <v>0.35</v>
      </c>
      <c r="N1029" t="s">
        <v>20</v>
      </c>
    </row>
    <row r="1030" spans="1:14" x14ac:dyDescent="0.25">
      <c r="A1030">
        <v>1029</v>
      </c>
      <c r="B1030" t="s">
        <v>14</v>
      </c>
      <c r="C1030">
        <v>2003</v>
      </c>
      <c r="D1030">
        <v>1.1000000000000001</v>
      </c>
      <c r="E1030" t="s">
        <v>15</v>
      </c>
      <c r="F1030">
        <v>93708</v>
      </c>
      <c r="G1030" t="s">
        <v>30</v>
      </c>
      <c r="H1030">
        <v>39837.32</v>
      </c>
      <c r="I1030" t="s">
        <v>28</v>
      </c>
      <c r="J1030" t="s">
        <v>18</v>
      </c>
      <c r="K1030" t="s">
        <v>19</v>
      </c>
      <c r="L1030">
        <v>23</v>
      </c>
      <c r="M1030">
        <v>0.43</v>
      </c>
      <c r="N1030" t="s">
        <v>20</v>
      </c>
    </row>
    <row r="1031" spans="1:14" x14ac:dyDescent="0.25">
      <c r="A1031">
        <v>1030</v>
      </c>
      <c r="B1031" t="s">
        <v>29</v>
      </c>
      <c r="C1031">
        <v>2004</v>
      </c>
      <c r="D1031">
        <v>1.4</v>
      </c>
      <c r="E1031" t="s">
        <v>15</v>
      </c>
      <c r="F1031">
        <v>97819</v>
      </c>
      <c r="G1031" t="s">
        <v>30</v>
      </c>
      <c r="H1031">
        <v>64063.13</v>
      </c>
      <c r="I1031" t="s">
        <v>40</v>
      </c>
      <c r="J1031" t="s">
        <v>46</v>
      </c>
      <c r="K1031" t="s">
        <v>19</v>
      </c>
      <c r="L1031">
        <v>22</v>
      </c>
      <c r="M1031">
        <v>0.65</v>
      </c>
      <c r="N1031" t="s">
        <v>33</v>
      </c>
    </row>
    <row r="1032" spans="1:14" x14ac:dyDescent="0.25">
      <c r="A1032">
        <v>1031</v>
      </c>
      <c r="B1032" t="s">
        <v>43</v>
      </c>
      <c r="C1032">
        <v>2020</v>
      </c>
      <c r="D1032">
        <v>2.2999999999999998</v>
      </c>
      <c r="E1032" t="s">
        <v>15</v>
      </c>
      <c r="F1032">
        <v>235603</v>
      </c>
      <c r="G1032" t="s">
        <v>22</v>
      </c>
      <c r="H1032">
        <v>11167.74</v>
      </c>
      <c r="I1032" t="s">
        <v>55</v>
      </c>
      <c r="J1032" t="s">
        <v>41</v>
      </c>
      <c r="K1032" t="s">
        <v>26</v>
      </c>
      <c r="L1032">
        <v>6</v>
      </c>
      <c r="M1032">
        <v>0.05</v>
      </c>
      <c r="N1032" t="s">
        <v>20</v>
      </c>
    </row>
    <row r="1033" spans="1:14" x14ac:dyDescent="0.25">
      <c r="A1033">
        <v>1032</v>
      </c>
      <c r="B1033" t="s">
        <v>21</v>
      </c>
      <c r="C1033">
        <v>2007</v>
      </c>
      <c r="D1033">
        <v>1.1000000000000001</v>
      </c>
      <c r="E1033" t="s">
        <v>15</v>
      </c>
      <c r="F1033">
        <v>36303</v>
      </c>
      <c r="G1033" t="s">
        <v>16</v>
      </c>
      <c r="H1033">
        <v>55368.39</v>
      </c>
      <c r="I1033" t="s">
        <v>23</v>
      </c>
      <c r="J1033" t="s">
        <v>46</v>
      </c>
      <c r="K1033" t="s">
        <v>50</v>
      </c>
      <c r="L1033">
        <v>19</v>
      </c>
      <c r="M1033">
        <v>1.53</v>
      </c>
      <c r="N1033" t="s">
        <v>20</v>
      </c>
    </row>
    <row r="1034" spans="1:14" x14ac:dyDescent="0.25">
      <c r="A1034">
        <v>1033</v>
      </c>
      <c r="B1034" t="s">
        <v>21</v>
      </c>
      <c r="C1034">
        <v>2022</v>
      </c>
      <c r="D1034">
        <v>4.2</v>
      </c>
      <c r="E1034" t="s">
        <v>27</v>
      </c>
      <c r="F1034">
        <v>27453</v>
      </c>
      <c r="G1034" t="s">
        <v>22</v>
      </c>
      <c r="H1034">
        <v>90639.13</v>
      </c>
      <c r="I1034" t="s">
        <v>60</v>
      </c>
      <c r="J1034" t="s">
        <v>41</v>
      </c>
      <c r="K1034" t="s">
        <v>50</v>
      </c>
      <c r="L1034">
        <v>4</v>
      </c>
      <c r="M1034">
        <v>3.3</v>
      </c>
      <c r="N1034" t="s">
        <v>20</v>
      </c>
    </row>
    <row r="1035" spans="1:14" x14ac:dyDescent="0.25">
      <c r="A1035">
        <v>1034</v>
      </c>
      <c r="B1035" t="s">
        <v>52</v>
      </c>
      <c r="C1035">
        <v>2008</v>
      </c>
      <c r="D1035">
        <v>3.1</v>
      </c>
      <c r="E1035" t="s">
        <v>15</v>
      </c>
      <c r="F1035">
        <v>199521</v>
      </c>
      <c r="G1035" t="s">
        <v>30</v>
      </c>
      <c r="H1035">
        <v>72016.11</v>
      </c>
      <c r="I1035" t="s">
        <v>56</v>
      </c>
      <c r="J1035" t="s">
        <v>32</v>
      </c>
      <c r="K1035" t="s">
        <v>26</v>
      </c>
      <c r="L1035">
        <v>18</v>
      </c>
      <c r="M1035">
        <v>0.36</v>
      </c>
      <c r="N1035" t="s">
        <v>33</v>
      </c>
    </row>
    <row r="1036" spans="1:14" x14ac:dyDescent="0.25">
      <c r="A1036">
        <v>1035</v>
      </c>
      <c r="B1036" t="s">
        <v>29</v>
      </c>
      <c r="C1036">
        <v>2014</v>
      </c>
      <c r="D1036">
        <v>3.7</v>
      </c>
      <c r="E1036" t="s">
        <v>27</v>
      </c>
      <c r="F1036">
        <v>156837</v>
      </c>
      <c r="G1036" t="s">
        <v>30</v>
      </c>
      <c r="H1036">
        <v>80722.3</v>
      </c>
      <c r="I1036" t="s">
        <v>38</v>
      </c>
      <c r="J1036" t="s">
        <v>46</v>
      </c>
      <c r="K1036" t="s">
        <v>26</v>
      </c>
      <c r="L1036">
        <v>12</v>
      </c>
      <c r="M1036">
        <v>0.51</v>
      </c>
      <c r="N1036" t="s">
        <v>33</v>
      </c>
    </row>
    <row r="1037" spans="1:14" x14ac:dyDescent="0.25">
      <c r="A1037">
        <v>1036</v>
      </c>
      <c r="B1037" t="s">
        <v>29</v>
      </c>
      <c r="C1037">
        <v>2014</v>
      </c>
      <c r="D1037">
        <v>1.9</v>
      </c>
      <c r="E1037" t="s">
        <v>27</v>
      </c>
      <c r="F1037">
        <v>222787</v>
      </c>
      <c r="G1037" t="s">
        <v>16</v>
      </c>
      <c r="H1037">
        <v>69759.19</v>
      </c>
      <c r="I1037" t="s">
        <v>40</v>
      </c>
      <c r="J1037" t="s">
        <v>18</v>
      </c>
      <c r="K1037" t="s">
        <v>26</v>
      </c>
      <c r="L1037">
        <v>12</v>
      </c>
      <c r="M1037">
        <v>0.31</v>
      </c>
      <c r="N1037" t="s">
        <v>33</v>
      </c>
    </row>
    <row r="1038" spans="1:14" x14ac:dyDescent="0.25">
      <c r="A1038">
        <v>1037</v>
      </c>
      <c r="B1038" t="s">
        <v>29</v>
      </c>
      <c r="C1038">
        <v>2015</v>
      </c>
      <c r="D1038">
        <v>2.5</v>
      </c>
      <c r="E1038" t="s">
        <v>15</v>
      </c>
      <c r="F1038">
        <v>38057</v>
      </c>
      <c r="G1038" t="s">
        <v>30</v>
      </c>
      <c r="H1038">
        <v>24625.97</v>
      </c>
      <c r="I1038" t="s">
        <v>40</v>
      </c>
      <c r="J1038" t="s">
        <v>46</v>
      </c>
      <c r="K1038" t="s">
        <v>50</v>
      </c>
      <c r="L1038">
        <v>11</v>
      </c>
      <c r="M1038">
        <v>0.65</v>
      </c>
      <c r="N1038" t="s">
        <v>33</v>
      </c>
    </row>
    <row r="1039" spans="1:14" x14ac:dyDescent="0.25">
      <c r="A1039">
        <v>1038</v>
      </c>
      <c r="B1039" t="s">
        <v>24</v>
      </c>
      <c r="C1039">
        <v>2013</v>
      </c>
      <c r="D1039">
        <v>4.3</v>
      </c>
      <c r="E1039" t="s">
        <v>27</v>
      </c>
      <c r="F1039">
        <v>189060</v>
      </c>
      <c r="G1039" t="s">
        <v>30</v>
      </c>
      <c r="H1039">
        <v>15495.96</v>
      </c>
      <c r="I1039" t="s">
        <v>25</v>
      </c>
      <c r="J1039" t="s">
        <v>41</v>
      </c>
      <c r="K1039" t="s">
        <v>26</v>
      </c>
      <c r="L1039">
        <v>13</v>
      </c>
      <c r="M1039">
        <v>0.08</v>
      </c>
      <c r="N1039" t="s">
        <v>20</v>
      </c>
    </row>
    <row r="1040" spans="1:14" x14ac:dyDescent="0.25">
      <c r="A1040">
        <v>1039</v>
      </c>
      <c r="B1040" t="s">
        <v>36</v>
      </c>
      <c r="C1040">
        <v>2007</v>
      </c>
      <c r="D1040">
        <v>5.8</v>
      </c>
      <c r="E1040" t="s">
        <v>15</v>
      </c>
      <c r="F1040">
        <v>94655</v>
      </c>
      <c r="G1040" t="s">
        <v>30</v>
      </c>
      <c r="H1040">
        <v>83801.61</v>
      </c>
      <c r="I1040" t="s">
        <v>54</v>
      </c>
      <c r="J1040" t="s">
        <v>32</v>
      </c>
      <c r="K1040" t="s">
        <v>19</v>
      </c>
      <c r="L1040">
        <v>19</v>
      </c>
      <c r="M1040">
        <v>0.89</v>
      </c>
      <c r="N1040" t="s">
        <v>33</v>
      </c>
    </row>
    <row r="1041" spans="1:14" x14ac:dyDescent="0.25">
      <c r="A1041">
        <v>1040</v>
      </c>
      <c r="B1041" t="s">
        <v>24</v>
      </c>
      <c r="C1041">
        <v>2017</v>
      </c>
      <c r="D1041">
        <v>1.3</v>
      </c>
      <c r="E1041" t="s">
        <v>27</v>
      </c>
      <c r="F1041">
        <v>277169</v>
      </c>
      <c r="G1041" t="s">
        <v>16</v>
      </c>
      <c r="H1041">
        <v>71072.92</v>
      </c>
      <c r="I1041" t="s">
        <v>25</v>
      </c>
      <c r="J1041" t="s">
        <v>41</v>
      </c>
      <c r="K1041" t="s">
        <v>26</v>
      </c>
      <c r="L1041">
        <v>9</v>
      </c>
      <c r="M1041">
        <v>0.26</v>
      </c>
      <c r="N1041" t="s">
        <v>20</v>
      </c>
    </row>
    <row r="1042" spans="1:14" x14ac:dyDescent="0.25">
      <c r="A1042">
        <v>1041</v>
      </c>
      <c r="B1042" t="s">
        <v>36</v>
      </c>
      <c r="C1042">
        <v>2009</v>
      </c>
      <c r="D1042">
        <v>5.5</v>
      </c>
      <c r="E1042" t="s">
        <v>15</v>
      </c>
      <c r="F1042">
        <v>269289</v>
      </c>
      <c r="G1042" t="s">
        <v>30</v>
      </c>
      <c r="H1042">
        <v>59630.85</v>
      </c>
      <c r="I1042" t="s">
        <v>54</v>
      </c>
      <c r="J1042" t="s">
        <v>46</v>
      </c>
      <c r="K1042" t="s">
        <v>26</v>
      </c>
      <c r="L1042">
        <v>17</v>
      </c>
      <c r="M1042">
        <v>0.22</v>
      </c>
      <c r="N1042" t="s">
        <v>33</v>
      </c>
    </row>
    <row r="1043" spans="1:14" x14ac:dyDescent="0.25">
      <c r="A1043">
        <v>1042</v>
      </c>
      <c r="B1043" t="s">
        <v>29</v>
      </c>
      <c r="C1043">
        <v>2019</v>
      </c>
      <c r="D1043">
        <v>3.9</v>
      </c>
      <c r="E1043" t="s">
        <v>15</v>
      </c>
      <c r="F1043">
        <v>101206</v>
      </c>
      <c r="G1043" t="s">
        <v>22</v>
      </c>
      <c r="H1043">
        <v>22981.87</v>
      </c>
      <c r="I1043" t="s">
        <v>62</v>
      </c>
      <c r="J1043" t="s">
        <v>41</v>
      </c>
      <c r="K1043" t="s">
        <v>19</v>
      </c>
      <c r="L1043">
        <v>7</v>
      </c>
      <c r="M1043">
        <v>0.23</v>
      </c>
      <c r="N1043" t="s">
        <v>33</v>
      </c>
    </row>
    <row r="1044" spans="1:14" x14ac:dyDescent="0.25">
      <c r="A1044">
        <v>1043</v>
      </c>
      <c r="B1044" t="s">
        <v>29</v>
      </c>
      <c r="C1044">
        <v>2005</v>
      </c>
      <c r="D1044">
        <v>3.8</v>
      </c>
      <c r="E1044" t="s">
        <v>15</v>
      </c>
      <c r="F1044">
        <v>186869</v>
      </c>
      <c r="G1044" t="s">
        <v>16</v>
      </c>
      <c r="H1044">
        <v>62317.77</v>
      </c>
      <c r="I1044" t="s">
        <v>38</v>
      </c>
      <c r="J1044" t="s">
        <v>41</v>
      </c>
      <c r="K1044" t="s">
        <v>26</v>
      </c>
      <c r="L1044">
        <v>21</v>
      </c>
      <c r="M1044">
        <v>0.33</v>
      </c>
      <c r="N1044" t="s">
        <v>33</v>
      </c>
    </row>
    <row r="1045" spans="1:14" x14ac:dyDescent="0.25">
      <c r="A1045">
        <v>1044</v>
      </c>
      <c r="B1045" t="s">
        <v>24</v>
      </c>
      <c r="C1045">
        <v>2011</v>
      </c>
      <c r="D1045">
        <v>3.5</v>
      </c>
      <c r="E1045" t="s">
        <v>15</v>
      </c>
      <c r="F1045">
        <v>73230</v>
      </c>
      <c r="G1045" t="s">
        <v>22</v>
      </c>
      <c r="H1045">
        <v>7975.57</v>
      </c>
      <c r="I1045" t="s">
        <v>34</v>
      </c>
      <c r="J1045" t="s">
        <v>32</v>
      </c>
      <c r="K1045" t="s">
        <v>19</v>
      </c>
      <c r="L1045">
        <v>15</v>
      </c>
      <c r="M1045">
        <v>0.11</v>
      </c>
      <c r="N1045" t="s">
        <v>20</v>
      </c>
    </row>
    <row r="1046" spans="1:14" x14ac:dyDescent="0.25">
      <c r="A1046">
        <v>1045</v>
      </c>
      <c r="B1046" t="s">
        <v>24</v>
      </c>
      <c r="C1046">
        <v>2001</v>
      </c>
      <c r="D1046">
        <v>1.3</v>
      </c>
      <c r="E1046" t="s">
        <v>27</v>
      </c>
      <c r="F1046">
        <v>155002</v>
      </c>
      <c r="G1046" t="s">
        <v>22</v>
      </c>
      <c r="H1046">
        <v>16289.72</v>
      </c>
      <c r="I1046" t="s">
        <v>35</v>
      </c>
      <c r="J1046" t="s">
        <v>18</v>
      </c>
      <c r="K1046" t="s">
        <v>26</v>
      </c>
      <c r="L1046">
        <v>25</v>
      </c>
      <c r="M1046">
        <v>0.11</v>
      </c>
      <c r="N1046" t="s">
        <v>20</v>
      </c>
    </row>
    <row r="1047" spans="1:14" x14ac:dyDescent="0.25">
      <c r="A1047">
        <v>1046</v>
      </c>
      <c r="B1047" t="s">
        <v>36</v>
      </c>
      <c r="C1047">
        <v>2006</v>
      </c>
      <c r="D1047">
        <v>1.4</v>
      </c>
      <c r="E1047" t="s">
        <v>27</v>
      </c>
      <c r="F1047">
        <v>108138</v>
      </c>
      <c r="G1047" t="s">
        <v>16</v>
      </c>
      <c r="H1047">
        <v>34629.56</v>
      </c>
      <c r="I1047" t="s">
        <v>54</v>
      </c>
      <c r="J1047" t="s">
        <v>46</v>
      </c>
      <c r="K1047" t="s">
        <v>19</v>
      </c>
      <c r="L1047">
        <v>20</v>
      </c>
      <c r="M1047">
        <v>0.32</v>
      </c>
      <c r="N1047" t="s">
        <v>33</v>
      </c>
    </row>
    <row r="1048" spans="1:14" x14ac:dyDescent="0.25">
      <c r="A1048">
        <v>1047</v>
      </c>
      <c r="B1048" t="s">
        <v>21</v>
      </c>
      <c r="C1048">
        <v>2015</v>
      </c>
      <c r="D1048">
        <v>4</v>
      </c>
      <c r="E1048" t="s">
        <v>27</v>
      </c>
      <c r="F1048">
        <v>207097</v>
      </c>
      <c r="G1048" t="s">
        <v>22</v>
      </c>
      <c r="H1048">
        <v>47155.14</v>
      </c>
      <c r="I1048" t="s">
        <v>42</v>
      </c>
      <c r="J1048" t="s">
        <v>32</v>
      </c>
      <c r="K1048" t="s">
        <v>26</v>
      </c>
      <c r="L1048">
        <v>11</v>
      </c>
      <c r="M1048">
        <v>0.23</v>
      </c>
      <c r="N1048" t="s">
        <v>20</v>
      </c>
    </row>
    <row r="1049" spans="1:14" x14ac:dyDescent="0.25">
      <c r="A1049">
        <v>1048</v>
      </c>
      <c r="B1049" t="s">
        <v>36</v>
      </c>
      <c r="C1049">
        <v>2002</v>
      </c>
      <c r="D1049">
        <v>2.7</v>
      </c>
      <c r="E1049" t="s">
        <v>27</v>
      </c>
      <c r="F1049">
        <v>212376</v>
      </c>
      <c r="G1049" t="s">
        <v>16</v>
      </c>
      <c r="H1049">
        <v>16453.63</v>
      </c>
      <c r="I1049" t="s">
        <v>37</v>
      </c>
      <c r="J1049" t="s">
        <v>18</v>
      </c>
      <c r="K1049" t="s">
        <v>26</v>
      </c>
      <c r="L1049">
        <v>24</v>
      </c>
      <c r="M1049">
        <v>0.08</v>
      </c>
      <c r="N1049" t="s">
        <v>33</v>
      </c>
    </row>
    <row r="1050" spans="1:14" x14ac:dyDescent="0.25">
      <c r="A1050">
        <v>1049</v>
      </c>
      <c r="B1050" t="s">
        <v>24</v>
      </c>
      <c r="C1050">
        <v>2012</v>
      </c>
      <c r="D1050">
        <v>5.6</v>
      </c>
      <c r="E1050" t="s">
        <v>27</v>
      </c>
      <c r="F1050">
        <v>62040</v>
      </c>
      <c r="G1050" t="s">
        <v>22</v>
      </c>
      <c r="H1050">
        <v>16394.32</v>
      </c>
      <c r="I1050" t="s">
        <v>25</v>
      </c>
      <c r="J1050" t="s">
        <v>41</v>
      </c>
      <c r="K1050" t="s">
        <v>19</v>
      </c>
      <c r="L1050">
        <v>14</v>
      </c>
      <c r="M1050">
        <v>0.26</v>
      </c>
      <c r="N1050" t="s">
        <v>20</v>
      </c>
    </row>
    <row r="1051" spans="1:14" x14ac:dyDescent="0.25">
      <c r="A1051">
        <v>1050</v>
      </c>
      <c r="B1051" t="s">
        <v>43</v>
      </c>
      <c r="C1051">
        <v>2002</v>
      </c>
      <c r="D1051">
        <v>3</v>
      </c>
      <c r="E1051" t="s">
        <v>15</v>
      </c>
      <c r="F1051">
        <v>108668</v>
      </c>
      <c r="G1051" t="s">
        <v>16</v>
      </c>
      <c r="H1051">
        <v>73959.899999999994</v>
      </c>
      <c r="I1051" t="s">
        <v>49</v>
      </c>
      <c r="J1051" t="s">
        <v>18</v>
      </c>
      <c r="K1051" t="s">
        <v>19</v>
      </c>
      <c r="L1051">
        <v>24</v>
      </c>
      <c r="M1051">
        <v>0.68</v>
      </c>
      <c r="N1051" t="s">
        <v>20</v>
      </c>
    </row>
    <row r="1052" spans="1:14" x14ac:dyDescent="0.25">
      <c r="A1052">
        <v>1051</v>
      </c>
      <c r="B1052" t="s">
        <v>24</v>
      </c>
      <c r="C1052">
        <v>2017</v>
      </c>
      <c r="D1052">
        <v>1.7</v>
      </c>
      <c r="E1052" t="s">
        <v>15</v>
      </c>
      <c r="F1052">
        <v>198768</v>
      </c>
      <c r="G1052" t="s">
        <v>30</v>
      </c>
      <c r="H1052">
        <v>59123.34</v>
      </c>
      <c r="I1052" t="s">
        <v>25</v>
      </c>
      <c r="J1052" t="s">
        <v>41</v>
      </c>
      <c r="K1052" t="s">
        <v>26</v>
      </c>
      <c r="L1052">
        <v>9</v>
      </c>
      <c r="M1052">
        <v>0.3</v>
      </c>
      <c r="N1052" t="s">
        <v>20</v>
      </c>
    </row>
    <row r="1053" spans="1:14" x14ac:dyDescent="0.25">
      <c r="A1053">
        <v>1052</v>
      </c>
      <c r="B1053" t="s">
        <v>43</v>
      </c>
      <c r="C1053">
        <v>2010</v>
      </c>
      <c r="D1053">
        <v>4.5999999999999996</v>
      </c>
      <c r="E1053" t="s">
        <v>15</v>
      </c>
      <c r="F1053">
        <v>56815</v>
      </c>
      <c r="G1053" t="s">
        <v>30</v>
      </c>
      <c r="H1053">
        <v>55705.49</v>
      </c>
      <c r="I1053" t="s">
        <v>49</v>
      </c>
      <c r="J1053" t="s">
        <v>41</v>
      </c>
      <c r="K1053" t="s">
        <v>19</v>
      </c>
      <c r="L1053">
        <v>16</v>
      </c>
      <c r="M1053">
        <v>0.98</v>
      </c>
      <c r="N1053" t="s">
        <v>20</v>
      </c>
    </row>
    <row r="1054" spans="1:14" x14ac:dyDescent="0.25">
      <c r="A1054">
        <v>1053</v>
      </c>
      <c r="B1054" t="s">
        <v>52</v>
      </c>
      <c r="C1054">
        <v>2007</v>
      </c>
      <c r="D1054">
        <v>2.5</v>
      </c>
      <c r="E1054" t="s">
        <v>15</v>
      </c>
      <c r="F1054">
        <v>216741</v>
      </c>
      <c r="G1054" t="s">
        <v>22</v>
      </c>
      <c r="H1054">
        <v>47981.279999999999</v>
      </c>
      <c r="I1054" t="s">
        <v>56</v>
      </c>
      <c r="J1054" t="s">
        <v>32</v>
      </c>
      <c r="K1054" t="s">
        <v>26</v>
      </c>
      <c r="L1054">
        <v>19</v>
      </c>
      <c r="M1054">
        <v>0.22</v>
      </c>
      <c r="N1054" t="s">
        <v>33</v>
      </c>
    </row>
    <row r="1055" spans="1:14" x14ac:dyDescent="0.25">
      <c r="A1055">
        <v>1054</v>
      </c>
      <c r="B1055" t="s">
        <v>24</v>
      </c>
      <c r="C1055">
        <v>2005</v>
      </c>
      <c r="D1055">
        <v>3.6</v>
      </c>
      <c r="E1055" t="s">
        <v>15</v>
      </c>
      <c r="F1055">
        <v>112789</v>
      </c>
      <c r="G1055" t="s">
        <v>30</v>
      </c>
      <c r="H1055">
        <v>97771.6</v>
      </c>
      <c r="I1055" t="s">
        <v>45</v>
      </c>
      <c r="J1055" t="s">
        <v>41</v>
      </c>
      <c r="K1055" t="s">
        <v>19</v>
      </c>
      <c r="L1055">
        <v>21</v>
      </c>
      <c r="M1055">
        <v>0.87</v>
      </c>
      <c r="N1055" t="s">
        <v>20</v>
      </c>
    </row>
    <row r="1056" spans="1:14" x14ac:dyDescent="0.25">
      <c r="A1056">
        <v>1055</v>
      </c>
      <c r="B1056" t="s">
        <v>52</v>
      </c>
      <c r="C1056">
        <v>2000</v>
      </c>
      <c r="D1056">
        <v>4.5</v>
      </c>
      <c r="E1056" t="s">
        <v>27</v>
      </c>
      <c r="F1056">
        <v>219478</v>
      </c>
      <c r="G1056" t="s">
        <v>16</v>
      </c>
      <c r="H1056">
        <v>9731.0300000000007</v>
      </c>
      <c r="I1056" t="s">
        <v>59</v>
      </c>
      <c r="J1056" t="s">
        <v>32</v>
      </c>
      <c r="K1056" t="s">
        <v>26</v>
      </c>
      <c r="L1056">
        <v>26</v>
      </c>
      <c r="M1056">
        <v>0.04</v>
      </c>
      <c r="N1056" t="s">
        <v>33</v>
      </c>
    </row>
    <row r="1057" spans="1:14" x14ac:dyDescent="0.25">
      <c r="A1057">
        <v>1056</v>
      </c>
      <c r="B1057" t="s">
        <v>21</v>
      </c>
      <c r="C1057">
        <v>2000</v>
      </c>
      <c r="D1057">
        <v>5.5</v>
      </c>
      <c r="E1057" t="s">
        <v>15</v>
      </c>
      <c r="F1057">
        <v>167644</v>
      </c>
      <c r="G1057" t="s">
        <v>22</v>
      </c>
      <c r="H1057">
        <v>22159.58</v>
      </c>
      <c r="I1057" t="s">
        <v>47</v>
      </c>
      <c r="J1057" t="s">
        <v>18</v>
      </c>
      <c r="K1057" t="s">
        <v>26</v>
      </c>
      <c r="L1057">
        <v>26</v>
      </c>
      <c r="M1057">
        <v>0.13</v>
      </c>
      <c r="N1057" t="s">
        <v>20</v>
      </c>
    </row>
    <row r="1058" spans="1:14" x14ac:dyDescent="0.25">
      <c r="A1058">
        <v>1057</v>
      </c>
      <c r="B1058" t="s">
        <v>36</v>
      </c>
      <c r="C1058">
        <v>2022</v>
      </c>
      <c r="D1058">
        <v>5</v>
      </c>
      <c r="E1058" t="s">
        <v>15</v>
      </c>
      <c r="F1058">
        <v>185102</v>
      </c>
      <c r="G1058" t="s">
        <v>30</v>
      </c>
      <c r="H1058">
        <v>66513.240000000005</v>
      </c>
      <c r="I1058" t="s">
        <v>54</v>
      </c>
      <c r="J1058" t="s">
        <v>18</v>
      </c>
      <c r="K1058" t="s">
        <v>26</v>
      </c>
      <c r="L1058">
        <v>4</v>
      </c>
      <c r="M1058">
        <v>0.36</v>
      </c>
      <c r="N1058" t="s">
        <v>33</v>
      </c>
    </row>
    <row r="1059" spans="1:14" x14ac:dyDescent="0.25">
      <c r="A1059">
        <v>1058</v>
      </c>
      <c r="B1059" t="s">
        <v>43</v>
      </c>
      <c r="C1059">
        <v>2007</v>
      </c>
      <c r="D1059">
        <v>4.4000000000000004</v>
      </c>
      <c r="E1059" t="s">
        <v>27</v>
      </c>
      <c r="F1059">
        <v>244533</v>
      </c>
      <c r="G1059" t="s">
        <v>30</v>
      </c>
      <c r="H1059">
        <v>17954.740000000002</v>
      </c>
      <c r="I1059" t="s">
        <v>49</v>
      </c>
      <c r="J1059" t="s">
        <v>41</v>
      </c>
      <c r="K1059" t="s">
        <v>26</v>
      </c>
      <c r="L1059">
        <v>19</v>
      </c>
      <c r="M1059">
        <v>7.0000000000000007E-2</v>
      </c>
      <c r="N1059" t="s">
        <v>20</v>
      </c>
    </row>
    <row r="1060" spans="1:14" x14ac:dyDescent="0.25">
      <c r="A1060">
        <v>1059</v>
      </c>
      <c r="B1060" t="s">
        <v>36</v>
      </c>
      <c r="C1060">
        <v>2004</v>
      </c>
      <c r="D1060">
        <v>4.4000000000000004</v>
      </c>
      <c r="E1060" t="s">
        <v>27</v>
      </c>
      <c r="F1060">
        <v>237469</v>
      </c>
      <c r="G1060" t="s">
        <v>22</v>
      </c>
      <c r="H1060">
        <v>60991.19</v>
      </c>
      <c r="I1060" t="s">
        <v>57</v>
      </c>
      <c r="J1060" t="s">
        <v>32</v>
      </c>
      <c r="K1060" t="s">
        <v>26</v>
      </c>
      <c r="L1060">
        <v>22</v>
      </c>
      <c r="M1060">
        <v>0.26</v>
      </c>
      <c r="N1060" t="s">
        <v>33</v>
      </c>
    </row>
    <row r="1061" spans="1:14" x14ac:dyDescent="0.25">
      <c r="A1061">
        <v>1060</v>
      </c>
      <c r="B1061" t="s">
        <v>52</v>
      </c>
      <c r="C1061">
        <v>2015</v>
      </c>
      <c r="D1061">
        <v>5.7</v>
      </c>
      <c r="E1061" t="s">
        <v>15</v>
      </c>
      <c r="F1061">
        <v>233308</v>
      </c>
      <c r="G1061" t="s">
        <v>30</v>
      </c>
      <c r="H1061">
        <v>58937.32</v>
      </c>
      <c r="I1061" t="s">
        <v>53</v>
      </c>
      <c r="J1061" t="s">
        <v>41</v>
      </c>
      <c r="K1061" t="s">
        <v>26</v>
      </c>
      <c r="L1061">
        <v>11</v>
      </c>
      <c r="M1061">
        <v>0.25</v>
      </c>
      <c r="N1061" t="s">
        <v>33</v>
      </c>
    </row>
    <row r="1062" spans="1:14" x14ac:dyDescent="0.25">
      <c r="A1062">
        <v>1061</v>
      </c>
      <c r="B1062" t="s">
        <v>43</v>
      </c>
      <c r="C1062">
        <v>2010</v>
      </c>
      <c r="D1062">
        <v>2.5</v>
      </c>
      <c r="E1062" t="s">
        <v>15</v>
      </c>
      <c r="F1062">
        <v>160275</v>
      </c>
      <c r="G1062" t="s">
        <v>30</v>
      </c>
      <c r="H1062">
        <v>97245.49</v>
      </c>
      <c r="I1062" t="s">
        <v>48</v>
      </c>
      <c r="J1062" t="s">
        <v>32</v>
      </c>
      <c r="K1062" t="s">
        <v>26</v>
      </c>
      <c r="L1062">
        <v>16</v>
      </c>
      <c r="M1062">
        <v>0.61</v>
      </c>
      <c r="N1062" t="s">
        <v>20</v>
      </c>
    </row>
    <row r="1063" spans="1:14" x14ac:dyDescent="0.25">
      <c r="A1063">
        <v>1062</v>
      </c>
      <c r="B1063" t="s">
        <v>36</v>
      </c>
      <c r="C1063">
        <v>2004</v>
      </c>
      <c r="D1063">
        <v>1</v>
      </c>
      <c r="E1063" t="s">
        <v>27</v>
      </c>
      <c r="F1063">
        <v>77088</v>
      </c>
      <c r="G1063" t="s">
        <v>22</v>
      </c>
      <c r="H1063">
        <v>88921.72</v>
      </c>
      <c r="I1063" t="s">
        <v>51</v>
      </c>
      <c r="J1063" t="s">
        <v>32</v>
      </c>
      <c r="K1063" t="s">
        <v>19</v>
      </c>
      <c r="L1063">
        <v>22</v>
      </c>
      <c r="M1063">
        <v>1.1499999999999999</v>
      </c>
      <c r="N1063" t="s">
        <v>33</v>
      </c>
    </row>
    <row r="1064" spans="1:14" x14ac:dyDescent="0.25">
      <c r="A1064">
        <v>1063</v>
      </c>
      <c r="B1064" t="s">
        <v>24</v>
      </c>
      <c r="C1064">
        <v>2003</v>
      </c>
      <c r="D1064">
        <v>2.4</v>
      </c>
      <c r="E1064" t="s">
        <v>15</v>
      </c>
      <c r="F1064">
        <v>5608</v>
      </c>
      <c r="G1064" t="s">
        <v>30</v>
      </c>
      <c r="H1064">
        <v>94827.57</v>
      </c>
      <c r="I1064" t="s">
        <v>34</v>
      </c>
      <c r="J1064" t="s">
        <v>32</v>
      </c>
      <c r="K1064" t="s">
        <v>50</v>
      </c>
      <c r="L1064">
        <v>23</v>
      </c>
      <c r="M1064">
        <v>16.91</v>
      </c>
      <c r="N1064" t="s">
        <v>20</v>
      </c>
    </row>
    <row r="1065" spans="1:14" x14ac:dyDescent="0.25">
      <c r="A1065">
        <v>1064</v>
      </c>
      <c r="B1065" t="s">
        <v>29</v>
      </c>
      <c r="C1065">
        <v>2005</v>
      </c>
      <c r="D1065">
        <v>2.1</v>
      </c>
      <c r="E1065" t="s">
        <v>15</v>
      </c>
      <c r="F1065">
        <v>45667</v>
      </c>
      <c r="G1065" t="s">
        <v>30</v>
      </c>
      <c r="H1065">
        <v>15792.23</v>
      </c>
      <c r="I1065" t="s">
        <v>38</v>
      </c>
      <c r="J1065" t="s">
        <v>18</v>
      </c>
      <c r="K1065" t="s">
        <v>50</v>
      </c>
      <c r="L1065">
        <v>21</v>
      </c>
      <c r="M1065">
        <v>0.35</v>
      </c>
      <c r="N1065" t="s">
        <v>33</v>
      </c>
    </row>
    <row r="1066" spans="1:14" x14ac:dyDescent="0.25">
      <c r="A1066">
        <v>1065</v>
      </c>
      <c r="B1066" t="s">
        <v>52</v>
      </c>
      <c r="C1066">
        <v>2013</v>
      </c>
      <c r="D1066">
        <v>4.3</v>
      </c>
      <c r="E1066" t="s">
        <v>15</v>
      </c>
      <c r="F1066">
        <v>55547</v>
      </c>
      <c r="G1066" t="s">
        <v>30</v>
      </c>
      <c r="H1066">
        <v>87474.1</v>
      </c>
      <c r="I1066" t="s">
        <v>61</v>
      </c>
      <c r="J1066" t="s">
        <v>32</v>
      </c>
      <c r="K1066" t="s">
        <v>19</v>
      </c>
      <c r="L1066">
        <v>13</v>
      </c>
      <c r="M1066">
        <v>1.57</v>
      </c>
      <c r="N1066" t="s">
        <v>33</v>
      </c>
    </row>
    <row r="1067" spans="1:14" x14ac:dyDescent="0.25">
      <c r="A1067">
        <v>1066</v>
      </c>
      <c r="B1067" t="s">
        <v>36</v>
      </c>
      <c r="C1067">
        <v>2021</v>
      </c>
      <c r="D1067">
        <v>4.2</v>
      </c>
      <c r="E1067" t="s">
        <v>27</v>
      </c>
      <c r="F1067">
        <v>234907</v>
      </c>
      <c r="G1067" t="s">
        <v>30</v>
      </c>
      <c r="H1067">
        <v>17263.61</v>
      </c>
      <c r="I1067" t="s">
        <v>51</v>
      </c>
      <c r="J1067" t="s">
        <v>18</v>
      </c>
      <c r="K1067" t="s">
        <v>26</v>
      </c>
      <c r="L1067">
        <v>5</v>
      </c>
      <c r="M1067">
        <v>7.0000000000000007E-2</v>
      </c>
      <c r="N1067" t="s">
        <v>33</v>
      </c>
    </row>
    <row r="1068" spans="1:14" x14ac:dyDescent="0.25">
      <c r="A1068">
        <v>1067</v>
      </c>
      <c r="B1068" t="s">
        <v>52</v>
      </c>
      <c r="C1068">
        <v>2018</v>
      </c>
      <c r="D1068">
        <v>4</v>
      </c>
      <c r="E1068" t="s">
        <v>15</v>
      </c>
      <c r="F1068">
        <v>57560</v>
      </c>
      <c r="G1068" t="s">
        <v>22</v>
      </c>
      <c r="H1068">
        <v>65128.56</v>
      </c>
      <c r="I1068" t="s">
        <v>59</v>
      </c>
      <c r="J1068" t="s">
        <v>32</v>
      </c>
      <c r="K1068" t="s">
        <v>19</v>
      </c>
      <c r="L1068">
        <v>8</v>
      </c>
      <c r="M1068">
        <v>1.1299999999999999</v>
      </c>
      <c r="N1068" t="s">
        <v>33</v>
      </c>
    </row>
    <row r="1069" spans="1:14" x14ac:dyDescent="0.25">
      <c r="A1069">
        <v>1068</v>
      </c>
      <c r="B1069" t="s">
        <v>14</v>
      </c>
      <c r="C1069">
        <v>2008</v>
      </c>
      <c r="D1069">
        <v>1.1000000000000001</v>
      </c>
      <c r="E1069" t="s">
        <v>15</v>
      </c>
      <c r="F1069">
        <v>214601</v>
      </c>
      <c r="G1069" t="s">
        <v>16</v>
      </c>
      <c r="H1069">
        <v>73407.429999999993</v>
      </c>
      <c r="I1069" t="s">
        <v>17</v>
      </c>
      <c r="J1069" t="s">
        <v>18</v>
      </c>
      <c r="K1069" t="s">
        <v>26</v>
      </c>
      <c r="L1069">
        <v>18</v>
      </c>
      <c r="M1069">
        <v>0.34</v>
      </c>
      <c r="N1069" t="s">
        <v>20</v>
      </c>
    </row>
    <row r="1070" spans="1:14" x14ac:dyDescent="0.25">
      <c r="A1070">
        <v>1069</v>
      </c>
      <c r="B1070" t="s">
        <v>52</v>
      </c>
      <c r="C1070">
        <v>2011</v>
      </c>
      <c r="D1070">
        <v>4.5999999999999996</v>
      </c>
      <c r="E1070" t="s">
        <v>27</v>
      </c>
      <c r="F1070">
        <v>159487</v>
      </c>
      <c r="G1070" t="s">
        <v>16</v>
      </c>
      <c r="H1070">
        <v>20281.080000000002</v>
      </c>
      <c r="I1070" t="s">
        <v>61</v>
      </c>
      <c r="J1070" t="s">
        <v>46</v>
      </c>
      <c r="K1070" t="s">
        <v>26</v>
      </c>
      <c r="L1070">
        <v>15</v>
      </c>
      <c r="M1070">
        <v>0.13</v>
      </c>
      <c r="N1070" t="s">
        <v>33</v>
      </c>
    </row>
    <row r="1071" spans="1:14" x14ac:dyDescent="0.25">
      <c r="A1071">
        <v>1070</v>
      </c>
      <c r="B1071" t="s">
        <v>43</v>
      </c>
      <c r="C1071">
        <v>2010</v>
      </c>
      <c r="D1071">
        <v>2.6</v>
      </c>
      <c r="E1071" t="s">
        <v>27</v>
      </c>
      <c r="F1071">
        <v>184286</v>
      </c>
      <c r="G1071" t="s">
        <v>30</v>
      </c>
      <c r="H1071">
        <v>65102.64</v>
      </c>
      <c r="I1071" t="s">
        <v>48</v>
      </c>
      <c r="J1071" t="s">
        <v>18</v>
      </c>
      <c r="K1071" t="s">
        <v>26</v>
      </c>
      <c r="L1071">
        <v>16</v>
      </c>
      <c r="M1071">
        <v>0.35</v>
      </c>
      <c r="N1071" t="s">
        <v>20</v>
      </c>
    </row>
    <row r="1072" spans="1:14" x14ac:dyDescent="0.25">
      <c r="A1072">
        <v>1071</v>
      </c>
      <c r="B1072" t="s">
        <v>14</v>
      </c>
      <c r="C1072">
        <v>2013</v>
      </c>
      <c r="D1072">
        <v>4.3</v>
      </c>
      <c r="E1072" t="s">
        <v>27</v>
      </c>
      <c r="F1072">
        <v>280141</v>
      </c>
      <c r="G1072" t="s">
        <v>30</v>
      </c>
      <c r="H1072">
        <v>9983.75</v>
      </c>
      <c r="I1072" t="s">
        <v>28</v>
      </c>
      <c r="J1072" t="s">
        <v>18</v>
      </c>
      <c r="K1072" t="s">
        <v>26</v>
      </c>
      <c r="L1072">
        <v>13</v>
      </c>
      <c r="M1072">
        <v>0.04</v>
      </c>
      <c r="N1072" t="s">
        <v>20</v>
      </c>
    </row>
    <row r="1073" spans="1:14" x14ac:dyDescent="0.25">
      <c r="A1073">
        <v>1072</v>
      </c>
      <c r="B1073" t="s">
        <v>43</v>
      </c>
      <c r="C1073">
        <v>2022</v>
      </c>
      <c r="D1073">
        <v>3.8</v>
      </c>
      <c r="E1073" t="s">
        <v>15</v>
      </c>
      <c r="F1073">
        <v>121266</v>
      </c>
      <c r="G1073" t="s">
        <v>16</v>
      </c>
      <c r="H1073">
        <v>32860.28</v>
      </c>
      <c r="I1073" t="s">
        <v>55</v>
      </c>
      <c r="J1073" t="s">
        <v>41</v>
      </c>
      <c r="K1073" t="s">
        <v>19</v>
      </c>
      <c r="L1073">
        <v>4</v>
      </c>
      <c r="M1073">
        <v>0.27</v>
      </c>
      <c r="N1073" t="s">
        <v>20</v>
      </c>
    </row>
    <row r="1074" spans="1:14" x14ac:dyDescent="0.25">
      <c r="A1074">
        <v>1073</v>
      </c>
      <c r="B1074" t="s">
        <v>29</v>
      </c>
      <c r="C1074">
        <v>2015</v>
      </c>
      <c r="D1074">
        <v>2.7</v>
      </c>
      <c r="E1074" t="s">
        <v>27</v>
      </c>
      <c r="F1074">
        <v>3679</v>
      </c>
      <c r="G1074" t="s">
        <v>30</v>
      </c>
      <c r="H1074">
        <v>92510.06</v>
      </c>
      <c r="I1074" t="s">
        <v>38</v>
      </c>
      <c r="J1074" t="s">
        <v>32</v>
      </c>
      <c r="K1074" t="s">
        <v>50</v>
      </c>
      <c r="L1074">
        <v>11</v>
      </c>
      <c r="M1074">
        <v>25.15</v>
      </c>
      <c r="N1074" t="s">
        <v>33</v>
      </c>
    </row>
    <row r="1075" spans="1:14" x14ac:dyDescent="0.25">
      <c r="A1075">
        <v>1074</v>
      </c>
      <c r="B1075" t="s">
        <v>14</v>
      </c>
      <c r="C1075">
        <v>2000</v>
      </c>
      <c r="D1075">
        <v>1.7</v>
      </c>
      <c r="E1075" t="s">
        <v>15</v>
      </c>
      <c r="F1075">
        <v>40308</v>
      </c>
      <c r="G1075" t="s">
        <v>16</v>
      </c>
      <c r="H1075">
        <v>21314.46</v>
      </c>
      <c r="I1075" t="s">
        <v>58</v>
      </c>
      <c r="J1075" t="s">
        <v>18</v>
      </c>
      <c r="K1075" t="s">
        <v>50</v>
      </c>
      <c r="L1075">
        <v>26</v>
      </c>
      <c r="M1075">
        <v>0.53</v>
      </c>
      <c r="N1075" t="s">
        <v>20</v>
      </c>
    </row>
    <row r="1076" spans="1:14" x14ac:dyDescent="0.25">
      <c r="A1076">
        <v>1075</v>
      </c>
      <c r="B1076" t="s">
        <v>24</v>
      </c>
      <c r="C1076">
        <v>2012</v>
      </c>
      <c r="D1076">
        <v>1.5</v>
      </c>
      <c r="E1076" t="s">
        <v>27</v>
      </c>
      <c r="F1076">
        <v>206096</v>
      </c>
      <c r="G1076" t="s">
        <v>22</v>
      </c>
      <c r="H1076">
        <v>11200.65</v>
      </c>
      <c r="I1076" t="s">
        <v>34</v>
      </c>
      <c r="J1076" t="s">
        <v>41</v>
      </c>
      <c r="K1076" t="s">
        <v>26</v>
      </c>
      <c r="L1076">
        <v>14</v>
      </c>
      <c r="M1076">
        <v>0.05</v>
      </c>
      <c r="N1076" t="s">
        <v>20</v>
      </c>
    </row>
    <row r="1077" spans="1:14" x14ac:dyDescent="0.25">
      <c r="A1077">
        <v>1076</v>
      </c>
      <c r="B1077" t="s">
        <v>52</v>
      </c>
      <c r="C1077">
        <v>2022</v>
      </c>
      <c r="D1077">
        <v>5.2</v>
      </c>
      <c r="E1077" t="s">
        <v>15</v>
      </c>
      <c r="F1077">
        <v>170914</v>
      </c>
      <c r="G1077" t="s">
        <v>22</v>
      </c>
      <c r="H1077">
        <v>47149.43</v>
      </c>
      <c r="I1077" t="s">
        <v>61</v>
      </c>
      <c r="J1077" t="s">
        <v>32</v>
      </c>
      <c r="K1077" t="s">
        <v>26</v>
      </c>
      <c r="L1077">
        <v>4</v>
      </c>
      <c r="M1077">
        <v>0.28000000000000003</v>
      </c>
      <c r="N1077" t="s">
        <v>33</v>
      </c>
    </row>
    <row r="1078" spans="1:14" x14ac:dyDescent="0.25">
      <c r="A1078">
        <v>1077</v>
      </c>
      <c r="B1078" t="s">
        <v>36</v>
      </c>
      <c r="C1078">
        <v>2020</v>
      </c>
      <c r="D1078">
        <v>5.6</v>
      </c>
      <c r="E1078" t="s">
        <v>27</v>
      </c>
      <c r="F1078">
        <v>5695</v>
      </c>
      <c r="G1078" t="s">
        <v>22</v>
      </c>
      <c r="H1078">
        <v>85808.73</v>
      </c>
      <c r="I1078" t="s">
        <v>37</v>
      </c>
      <c r="J1078" t="s">
        <v>46</v>
      </c>
      <c r="K1078" t="s">
        <v>50</v>
      </c>
      <c r="L1078">
        <v>6</v>
      </c>
      <c r="M1078">
        <v>15.07</v>
      </c>
      <c r="N1078" t="s">
        <v>33</v>
      </c>
    </row>
    <row r="1079" spans="1:14" x14ac:dyDescent="0.25">
      <c r="A1079">
        <v>1078</v>
      </c>
      <c r="B1079" t="s">
        <v>21</v>
      </c>
      <c r="C1079">
        <v>2020</v>
      </c>
      <c r="D1079">
        <v>4.2</v>
      </c>
      <c r="E1079" t="s">
        <v>15</v>
      </c>
      <c r="F1079">
        <v>226812</v>
      </c>
      <c r="G1079" t="s">
        <v>22</v>
      </c>
      <c r="H1079">
        <v>12283.88</v>
      </c>
      <c r="I1079" t="s">
        <v>42</v>
      </c>
      <c r="J1079" t="s">
        <v>46</v>
      </c>
      <c r="K1079" t="s">
        <v>26</v>
      </c>
      <c r="L1079">
        <v>6</v>
      </c>
      <c r="M1079">
        <v>0.05</v>
      </c>
      <c r="N1079" t="s">
        <v>20</v>
      </c>
    </row>
    <row r="1080" spans="1:14" x14ac:dyDescent="0.25">
      <c r="A1080">
        <v>1079</v>
      </c>
      <c r="B1080" t="s">
        <v>52</v>
      </c>
      <c r="C1080">
        <v>2012</v>
      </c>
      <c r="D1080">
        <v>1.5</v>
      </c>
      <c r="E1080" t="s">
        <v>15</v>
      </c>
      <c r="F1080">
        <v>58499</v>
      </c>
      <c r="G1080" t="s">
        <v>22</v>
      </c>
      <c r="H1080">
        <v>38775.86</v>
      </c>
      <c r="I1080" t="s">
        <v>53</v>
      </c>
      <c r="J1080" t="s">
        <v>46</v>
      </c>
      <c r="K1080" t="s">
        <v>19</v>
      </c>
      <c r="L1080">
        <v>14</v>
      </c>
      <c r="M1080">
        <v>0.66</v>
      </c>
      <c r="N1080" t="s">
        <v>33</v>
      </c>
    </row>
    <row r="1081" spans="1:14" x14ac:dyDescent="0.25">
      <c r="A1081">
        <v>1080</v>
      </c>
      <c r="B1081" t="s">
        <v>52</v>
      </c>
      <c r="C1081">
        <v>2001</v>
      </c>
      <c r="D1081">
        <v>3</v>
      </c>
      <c r="E1081" t="s">
        <v>27</v>
      </c>
      <c r="F1081">
        <v>23382</v>
      </c>
      <c r="G1081" t="s">
        <v>22</v>
      </c>
      <c r="H1081">
        <v>90478.61</v>
      </c>
      <c r="I1081" t="s">
        <v>56</v>
      </c>
      <c r="J1081" t="s">
        <v>32</v>
      </c>
      <c r="K1081" t="s">
        <v>50</v>
      </c>
      <c r="L1081">
        <v>25</v>
      </c>
      <c r="M1081">
        <v>3.87</v>
      </c>
      <c r="N1081" t="s">
        <v>33</v>
      </c>
    </row>
    <row r="1082" spans="1:14" x14ac:dyDescent="0.25">
      <c r="A1082">
        <v>1081</v>
      </c>
      <c r="B1082" t="s">
        <v>29</v>
      </c>
      <c r="C1082">
        <v>2003</v>
      </c>
      <c r="D1082">
        <v>4.5999999999999996</v>
      </c>
      <c r="E1082" t="s">
        <v>27</v>
      </c>
      <c r="F1082">
        <v>276379</v>
      </c>
      <c r="G1082" t="s">
        <v>16</v>
      </c>
      <c r="H1082">
        <v>16224.78</v>
      </c>
      <c r="I1082" t="s">
        <v>40</v>
      </c>
      <c r="J1082" t="s">
        <v>46</v>
      </c>
      <c r="K1082" t="s">
        <v>26</v>
      </c>
      <c r="L1082">
        <v>23</v>
      </c>
      <c r="M1082">
        <v>0.06</v>
      </c>
      <c r="N1082" t="s">
        <v>33</v>
      </c>
    </row>
    <row r="1083" spans="1:14" x14ac:dyDescent="0.25">
      <c r="A1083">
        <v>1082</v>
      </c>
      <c r="B1083" t="s">
        <v>24</v>
      </c>
      <c r="C1083">
        <v>2005</v>
      </c>
      <c r="D1083">
        <v>4.9000000000000004</v>
      </c>
      <c r="E1083" t="s">
        <v>15</v>
      </c>
      <c r="F1083">
        <v>193295</v>
      </c>
      <c r="G1083" t="s">
        <v>30</v>
      </c>
      <c r="H1083">
        <v>34513.51</v>
      </c>
      <c r="I1083" t="s">
        <v>25</v>
      </c>
      <c r="J1083" t="s">
        <v>46</v>
      </c>
      <c r="K1083" t="s">
        <v>26</v>
      </c>
      <c r="L1083">
        <v>21</v>
      </c>
      <c r="M1083">
        <v>0.18</v>
      </c>
      <c r="N1083" t="s">
        <v>20</v>
      </c>
    </row>
    <row r="1084" spans="1:14" x14ac:dyDescent="0.25">
      <c r="A1084">
        <v>1083</v>
      </c>
      <c r="B1084" t="s">
        <v>21</v>
      </c>
      <c r="C1084">
        <v>2022</v>
      </c>
      <c r="D1084">
        <v>1.6</v>
      </c>
      <c r="E1084" t="s">
        <v>27</v>
      </c>
      <c r="F1084">
        <v>133438</v>
      </c>
      <c r="G1084" t="s">
        <v>16</v>
      </c>
      <c r="H1084">
        <v>78949.960000000006</v>
      </c>
      <c r="I1084" t="s">
        <v>60</v>
      </c>
      <c r="J1084" t="s">
        <v>41</v>
      </c>
      <c r="K1084" t="s">
        <v>19</v>
      </c>
      <c r="L1084">
        <v>4</v>
      </c>
      <c r="M1084">
        <v>0.59</v>
      </c>
      <c r="N1084" t="s">
        <v>20</v>
      </c>
    </row>
    <row r="1085" spans="1:14" x14ac:dyDescent="0.25">
      <c r="A1085">
        <v>1084</v>
      </c>
      <c r="B1085" t="s">
        <v>14</v>
      </c>
      <c r="C1085">
        <v>2004</v>
      </c>
      <c r="D1085">
        <v>1</v>
      </c>
      <c r="E1085" t="s">
        <v>15</v>
      </c>
      <c r="F1085">
        <v>158539</v>
      </c>
      <c r="G1085" t="s">
        <v>22</v>
      </c>
      <c r="H1085">
        <v>56605.04</v>
      </c>
      <c r="I1085" t="s">
        <v>39</v>
      </c>
      <c r="J1085" t="s">
        <v>18</v>
      </c>
      <c r="K1085" t="s">
        <v>26</v>
      </c>
      <c r="L1085">
        <v>22</v>
      </c>
      <c r="M1085">
        <v>0.36</v>
      </c>
      <c r="N1085" t="s">
        <v>20</v>
      </c>
    </row>
    <row r="1086" spans="1:14" x14ac:dyDescent="0.25">
      <c r="A1086">
        <v>1085</v>
      </c>
      <c r="B1086" t="s">
        <v>14</v>
      </c>
      <c r="C1086">
        <v>2002</v>
      </c>
      <c r="D1086">
        <v>4.5999999999999996</v>
      </c>
      <c r="E1086" t="s">
        <v>27</v>
      </c>
      <c r="F1086">
        <v>6764</v>
      </c>
      <c r="G1086" t="s">
        <v>30</v>
      </c>
      <c r="H1086">
        <v>84071.65</v>
      </c>
      <c r="I1086" t="s">
        <v>28</v>
      </c>
      <c r="J1086" t="s">
        <v>18</v>
      </c>
      <c r="K1086" t="s">
        <v>50</v>
      </c>
      <c r="L1086">
        <v>24</v>
      </c>
      <c r="M1086">
        <v>12.43</v>
      </c>
      <c r="N1086" t="s">
        <v>20</v>
      </c>
    </row>
    <row r="1087" spans="1:14" x14ac:dyDescent="0.25">
      <c r="A1087">
        <v>1086</v>
      </c>
      <c r="B1087" t="s">
        <v>14</v>
      </c>
      <c r="C1087">
        <v>2000</v>
      </c>
      <c r="D1087">
        <v>2.8</v>
      </c>
      <c r="E1087" t="s">
        <v>27</v>
      </c>
      <c r="F1087">
        <v>221968</v>
      </c>
      <c r="G1087" t="s">
        <v>30</v>
      </c>
      <c r="H1087">
        <v>15601.56</v>
      </c>
      <c r="I1087" t="s">
        <v>28</v>
      </c>
      <c r="J1087" t="s">
        <v>18</v>
      </c>
      <c r="K1087" t="s">
        <v>26</v>
      </c>
      <c r="L1087">
        <v>26</v>
      </c>
      <c r="M1087">
        <v>7.0000000000000007E-2</v>
      </c>
      <c r="N1087" t="s">
        <v>20</v>
      </c>
    </row>
    <row r="1088" spans="1:14" x14ac:dyDescent="0.25">
      <c r="A1088">
        <v>1087</v>
      </c>
      <c r="B1088" t="s">
        <v>43</v>
      </c>
      <c r="C1088">
        <v>2003</v>
      </c>
      <c r="D1088">
        <v>2.2999999999999998</v>
      </c>
      <c r="E1088" t="s">
        <v>15</v>
      </c>
      <c r="F1088">
        <v>113831</v>
      </c>
      <c r="G1088" t="s">
        <v>22</v>
      </c>
      <c r="H1088">
        <v>92452.65</v>
      </c>
      <c r="I1088" t="s">
        <v>49</v>
      </c>
      <c r="J1088" t="s">
        <v>41</v>
      </c>
      <c r="K1088" t="s">
        <v>19</v>
      </c>
      <c r="L1088">
        <v>23</v>
      </c>
      <c r="M1088">
        <v>0.81</v>
      </c>
      <c r="N1088" t="s">
        <v>20</v>
      </c>
    </row>
    <row r="1089" spans="1:14" x14ac:dyDescent="0.25">
      <c r="A1089">
        <v>1088</v>
      </c>
      <c r="B1089" t="s">
        <v>43</v>
      </c>
      <c r="C1089">
        <v>2019</v>
      </c>
      <c r="D1089">
        <v>1.1000000000000001</v>
      </c>
      <c r="E1089" t="s">
        <v>27</v>
      </c>
      <c r="F1089">
        <v>61836</v>
      </c>
      <c r="G1089" t="s">
        <v>22</v>
      </c>
      <c r="H1089">
        <v>93816.62</v>
      </c>
      <c r="I1089" t="s">
        <v>48</v>
      </c>
      <c r="J1089" t="s">
        <v>18</v>
      </c>
      <c r="K1089" t="s">
        <v>19</v>
      </c>
      <c r="L1089">
        <v>7</v>
      </c>
      <c r="M1089">
        <v>1.52</v>
      </c>
      <c r="N1089" t="s">
        <v>20</v>
      </c>
    </row>
    <row r="1090" spans="1:14" x14ac:dyDescent="0.25">
      <c r="A1090">
        <v>1089</v>
      </c>
      <c r="B1090" t="s">
        <v>36</v>
      </c>
      <c r="C1090">
        <v>2001</v>
      </c>
      <c r="D1090">
        <v>3.7</v>
      </c>
      <c r="E1090" t="s">
        <v>27</v>
      </c>
      <c r="F1090">
        <v>294067</v>
      </c>
      <c r="G1090" t="s">
        <v>22</v>
      </c>
      <c r="H1090">
        <v>19754.740000000002</v>
      </c>
      <c r="I1090" t="s">
        <v>57</v>
      </c>
      <c r="J1090" t="s">
        <v>46</v>
      </c>
      <c r="K1090" t="s">
        <v>26</v>
      </c>
      <c r="L1090">
        <v>25</v>
      </c>
      <c r="M1090">
        <v>7.0000000000000007E-2</v>
      </c>
      <c r="N1090" t="s">
        <v>33</v>
      </c>
    </row>
    <row r="1091" spans="1:14" x14ac:dyDescent="0.25">
      <c r="A1091">
        <v>1090</v>
      </c>
      <c r="B1091" t="s">
        <v>21</v>
      </c>
      <c r="C1091">
        <v>2004</v>
      </c>
      <c r="D1091">
        <v>5.3</v>
      </c>
      <c r="E1091" t="s">
        <v>15</v>
      </c>
      <c r="F1091">
        <v>255033</v>
      </c>
      <c r="G1091" t="s">
        <v>22</v>
      </c>
      <c r="H1091">
        <v>8218.17</v>
      </c>
      <c r="I1091" t="s">
        <v>60</v>
      </c>
      <c r="J1091" t="s">
        <v>46</v>
      </c>
      <c r="K1091" t="s">
        <v>26</v>
      </c>
      <c r="L1091">
        <v>22</v>
      </c>
      <c r="M1091">
        <v>0.03</v>
      </c>
      <c r="N1091" t="s">
        <v>20</v>
      </c>
    </row>
    <row r="1092" spans="1:14" x14ac:dyDescent="0.25">
      <c r="A1092">
        <v>1091</v>
      </c>
      <c r="B1092" t="s">
        <v>14</v>
      </c>
      <c r="C1092">
        <v>2002</v>
      </c>
      <c r="D1092">
        <v>5.8</v>
      </c>
      <c r="E1092" t="s">
        <v>15</v>
      </c>
      <c r="F1092">
        <v>16292</v>
      </c>
      <c r="G1092" t="s">
        <v>22</v>
      </c>
      <c r="H1092">
        <v>99034.93</v>
      </c>
      <c r="I1092" t="s">
        <v>39</v>
      </c>
      <c r="J1092" t="s">
        <v>18</v>
      </c>
      <c r="K1092" t="s">
        <v>50</v>
      </c>
      <c r="L1092">
        <v>24</v>
      </c>
      <c r="M1092">
        <v>6.08</v>
      </c>
      <c r="N1092" t="s">
        <v>20</v>
      </c>
    </row>
    <row r="1093" spans="1:14" x14ac:dyDescent="0.25">
      <c r="A1093">
        <v>1092</v>
      </c>
      <c r="B1093" t="s">
        <v>43</v>
      </c>
      <c r="C1093">
        <v>2008</v>
      </c>
      <c r="D1093">
        <v>3.8</v>
      </c>
      <c r="E1093" t="s">
        <v>27</v>
      </c>
      <c r="F1093">
        <v>283083</v>
      </c>
      <c r="G1093" t="s">
        <v>22</v>
      </c>
      <c r="H1093">
        <v>50813.9</v>
      </c>
      <c r="I1093" t="s">
        <v>55</v>
      </c>
      <c r="J1093" t="s">
        <v>32</v>
      </c>
      <c r="K1093" t="s">
        <v>26</v>
      </c>
      <c r="L1093">
        <v>18</v>
      </c>
      <c r="M1093">
        <v>0.18</v>
      </c>
      <c r="N1093" t="s">
        <v>20</v>
      </c>
    </row>
    <row r="1094" spans="1:14" x14ac:dyDescent="0.25">
      <c r="A1094">
        <v>1093</v>
      </c>
      <c r="B1094" t="s">
        <v>36</v>
      </c>
      <c r="C1094">
        <v>2019</v>
      </c>
      <c r="D1094">
        <v>3.6</v>
      </c>
      <c r="E1094" t="s">
        <v>15</v>
      </c>
      <c r="F1094">
        <v>243772</v>
      </c>
      <c r="G1094" t="s">
        <v>30</v>
      </c>
      <c r="H1094">
        <v>59347.16</v>
      </c>
      <c r="I1094" t="s">
        <v>57</v>
      </c>
      <c r="J1094" t="s">
        <v>32</v>
      </c>
      <c r="K1094" t="s">
        <v>26</v>
      </c>
      <c r="L1094">
        <v>7</v>
      </c>
      <c r="M1094">
        <v>0.24</v>
      </c>
      <c r="N1094" t="s">
        <v>33</v>
      </c>
    </row>
    <row r="1095" spans="1:14" x14ac:dyDescent="0.25">
      <c r="A1095">
        <v>1094</v>
      </c>
      <c r="B1095" t="s">
        <v>24</v>
      </c>
      <c r="C1095">
        <v>2005</v>
      </c>
      <c r="D1095">
        <v>1.4</v>
      </c>
      <c r="E1095" t="s">
        <v>27</v>
      </c>
      <c r="F1095">
        <v>18800</v>
      </c>
      <c r="G1095" t="s">
        <v>22</v>
      </c>
      <c r="H1095">
        <v>63510.95</v>
      </c>
      <c r="I1095" t="s">
        <v>45</v>
      </c>
      <c r="J1095" t="s">
        <v>41</v>
      </c>
      <c r="K1095" t="s">
        <v>50</v>
      </c>
      <c r="L1095">
        <v>21</v>
      </c>
      <c r="M1095">
        <v>3.38</v>
      </c>
      <c r="N1095" t="s">
        <v>20</v>
      </c>
    </row>
    <row r="1096" spans="1:14" x14ac:dyDescent="0.25">
      <c r="A1096">
        <v>1095</v>
      </c>
      <c r="B1096" t="s">
        <v>36</v>
      </c>
      <c r="C1096">
        <v>2017</v>
      </c>
      <c r="D1096">
        <v>3.7</v>
      </c>
      <c r="E1096" t="s">
        <v>27</v>
      </c>
      <c r="F1096">
        <v>56440</v>
      </c>
      <c r="G1096" t="s">
        <v>22</v>
      </c>
      <c r="H1096">
        <v>80018.5</v>
      </c>
      <c r="I1096" t="s">
        <v>54</v>
      </c>
      <c r="J1096" t="s">
        <v>32</v>
      </c>
      <c r="K1096" t="s">
        <v>19</v>
      </c>
      <c r="L1096">
        <v>9</v>
      </c>
      <c r="M1096">
        <v>1.42</v>
      </c>
      <c r="N1096" t="s">
        <v>33</v>
      </c>
    </row>
    <row r="1097" spans="1:14" x14ac:dyDescent="0.25">
      <c r="A1097">
        <v>1096</v>
      </c>
      <c r="B1097" t="s">
        <v>43</v>
      </c>
      <c r="C1097">
        <v>2005</v>
      </c>
      <c r="D1097">
        <v>2.9</v>
      </c>
      <c r="E1097" t="s">
        <v>15</v>
      </c>
      <c r="F1097">
        <v>127521</v>
      </c>
      <c r="G1097" t="s">
        <v>30</v>
      </c>
      <c r="H1097">
        <v>82138.86</v>
      </c>
      <c r="I1097" t="s">
        <v>44</v>
      </c>
      <c r="J1097" t="s">
        <v>41</v>
      </c>
      <c r="K1097" t="s">
        <v>19</v>
      </c>
      <c r="L1097">
        <v>21</v>
      </c>
      <c r="M1097">
        <v>0.64</v>
      </c>
      <c r="N1097" t="s">
        <v>20</v>
      </c>
    </row>
    <row r="1098" spans="1:14" x14ac:dyDescent="0.25">
      <c r="A1098">
        <v>1097</v>
      </c>
      <c r="B1098" t="s">
        <v>29</v>
      </c>
      <c r="C1098">
        <v>2018</v>
      </c>
      <c r="D1098">
        <v>4</v>
      </c>
      <c r="E1098" t="s">
        <v>15</v>
      </c>
      <c r="F1098">
        <v>121327</v>
      </c>
      <c r="G1098" t="s">
        <v>16</v>
      </c>
      <c r="H1098">
        <v>23422.9</v>
      </c>
      <c r="I1098" t="s">
        <v>31</v>
      </c>
      <c r="J1098" t="s">
        <v>46</v>
      </c>
      <c r="K1098" t="s">
        <v>19</v>
      </c>
      <c r="L1098">
        <v>8</v>
      </c>
      <c r="M1098">
        <v>0.19</v>
      </c>
      <c r="N1098" t="s">
        <v>33</v>
      </c>
    </row>
    <row r="1099" spans="1:14" x14ac:dyDescent="0.25">
      <c r="A1099">
        <v>1098</v>
      </c>
      <c r="B1099" t="s">
        <v>29</v>
      </c>
      <c r="C1099">
        <v>2011</v>
      </c>
      <c r="D1099">
        <v>2.9</v>
      </c>
      <c r="E1099" t="s">
        <v>15</v>
      </c>
      <c r="F1099">
        <v>49648</v>
      </c>
      <c r="G1099" t="s">
        <v>22</v>
      </c>
      <c r="H1099">
        <v>27480.49</v>
      </c>
      <c r="I1099" t="s">
        <v>40</v>
      </c>
      <c r="J1099" t="s">
        <v>18</v>
      </c>
      <c r="K1099" t="s">
        <v>50</v>
      </c>
      <c r="L1099">
        <v>15</v>
      </c>
      <c r="M1099">
        <v>0.55000000000000004</v>
      </c>
      <c r="N1099" t="s">
        <v>33</v>
      </c>
    </row>
    <row r="1100" spans="1:14" x14ac:dyDescent="0.25">
      <c r="A1100">
        <v>1099</v>
      </c>
      <c r="B1100" t="s">
        <v>14</v>
      </c>
      <c r="C1100">
        <v>2010</v>
      </c>
      <c r="D1100">
        <v>2.2000000000000002</v>
      </c>
      <c r="E1100" t="s">
        <v>15</v>
      </c>
      <c r="F1100">
        <v>291908</v>
      </c>
      <c r="G1100" t="s">
        <v>30</v>
      </c>
      <c r="H1100">
        <v>88299.14</v>
      </c>
      <c r="I1100" t="s">
        <v>17</v>
      </c>
      <c r="J1100" t="s">
        <v>18</v>
      </c>
      <c r="K1100" t="s">
        <v>26</v>
      </c>
      <c r="L1100">
        <v>16</v>
      </c>
      <c r="M1100">
        <v>0.3</v>
      </c>
      <c r="N1100" t="s">
        <v>20</v>
      </c>
    </row>
    <row r="1101" spans="1:14" x14ac:dyDescent="0.25">
      <c r="A1101">
        <v>1100</v>
      </c>
      <c r="B1101" t="s">
        <v>29</v>
      </c>
      <c r="C1101">
        <v>2001</v>
      </c>
      <c r="D1101">
        <v>1.5</v>
      </c>
      <c r="E1101" t="s">
        <v>15</v>
      </c>
      <c r="F1101">
        <v>294614</v>
      </c>
      <c r="G1101" t="s">
        <v>30</v>
      </c>
      <c r="H1101">
        <v>82854.17</v>
      </c>
      <c r="I1101" t="s">
        <v>31</v>
      </c>
      <c r="J1101" t="s">
        <v>46</v>
      </c>
      <c r="K1101" t="s">
        <v>26</v>
      </c>
      <c r="L1101">
        <v>25</v>
      </c>
      <c r="M1101">
        <v>0.28000000000000003</v>
      </c>
      <c r="N1101" t="s">
        <v>33</v>
      </c>
    </row>
    <row r="1102" spans="1:14" x14ac:dyDescent="0.25">
      <c r="A1102">
        <v>1101</v>
      </c>
      <c r="B1102" t="s">
        <v>14</v>
      </c>
      <c r="C1102">
        <v>2014</v>
      </c>
      <c r="D1102">
        <v>2.6</v>
      </c>
      <c r="E1102" t="s">
        <v>15</v>
      </c>
      <c r="F1102">
        <v>256160</v>
      </c>
      <c r="G1102" t="s">
        <v>16</v>
      </c>
      <c r="H1102">
        <v>63673.84</v>
      </c>
      <c r="I1102" t="s">
        <v>58</v>
      </c>
      <c r="J1102" t="s">
        <v>18</v>
      </c>
      <c r="K1102" t="s">
        <v>26</v>
      </c>
      <c r="L1102">
        <v>12</v>
      </c>
      <c r="M1102">
        <v>0.25</v>
      </c>
      <c r="N1102" t="s">
        <v>20</v>
      </c>
    </row>
    <row r="1103" spans="1:14" x14ac:dyDescent="0.25">
      <c r="A1103">
        <v>1102</v>
      </c>
      <c r="B1103" t="s">
        <v>14</v>
      </c>
      <c r="C1103">
        <v>2011</v>
      </c>
      <c r="D1103">
        <v>1.5</v>
      </c>
      <c r="E1103" t="s">
        <v>27</v>
      </c>
      <c r="F1103">
        <v>169573</v>
      </c>
      <c r="G1103" t="s">
        <v>22</v>
      </c>
      <c r="H1103">
        <v>99496.42</v>
      </c>
      <c r="I1103" t="s">
        <v>58</v>
      </c>
      <c r="J1103" t="s">
        <v>18</v>
      </c>
      <c r="K1103" t="s">
        <v>26</v>
      </c>
      <c r="L1103">
        <v>15</v>
      </c>
      <c r="M1103">
        <v>0.59</v>
      </c>
      <c r="N1103" t="s">
        <v>20</v>
      </c>
    </row>
    <row r="1104" spans="1:14" x14ac:dyDescent="0.25">
      <c r="A1104">
        <v>1103</v>
      </c>
      <c r="B1104" t="s">
        <v>43</v>
      </c>
      <c r="C1104">
        <v>2011</v>
      </c>
      <c r="D1104">
        <v>1.9</v>
      </c>
      <c r="E1104" t="s">
        <v>27</v>
      </c>
      <c r="F1104">
        <v>57207</v>
      </c>
      <c r="G1104" t="s">
        <v>22</v>
      </c>
      <c r="H1104">
        <v>74842.47</v>
      </c>
      <c r="I1104" t="s">
        <v>44</v>
      </c>
      <c r="J1104" t="s">
        <v>32</v>
      </c>
      <c r="K1104" t="s">
        <v>19</v>
      </c>
      <c r="L1104">
        <v>15</v>
      </c>
      <c r="M1104">
        <v>1.31</v>
      </c>
      <c r="N1104" t="s">
        <v>20</v>
      </c>
    </row>
    <row r="1105" spans="1:14" x14ac:dyDescent="0.25">
      <c r="A1105">
        <v>1104</v>
      </c>
      <c r="B1105" t="s">
        <v>29</v>
      </c>
      <c r="C1105">
        <v>2008</v>
      </c>
      <c r="D1105">
        <v>5.9</v>
      </c>
      <c r="E1105" t="s">
        <v>15</v>
      </c>
      <c r="F1105">
        <v>62157</v>
      </c>
      <c r="G1105" t="s">
        <v>22</v>
      </c>
      <c r="H1105">
        <v>25504.49</v>
      </c>
      <c r="I1105" t="s">
        <v>62</v>
      </c>
      <c r="J1105" t="s">
        <v>32</v>
      </c>
      <c r="K1105" t="s">
        <v>19</v>
      </c>
      <c r="L1105">
        <v>18</v>
      </c>
      <c r="M1105">
        <v>0.41</v>
      </c>
      <c r="N1105" t="s">
        <v>33</v>
      </c>
    </row>
    <row r="1106" spans="1:14" x14ac:dyDescent="0.25">
      <c r="A1106">
        <v>1105</v>
      </c>
      <c r="B1106" t="s">
        <v>14</v>
      </c>
      <c r="C1106">
        <v>2020</v>
      </c>
      <c r="D1106">
        <v>3.2</v>
      </c>
      <c r="E1106" t="s">
        <v>27</v>
      </c>
      <c r="F1106">
        <v>134288</v>
      </c>
      <c r="G1106" t="s">
        <v>30</v>
      </c>
      <c r="H1106">
        <v>85431.19</v>
      </c>
      <c r="I1106" t="s">
        <v>58</v>
      </c>
      <c r="J1106" t="s">
        <v>18</v>
      </c>
      <c r="K1106" t="s">
        <v>19</v>
      </c>
      <c r="L1106">
        <v>6</v>
      </c>
      <c r="M1106">
        <v>0.64</v>
      </c>
      <c r="N1106" t="s">
        <v>20</v>
      </c>
    </row>
    <row r="1107" spans="1:14" x14ac:dyDescent="0.25">
      <c r="A1107">
        <v>1106</v>
      </c>
      <c r="B1107" t="s">
        <v>21</v>
      </c>
      <c r="C1107">
        <v>2023</v>
      </c>
      <c r="D1107">
        <v>3.7</v>
      </c>
      <c r="E1107" t="s">
        <v>27</v>
      </c>
      <c r="F1107">
        <v>153144</v>
      </c>
      <c r="G1107" t="s">
        <v>22</v>
      </c>
      <c r="H1107">
        <v>44399.6</v>
      </c>
      <c r="I1107" t="s">
        <v>23</v>
      </c>
      <c r="J1107" t="s">
        <v>32</v>
      </c>
      <c r="K1107" t="s">
        <v>26</v>
      </c>
      <c r="L1107">
        <v>3</v>
      </c>
      <c r="M1107">
        <v>0.28999999999999998</v>
      </c>
      <c r="N1107" t="s">
        <v>20</v>
      </c>
    </row>
    <row r="1108" spans="1:14" x14ac:dyDescent="0.25">
      <c r="A1108">
        <v>1107</v>
      </c>
      <c r="B1108" t="s">
        <v>24</v>
      </c>
      <c r="C1108">
        <v>2001</v>
      </c>
      <c r="D1108">
        <v>5.4</v>
      </c>
      <c r="E1108" t="s">
        <v>27</v>
      </c>
      <c r="F1108">
        <v>93778</v>
      </c>
      <c r="G1108" t="s">
        <v>22</v>
      </c>
      <c r="H1108">
        <v>8434.5</v>
      </c>
      <c r="I1108" t="s">
        <v>34</v>
      </c>
      <c r="J1108" t="s">
        <v>41</v>
      </c>
      <c r="K1108" t="s">
        <v>19</v>
      </c>
      <c r="L1108">
        <v>25</v>
      </c>
      <c r="M1108">
        <v>0.09</v>
      </c>
      <c r="N1108" t="s">
        <v>20</v>
      </c>
    </row>
    <row r="1109" spans="1:14" x14ac:dyDescent="0.25">
      <c r="A1109">
        <v>1108</v>
      </c>
      <c r="B1109" t="s">
        <v>36</v>
      </c>
      <c r="C1109">
        <v>2021</v>
      </c>
      <c r="D1109">
        <v>6</v>
      </c>
      <c r="E1109" t="s">
        <v>27</v>
      </c>
      <c r="F1109">
        <v>130016</v>
      </c>
      <c r="G1109" t="s">
        <v>22</v>
      </c>
      <c r="H1109">
        <v>35535.019999999997</v>
      </c>
      <c r="I1109" t="s">
        <v>57</v>
      </c>
      <c r="J1109" t="s">
        <v>46</v>
      </c>
      <c r="K1109" t="s">
        <v>19</v>
      </c>
      <c r="L1109">
        <v>5</v>
      </c>
      <c r="M1109">
        <v>0.27</v>
      </c>
      <c r="N1109" t="s">
        <v>33</v>
      </c>
    </row>
    <row r="1110" spans="1:14" x14ac:dyDescent="0.25">
      <c r="A1110">
        <v>1109</v>
      </c>
      <c r="B1110" t="s">
        <v>36</v>
      </c>
      <c r="C1110">
        <v>2002</v>
      </c>
      <c r="D1110">
        <v>3.9</v>
      </c>
      <c r="E1110" t="s">
        <v>15</v>
      </c>
      <c r="F1110">
        <v>124288</v>
      </c>
      <c r="G1110" t="s">
        <v>22</v>
      </c>
      <c r="H1110">
        <v>77537.37</v>
      </c>
      <c r="I1110" t="s">
        <v>57</v>
      </c>
      <c r="J1110" t="s">
        <v>18</v>
      </c>
      <c r="K1110" t="s">
        <v>19</v>
      </c>
      <c r="L1110">
        <v>24</v>
      </c>
      <c r="M1110">
        <v>0.62</v>
      </c>
      <c r="N1110" t="s">
        <v>33</v>
      </c>
    </row>
    <row r="1111" spans="1:14" x14ac:dyDescent="0.25">
      <c r="A1111">
        <v>1110</v>
      </c>
      <c r="B1111" t="s">
        <v>43</v>
      </c>
      <c r="C1111">
        <v>2011</v>
      </c>
      <c r="D1111">
        <v>5.0999999999999996</v>
      </c>
      <c r="E1111" t="s">
        <v>27</v>
      </c>
      <c r="F1111">
        <v>168204</v>
      </c>
      <c r="G1111" t="s">
        <v>16</v>
      </c>
      <c r="H1111">
        <v>96219.59</v>
      </c>
      <c r="I1111" t="s">
        <v>55</v>
      </c>
      <c r="J1111" t="s">
        <v>18</v>
      </c>
      <c r="K1111" t="s">
        <v>26</v>
      </c>
      <c r="L1111">
        <v>15</v>
      </c>
      <c r="M1111">
        <v>0.56999999999999995</v>
      </c>
      <c r="N1111" t="s">
        <v>20</v>
      </c>
    </row>
    <row r="1112" spans="1:14" x14ac:dyDescent="0.25">
      <c r="A1112">
        <v>1111</v>
      </c>
      <c r="B1112" t="s">
        <v>29</v>
      </c>
      <c r="C1112">
        <v>2015</v>
      </c>
      <c r="D1112">
        <v>2.6</v>
      </c>
      <c r="E1112" t="s">
        <v>27</v>
      </c>
      <c r="F1112">
        <v>110573</v>
      </c>
      <c r="G1112" t="s">
        <v>16</v>
      </c>
      <c r="H1112">
        <v>31232.959999999999</v>
      </c>
      <c r="I1112" t="s">
        <v>31</v>
      </c>
      <c r="J1112" t="s">
        <v>18</v>
      </c>
      <c r="K1112" t="s">
        <v>19</v>
      </c>
      <c r="L1112">
        <v>11</v>
      </c>
      <c r="M1112">
        <v>0.28000000000000003</v>
      </c>
      <c r="N1112" t="s">
        <v>33</v>
      </c>
    </row>
    <row r="1113" spans="1:14" x14ac:dyDescent="0.25">
      <c r="A1113">
        <v>1112</v>
      </c>
      <c r="B1113" t="s">
        <v>29</v>
      </c>
      <c r="C1113">
        <v>2020</v>
      </c>
      <c r="D1113">
        <v>2.5</v>
      </c>
      <c r="E1113" t="s">
        <v>15</v>
      </c>
      <c r="F1113">
        <v>120730</v>
      </c>
      <c r="G1113" t="s">
        <v>16</v>
      </c>
      <c r="H1113">
        <v>28419.05</v>
      </c>
      <c r="I1113" t="s">
        <v>38</v>
      </c>
      <c r="J1113" t="s">
        <v>18</v>
      </c>
      <c r="K1113" t="s">
        <v>19</v>
      </c>
      <c r="L1113">
        <v>6</v>
      </c>
      <c r="M1113">
        <v>0.24</v>
      </c>
      <c r="N1113" t="s">
        <v>33</v>
      </c>
    </row>
    <row r="1114" spans="1:14" x14ac:dyDescent="0.25">
      <c r="A1114">
        <v>1113</v>
      </c>
      <c r="B1114" t="s">
        <v>14</v>
      </c>
      <c r="C1114">
        <v>2023</v>
      </c>
      <c r="D1114">
        <v>3</v>
      </c>
      <c r="E1114" t="s">
        <v>15</v>
      </c>
      <c r="F1114">
        <v>64186</v>
      </c>
      <c r="G1114" t="s">
        <v>22</v>
      </c>
      <c r="H1114">
        <v>58543.58</v>
      </c>
      <c r="I1114" t="s">
        <v>28</v>
      </c>
      <c r="J1114" t="s">
        <v>18</v>
      </c>
      <c r="K1114" t="s">
        <v>19</v>
      </c>
      <c r="L1114">
        <v>3</v>
      </c>
      <c r="M1114">
        <v>0.91</v>
      </c>
      <c r="N1114" t="s">
        <v>20</v>
      </c>
    </row>
    <row r="1115" spans="1:14" x14ac:dyDescent="0.25">
      <c r="A1115">
        <v>1114</v>
      </c>
      <c r="B1115" t="s">
        <v>52</v>
      </c>
      <c r="C1115">
        <v>2000</v>
      </c>
      <c r="D1115">
        <v>4.4000000000000004</v>
      </c>
      <c r="E1115" t="s">
        <v>15</v>
      </c>
      <c r="F1115">
        <v>267104</v>
      </c>
      <c r="G1115" t="s">
        <v>22</v>
      </c>
      <c r="H1115">
        <v>82109.97</v>
      </c>
      <c r="I1115" t="s">
        <v>53</v>
      </c>
      <c r="J1115" t="s">
        <v>41</v>
      </c>
      <c r="K1115" t="s">
        <v>26</v>
      </c>
      <c r="L1115">
        <v>26</v>
      </c>
      <c r="M1115">
        <v>0.31</v>
      </c>
      <c r="N1115" t="s">
        <v>33</v>
      </c>
    </row>
    <row r="1116" spans="1:14" x14ac:dyDescent="0.25">
      <c r="A1116">
        <v>1115</v>
      </c>
      <c r="B1116" t="s">
        <v>14</v>
      </c>
      <c r="C1116">
        <v>2020</v>
      </c>
      <c r="D1116">
        <v>4.4000000000000004</v>
      </c>
      <c r="E1116" t="s">
        <v>15</v>
      </c>
      <c r="F1116">
        <v>18781</v>
      </c>
      <c r="G1116" t="s">
        <v>30</v>
      </c>
      <c r="H1116">
        <v>75919.94</v>
      </c>
      <c r="I1116" t="s">
        <v>39</v>
      </c>
      <c r="J1116" t="s">
        <v>18</v>
      </c>
      <c r="K1116" t="s">
        <v>50</v>
      </c>
      <c r="L1116">
        <v>6</v>
      </c>
      <c r="M1116">
        <v>4.04</v>
      </c>
      <c r="N1116" t="s">
        <v>20</v>
      </c>
    </row>
    <row r="1117" spans="1:14" x14ac:dyDescent="0.25">
      <c r="A1117">
        <v>1116</v>
      </c>
      <c r="B1117" t="s">
        <v>24</v>
      </c>
      <c r="C1117">
        <v>2002</v>
      </c>
      <c r="D1117">
        <v>2.6</v>
      </c>
      <c r="E1117" t="s">
        <v>27</v>
      </c>
      <c r="F1117">
        <v>237677</v>
      </c>
      <c r="G1117" t="s">
        <v>30</v>
      </c>
      <c r="H1117">
        <v>58196.1</v>
      </c>
      <c r="I1117" t="s">
        <v>45</v>
      </c>
      <c r="J1117" t="s">
        <v>18</v>
      </c>
      <c r="K1117" t="s">
        <v>26</v>
      </c>
      <c r="L1117">
        <v>24</v>
      </c>
      <c r="M1117">
        <v>0.24</v>
      </c>
      <c r="N1117" t="s">
        <v>20</v>
      </c>
    </row>
    <row r="1118" spans="1:14" x14ac:dyDescent="0.25">
      <c r="A1118">
        <v>1117</v>
      </c>
      <c r="B1118" t="s">
        <v>21</v>
      </c>
      <c r="C1118">
        <v>2019</v>
      </c>
      <c r="D1118">
        <v>1.7</v>
      </c>
      <c r="E1118" t="s">
        <v>15</v>
      </c>
      <c r="F1118">
        <v>257506</v>
      </c>
      <c r="G1118" t="s">
        <v>30</v>
      </c>
      <c r="H1118">
        <v>64982.02</v>
      </c>
      <c r="I1118" t="s">
        <v>47</v>
      </c>
      <c r="J1118" t="s">
        <v>46</v>
      </c>
      <c r="K1118" t="s">
        <v>26</v>
      </c>
      <c r="L1118">
        <v>7</v>
      </c>
      <c r="M1118">
        <v>0.25</v>
      </c>
      <c r="N1118" t="s">
        <v>20</v>
      </c>
    </row>
    <row r="1119" spans="1:14" x14ac:dyDescent="0.25">
      <c r="A1119">
        <v>1118</v>
      </c>
      <c r="B1119" t="s">
        <v>36</v>
      </c>
      <c r="C1119">
        <v>2001</v>
      </c>
      <c r="D1119">
        <v>4.2</v>
      </c>
      <c r="E1119" t="s">
        <v>27</v>
      </c>
      <c r="F1119">
        <v>31126</v>
      </c>
      <c r="G1119" t="s">
        <v>22</v>
      </c>
      <c r="H1119">
        <v>27999.4</v>
      </c>
      <c r="I1119" t="s">
        <v>51</v>
      </c>
      <c r="J1119" t="s">
        <v>32</v>
      </c>
      <c r="K1119" t="s">
        <v>50</v>
      </c>
      <c r="L1119">
        <v>25</v>
      </c>
      <c r="M1119">
        <v>0.9</v>
      </c>
      <c r="N1119" t="s">
        <v>33</v>
      </c>
    </row>
    <row r="1120" spans="1:14" x14ac:dyDescent="0.25">
      <c r="A1120">
        <v>1119</v>
      </c>
      <c r="B1120" t="s">
        <v>14</v>
      </c>
      <c r="C1120">
        <v>2008</v>
      </c>
      <c r="D1120">
        <v>1.6</v>
      </c>
      <c r="E1120" t="s">
        <v>27</v>
      </c>
      <c r="F1120">
        <v>238217</v>
      </c>
      <c r="G1120" t="s">
        <v>16</v>
      </c>
      <c r="H1120">
        <v>46094.559999999998</v>
      </c>
      <c r="I1120" t="s">
        <v>17</v>
      </c>
      <c r="J1120" t="s">
        <v>18</v>
      </c>
      <c r="K1120" t="s">
        <v>26</v>
      </c>
      <c r="L1120">
        <v>18</v>
      </c>
      <c r="M1120">
        <v>0.19</v>
      </c>
      <c r="N1120" t="s">
        <v>20</v>
      </c>
    </row>
    <row r="1121" spans="1:14" x14ac:dyDescent="0.25">
      <c r="A1121">
        <v>1120</v>
      </c>
      <c r="B1121" t="s">
        <v>52</v>
      </c>
      <c r="C1121">
        <v>2018</v>
      </c>
      <c r="D1121">
        <v>3.9</v>
      </c>
      <c r="E1121" t="s">
        <v>15</v>
      </c>
      <c r="F1121">
        <v>280027</v>
      </c>
      <c r="G1121" t="s">
        <v>16</v>
      </c>
      <c r="H1121">
        <v>29259.73</v>
      </c>
      <c r="I1121" t="s">
        <v>53</v>
      </c>
      <c r="J1121" t="s">
        <v>18</v>
      </c>
      <c r="K1121" t="s">
        <v>26</v>
      </c>
      <c r="L1121">
        <v>8</v>
      </c>
      <c r="M1121">
        <v>0.1</v>
      </c>
      <c r="N1121" t="s">
        <v>33</v>
      </c>
    </row>
    <row r="1122" spans="1:14" x14ac:dyDescent="0.25">
      <c r="A1122">
        <v>1121</v>
      </c>
      <c r="B1122" t="s">
        <v>52</v>
      </c>
      <c r="C1122">
        <v>2014</v>
      </c>
      <c r="D1122">
        <v>4.5</v>
      </c>
      <c r="E1122" t="s">
        <v>15</v>
      </c>
      <c r="F1122">
        <v>29782</v>
      </c>
      <c r="G1122" t="s">
        <v>16</v>
      </c>
      <c r="H1122">
        <v>89019.71</v>
      </c>
      <c r="I1122" t="s">
        <v>53</v>
      </c>
      <c r="J1122" t="s">
        <v>46</v>
      </c>
      <c r="K1122" t="s">
        <v>50</v>
      </c>
      <c r="L1122">
        <v>12</v>
      </c>
      <c r="M1122">
        <v>2.99</v>
      </c>
      <c r="N1122" t="s">
        <v>33</v>
      </c>
    </row>
    <row r="1123" spans="1:14" x14ac:dyDescent="0.25">
      <c r="A1123">
        <v>1122</v>
      </c>
      <c r="B1123" t="s">
        <v>14</v>
      </c>
      <c r="C1123">
        <v>2017</v>
      </c>
      <c r="D1123">
        <v>4.5</v>
      </c>
      <c r="E1123" t="s">
        <v>15</v>
      </c>
      <c r="F1123">
        <v>148051</v>
      </c>
      <c r="G1123" t="s">
        <v>22</v>
      </c>
      <c r="H1123">
        <v>15692.68</v>
      </c>
      <c r="I1123" t="s">
        <v>17</v>
      </c>
      <c r="J1123" t="s">
        <v>18</v>
      </c>
      <c r="K1123" t="s">
        <v>19</v>
      </c>
      <c r="L1123">
        <v>9</v>
      </c>
      <c r="M1123">
        <v>0.11</v>
      </c>
      <c r="N1123" t="s">
        <v>20</v>
      </c>
    </row>
    <row r="1124" spans="1:14" x14ac:dyDescent="0.25">
      <c r="A1124">
        <v>1123</v>
      </c>
      <c r="B1124" t="s">
        <v>43</v>
      </c>
      <c r="C1124">
        <v>2010</v>
      </c>
      <c r="D1124">
        <v>4.8</v>
      </c>
      <c r="E1124" t="s">
        <v>15</v>
      </c>
      <c r="F1124">
        <v>295890</v>
      </c>
      <c r="G1124" t="s">
        <v>16</v>
      </c>
      <c r="H1124">
        <v>69575.350000000006</v>
      </c>
      <c r="I1124" t="s">
        <v>49</v>
      </c>
      <c r="J1124" t="s">
        <v>18</v>
      </c>
      <c r="K1124" t="s">
        <v>26</v>
      </c>
      <c r="L1124">
        <v>16</v>
      </c>
      <c r="M1124">
        <v>0.24</v>
      </c>
      <c r="N1124" t="s">
        <v>20</v>
      </c>
    </row>
    <row r="1125" spans="1:14" x14ac:dyDescent="0.25">
      <c r="A1125">
        <v>1124</v>
      </c>
      <c r="B1125" t="s">
        <v>36</v>
      </c>
      <c r="C1125">
        <v>2022</v>
      </c>
      <c r="D1125">
        <v>5.4</v>
      </c>
      <c r="E1125" t="s">
        <v>15</v>
      </c>
      <c r="F1125">
        <v>261161</v>
      </c>
      <c r="G1125" t="s">
        <v>30</v>
      </c>
      <c r="H1125">
        <v>29726.9</v>
      </c>
      <c r="I1125" t="s">
        <v>37</v>
      </c>
      <c r="J1125" t="s">
        <v>18</v>
      </c>
      <c r="K1125" t="s">
        <v>26</v>
      </c>
      <c r="L1125">
        <v>4</v>
      </c>
      <c r="M1125">
        <v>0.11</v>
      </c>
      <c r="N1125" t="s">
        <v>33</v>
      </c>
    </row>
    <row r="1126" spans="1:14" x14ac:dyDescent="0.25">
      <c r="A1126">
        <v>1125</v>
      </c>
      <c r="B1126" t="s">
        <v>43</v>
      </c>
      <c r="C1126">
        <v>2015</v>
      </c>
      <c r="D1126">
        <v>3.5</v>
      </c>
      <c r="E1126" t="s">
        <v>15</v>
      </c>
      <c r="F1126">
        <v>66266</v>
      </c>
      <c r="G1126" t="s">
        <v>30</v>
      </c>
      <c r="H1126">
        <v>50179.85</v>
      </c>
      <c r="I1126" t="s">
        <v>44</v>
      </c>
      <c r="J1126" t="s">
        <v>41</v>
      </c>
      <c r="K1126" t="s">
        <v>19</v>
      </c>
      <c r="L1126">
        <v>11</v>
      </c>
      <c r="M1126">
        <v>0.76</v>
      </c>
      <c r="N1126" t="s">
        <v>20</v>
      </c>
    </row>
    <row r="1127" spans="1:14" x14ac:dyDescent="0.25">
      <c r="A1127">
        <v>1126</v>
      </c>
      <c r="B1127" t="s">
        <v>21</v>
      </c>
      <c r="C1127">
        <v>2021</v>
      </c>
      <c r="D1127">
        <v>4.7</v>
      </c>
      <c r="E1127" t="s">
        <v>27</v>
      </c>
      <c r="F1127">
        <v>56</v>
      </c>
      <c r="G1127" t="s">
        <v>16</v>
      </c>
      <c r="H1127">
        <v>33444.21</v>
      </c>
      <c r="I1127" t="s">
        <v>42</v>
      </c>
      <c r="J1127" t="s">
        <v>41</v>
      </c>
      <c r="K1127" t="s">
        <v>50</v>
      </c>
      <c r="L1127">
        <v>5</v>
      </c>
      <c r="M1127">
        <v>597.22</v>
      </c>
      <c r="N1127" t="s">
        <v>20</v>
      </c>
    </row>
    <row r="1128" spans="1:14" x14ac:dyDescent="0.25">
      <c r="A1128">
        <v>1127</v>
      </c>
      <c r="B1128" t="s">
        <v>52</v>
      </c>
      <c r="C1128">
        <v>2016</v>
      </c>
      <c r="D1128">
        <v>4.0999999999999996</v>
      </c>
      <c r="E1128" t="s">
        <v>27</v>
      </c>
      <c r="F1128">
        <v>293601</v>
      </c>
      <c r="G1128" t="s">
        <v>30</v>
      </c>
      <c r="H1128">
        <v>35708.31</v>
      </c>
      <c r="I1128" t="s">
        <v>59</v>
      </c>
      <c r="J1128" t="s">
        <v>18</v>
      </c>
      <c r="K1128" t="s">
        <v>26</v>
      </c>
      <c r="L1128">
        <v>10</v>
      </c>
      <c r="M1128">
        <v>0.12</v>
      </c>
      <c r="N1128" t="s">
        <v>33</v>
      </c>
    </row>
    <row r="1129" spans="1:14" x14ac:dyDescent="0.25">
      <c r="A1129">
        <v>1128</v>
      </c>
      <c r="B1129" t="s">
        <v>52</v>
      </c>
      <c r="C1129">
        <v>2004</v>
      </c>
      <c r="D1129">
        <v>1.9</v>
      </c>
      <c r="E1129" t="s">
        <v>27</v>
      </c>
      <c r="F1129">
        <v>132773</v>
      </c>
      <c r="G1129" t="s">
        <v>16</v>
      </c>
      <c r="H1129">
        <v>29737.34</v>
      </c>
      <c r="I1129" t="s">
        <v>59</v>
      </c>
      <c r="J1129" t="s">
        <v>41</v>
      </c>
      <c r="K1129" t="s">
        <v>19</v>
      </c>
      <c r="L1129">
        <v>22</v>
      </c>
      <c r="M1129">
        <v>0.22</v>
      </c>
      <c r="N1129" t="s">
        <v>33</v>
      </c>
    </row>
    <row r="1130" spans="1:14" x14ac:dyDescent="0.25">
      <c r="A1130">
        <v>1129</v>
      </c>
      <c r="B1130" t="s">
        <v>24</v>
      </c>
      <c r="C1130">
        <v>2011</v>
      </c>
      <c r="D1130">
        <v>1.1000000000000001</v>
      </c>
      <c r="E1130" t="s">
        <v>27</v>
      </c>
      <c r="F1130">
        <v>187453</v>
      </c>
      <c r="G1130" t="s">
        <v>16</v>
      </c>
      <c r="H1130">
        <v>76515.33</v>
      </c>
      <c r="I1130" t="s">
        <v>45</v>
      </c>
      <c r="J1130" t="s">
        <v>32</v>
      </c>
      <c r="K1130" t="s">
        <v>26</v>
      </c>
      <c r="L1130">
        <v>15</v>
      </c>
      <c r="M1130">
        <v>0.41</v>
      </c>
      <c r="N1130" t="s">
        <v>20</v>
      </c>
    </row>
    <row r="1131" spans="1:14" x14ac:dyDescent="0.25">
      <c r="A1131">
        <v>1130</v>
      </c>
      <c r="B1131" t="s">
        <v>21</v>
      </c>
      <c r="C1131">
        <v>2010</v>
      </c>
      <c r="D1131">
        <v>2.4</v>
      </c>
      <c r="E1131" t="s">
        <v>15</v>
      </c>
      <c r="F1131">
        <v>181510</v>
      </c>
      <c r="G1131" t="s">
        <v>30</v>
      </c>
      <c r="H1131">
        <v>39743.01</v>
      </c>
      <c r="I1131" t="s">
        <v>42</v>
      </c>
      <c r="J1131" t="s">
        <v>18</v>
      </c>
      <c r="K1131" t="s">
        <v>26</v>
      </c>
      <c r="L1131">
        <v>16</v>
      </c>
      <c r="M1131">
        <v>0.22</v>
      </c>
      <c r="N1131" t="s">
        <v>20</v>
      </c>
    </row>
    <row r="1132" spans="1:14" x14ac:dyDescent="0.25">
      <c r="A1132">
        <v>1131</v>
      </c>
      <c r="B1132" t="s">
        <v>52</v>
      </c>
      <c r="C1132">
        <v>2014</v>
      </c>
      <c r="D1132">
        <v>3.2</v>
      </c>
      <c r="E1132" t="s">
        <v>15</v>
      </c>
      <c r="F1132">
        <v>80636</v>
      </c>
      <c r="G1132" t="s">
        <v>30</v>
      </c>
      <c r="H1132">
        <v>74003.92</v>
      </c>
      <c r="I1132" t="s">
        <v>61</v>
      </c>
      <c r="J1132" t="s">
        <v>32</v>
      </c>
      <c r="K1132" t="s">
        <v>19</v>
      </c>
      <c r="L1132">
        <v>12</v>
      </c>
      <c r="M1132">
        <v>0.92</v>
      </c>
      <c r="N1132" t="s">
        <v>33</v>
      </c>
    </row>
    <row r="1133" spans="1:14" x14ac:dyDescent="0.25">
      <c r="A1133">
        <v>1132</v>
      </c>
      <c r="B1133" t="s">
        <v>21</v>
      </c>
      <c r="C1133">
        <v>2002</v>
      </c>
      <c r="D1133">
        <v>4.0999999999999996</v>
      </c>
      <c r="E1133" t="s">
        <v>27</v>
      </c>
      <c r="F1133">
        <v>66483</v>
      </c>
      <c r="G1133" t="s">
        <v>30</v>
      </c>
      <c r="H1133">
        <v>48326.64</v>
      </c>
      <c r="I1133" t="s">
        <v>23</v>
      </c>
      <c r="J1133" t="s">
        <v>46</v>
      </c>
      <c r="K1133" t="s">
        <v>19</v>
      </c>
      <c r="L1133">
        <v>24</v>
      </c>
      <c r="M1133">
        <v>0.73</v>
      </c>
      <c r="N1133" t="s">
        <v>20</v>
      </c>
    </row>
    <row r="1134" spans="1:14" x14ac:dyDescent="0.25">
      <c r="A1134">
        <v>1133</v>
      </c>
      <c r="B1134" t="s">
        <v>36</v>
      </c>
      <c r="C1134">
        <v>2000</v>
      </c>
      <c r="D1134">
        <v>5.2</v>
      </c>
      <c r="E1134" t="s">
        <v>27</v>
      </c>
      <c r="F1134">
        <v>20505</v>
      </c>
      <c r="G1134" t="s">
        <v>30</v>
      </c>
      <c r="H1134">
        <v>56988.37</v>
      </c>
      <c r="I1134" t="s">
        <v>54</v>
      </c>
      <c r="J1134" t="s">
        <v>32</v>
      </c>
      <c r="K1134" t="s">
        <v>50</v>
      </c>
      <c r="L1134">
        <v>26</v>
      </c>
      <c r="M1134">
        <v>2.78</v>
      </c>
      <c r="N1134" t="s">
        <v>33</v>
      </c>
    </row>
    <row r="1135" spans="1:14" x14ac:dyDescent="0.25">
      <c r="A1135">
        <v>1134</v>
      </c>
      <c r="B1135" t="s">
        <v>29</v>
      </c>
      <c r="C1135">
        <v>2019</v>
      </c>
      <c r="D1135">
        <v>2</v>
      </c>
      <c r="E1135" t="s">
        <v>27</v>
      </c>
      <c r="F1135">
        <v>33525</v>
      </c>
      <c r="G1135" t="s">
        <v>16</v>
      </c>
      <c r="H1135">
        <v>56612.31</v>
      </c>
      <c r="I1135" t="s">
        <v>62</v>
      </c>
      <c r="J1135" t="s">
        <v>46</v>
      </c>
      <c r="K1135" t="s">
        <v>50</v>
      </c>
      <c r="L1135">
        <v>7</v>
      </c>
      <c r="M1135">
        <v>1.69</v>
      </c>
      <c r="N1135" t="s">
        <v>33</v>
      </c>
    </row>
    <row r="1136" spans="1:14" x14ac:dyDescent="0.25">
      <c r="A1136">
        <v>1135</v>
      </c>
      <c r="B1136" t="s">
        <v>52</v>
      </c>
      <c r="C1136">
        <v>2015</v>
      </c>
      <c r="D1136">
        <v>1.6</v>
      </c>
      <c r="E1136" t="s">
        <v>15</v>
      </c>
      <c r="F1136">
        <v>211474</v>
      </c>
      <c r="G1136" t="s">
        <v>30</v>
      </c>
      <c r="H1136">
        <v>97705.95</v>
      </c>
      <c r="I1136" t="s">
        <v>61</v>
      </c>
      <c r="J1136" t="s">
        <v>18</v>
      </c>
      <c r="K1136" t="s">
        <v>26</v>
      </c>
      <c r="L1136">
        <v>11</v>
      </c>
      <c r="M1136">
        <v>0.46</v>
      </c>
      <c r="N1136" t="s">
        <v>33</v>
      </c>
    </row>
    <row r="1137" spans="1:14" x14ac:dyDescent="0.25">
      <c r="A1137">
        <v>1136</v>
      </c>
      <c r="B1137" t="s">
        <v>24</v>
      </c>
      <c r="C1137">
        <v>2001</v>
      </c>
      <c r="D1137">
        <v>5.8</v>
      </c>
      <c r="E1137" t="s">
        <v>15</v>
      </c>
      <c r="F1137">
        <v>96008</v>
      </c>
      <c r="G1137" t="s">
        <v>30</v>
      </c>
      <c r="H1137">
        <v>39870.93</v>
      </c>
      <c r="I1137" t="s">
        <v>25</v>
      </c>
      <c r="J1137" t="s">
        <v>46</v>
      </c>
      <c r="K1137" t="s">
        <v>19</v>
      </c>
      <c r="L1137">
        <v>25</v>
      </c>
      <c r="M1137">
        <v>0.42</v>
      </c>
      <c r="N1137" t="s">
        <v>20</v>
      </c>
    </row>
    <row r="1138" spans="1:14" x14ac:dyDescent="0.25">
      <c r="A1138">
        <v>1137</v>
      </c>
      <c r="B1138" t="s">
        <v>36</v>
      </c>
      <c r="C1138">
        <v>2001</v>
      </c>
      <c r="D1138">
        <v>1.5</v>
      </c>
      <c r="E1138" t="s">
        <v>15</v>
      </c>
      <c r="F1138">
        <v>44348</v>
      </c>
      <c r="G1138" t="s">
        <v>22</v>
      </c>
      <c r="H1138">
        <v>24729.99</v>
      </c>
      <c r="I1138" t="s">
        <v>54</v>
      </c>
      <c r="J1138" t="s">
        <v>46</v>
      </c>
      <c r="K1138" t="s">
        <v>50</v>
      </c>
      <c r="L1138">
        <v>25</v>
      </c>
      <c r="M1138">
        <v>0.56000000000000005</v>
      </c>
      <c r="N1138" t="s">
        <v>33</v>
      </c>
    </row>
    <row r="1139" spans="1:14" x14ac:dyDescent="0.25">
      <c r="A1139">
        <v>1138</v>
      </c>
      <c r="B1139" t="s">
        <v>14</v>
      </c>
      <c r="C1139">
        <v>2002</v>
      </c>
      <c r="D1139">
        <v>3.4</v>
      </c>
      <c r="E1139" t="s">
        <v>27</v>
      </c>
      <c r="F1139">
        <v>202259</v>
      </c>
      <c r="G1139" t="s">
        <v>30</v>
      </c>
      <c r="H1139">
        <v>91620.23</v>
      </c>
      <c r="I1139" t="s">
        <v>39</v>
      </c>
      <c r="J1139" t="s">
        <v>18</v>
      </c>
      <c r="K1139" t="s">
        <v>26</v>
      </c>
      <c r="L1139">
        <v>24</v>
      </c>
      <c r="M1139">
        <v>0.45</v>
      </c>
      <c r="N1139" t="s">
        <v>20</v>
      </c>
    </row>
    <row r="1140" spans="1:14" x14ac:dyDescent="0.25">
      <c r="A1140">
        <v>1139</v>
      </c>
      <c r="B1140" t="s">
        <v>21</v>
      </c>
      <c r="C1140">
        <v>2007</v>
      </c>
      <c r="D1140">
        <v>3.9</v>
      </c>
      <c r="E1140" t="s">
        <v>27</v>
      </c>
      <c r="F1140">
        <v>269417</v>
      </c>
      <c r="G1140" t="s">
        <v>30</v>
      </c>
      <c r="H1140">
        <v>21609.73</v>
      </c>
      <c r="I1140" t="s">
        <v>23</v>
      </c>
      <c r="J1140" t="s">
        <v>32</v>
      </c>
      <c r="K1140" t="s">
        <v>26</v>
      </c>
      <c r="L1140">
        <v>19</v>
      </c>
      <c r="M1140">
        <v>0.08</v>
      </c>
      <c r="N1140" t="s">
        <v>20</v>
      </c>
    </row>
    <row r="1141" spans="1:14" x14ac:dyDescent="0.25">
      <c r="A1141">
        <v>1140</v>
      </c>
      <c r="B1141" t="s">
        <v>14</v>
      </c>
      <c r="C1141">
        <v>2023</v>
      </c>
      <c r="D1141">
        <v>3.7</v>
      </c>
      <c r="E1141" t="s">
        <v>15</v>
      </c>
      <c r="F1141">
        <v>206641</v>
      </c>
      <c r="G1141" t="s">
        <v>16</v>
      </c>
      <c r="H1141">
        <v>84270.17</v>
      </c>
      <c r="I1141" t="s">
        <v>39</v>
      </c>
      <c r="J1141" t="s">
        <v>18</v>
      </c>
      <c r="K1141" t="s">
        <v>26</v>
      </c>
      <c r="L1141">
        <v>3</v>
      </c>
      <c r="M1141">
        <v>0.41</v>
      </c>
      <c r="N1141" t="s">
        <v>20</v>
      </c>
    </row>
    <row r="1142" spans="1:14" x14ac:dyDescent="0.25">
      <c r="A1142">
        <v>1141</v>
      </c>
      <c r="B1142" t="s">
        <v>43</v>
      </c>
      <c r="C1142">
        <v>2014</v>
      </c>
      <c r="D1142">
        <v>1.4</v>
      </c>
      <c r="E1142" t="s">
        <v>15</v>
      </c>
      <c r="F1142">
        <v>134607</v>
      </c>
      <c r="G1142" t="s">
        <v>16</v>
      </c>
      <c r="H1142">
        <v>19270.419999999998</v>
      </c>
      <c r="I1142" t="s">
        <v>48</v>
      </c>
      <c r="J1142" t="s">
        <v>18</v>
      </c>
      <c r="K1142" t="s">
        <v>19</v>
      </c>
      <c r="L1142">
        <v>12</v>
      </c>
      <c r="M1142">
        <v>0.14000000000000001</v>
      </c>
      <c r="N1142" t="s">
        <v>20</v>
      </c>
    </row>
    <row r="1143" spans="1:14" x14ac:dyDescent="0.25">
      <c r="A1143">
        <v>1142</v>
      </c>
      <c r="B1143" t="s">
        <v>36</v>
      </c>
      <c r="C1143">
        <v>2006</v>
      </c>
      <c r="D1143">
        <v>1.3</v>
      </c>
      <c r="E1143" t="s">
        <v>27</v>
      </c>
      <c r="F1143">
        <v>214096</v>
      </c>
      <c r="G1143" t="s">
        <v>22</v>
      </c>
      <c r="H1143">
        <v>67578.81</v>
      </c>
      <c r="I1143" t="s">
        <v>54</v>
      </c>
      <c r="J1143" t="s">
        <v>18</v>
      </c>
      <c r="K1143" t="s">
        <v>26</v>
      </c>
      <c r="L1143">
        <v>20</v>
      </c>
      <c r="M1143">
        <v>0.32</v>
      </c>
      <c r="N1143" t="s">
        <v>33</v>
      </c>
    </row>
    <row r="1144" spans="1:14" x14ac:dyDescent="0.25">
      <c r="A1144">
        <v>1143</v>
      </c>
      <c r="B1144" t="s">
        <v>14</v>
      </c>
      <c r="C1144">
        <v>2005</v>
      </c>
      <c r="D1144">
        <v>1.5</v>
      </c>
      <c r="E1144" t="s">
        <v>27</v>
      </c>
      <c r="F1144">
        <v>107157</v>
      </c>
      <c r="G1144" t="s">
        <v>30</v>
      </c>
      <c r="H1144">
        <v>19301.38</v>
      </c>
      <c r="I1144" t="s">
        <v>39</v>
      </c>
      <c r="J1144" t="s">
        <v>18</v>
      </c>
      <c r="K1144" t="s">
        <v>19</v>
      </c>
      <c r="L1144">
        <v>21</v>
      </c>
      <c r="M1144">
        <v>0.18</v>
      </c>
      <c r="N1144" t="s">
        <v>20</v>
      </c>
    </row>
    <row r="1145" spans="1:14" x14ac:dyDescent="0.25">
      <c r="A1145">
        <v>1144</v>
      </c>
      <c r="B1145" t="s">
        <v>52</v>
      </c>
      <c r="C1145">
        <v>2008</v>
      </c>
      <c r="D1145">
        <v>3.9</v>
      </c>
      <c r="E1145" t="s">
        <v>15</v>
      </c>
      <c r="F1145">
        <v>908</v>
      </c>
      <c r="G1145" t="s">
        <v>30</v>
      </c>
      <c r="H1145">
        <v>92693.15</v>
      </c>
      <c r="I1145" t="s">
        <v>59</v>
      </c>
      <c r="J1145" t="s">
        <v>18</v>
      </c>
      <c r="K1145" t="s">
        <v>50</v>
      </c>
      <c r="L1145">
        <v>18</v>
      </c>
      <c r="M1145">
        <v>102.08</v>
      </c>
      <c r="N1145" t="s">
        <v>33</v>
      </c>
    </row>
    <row r="1146" spans="1:14" x14ac:dyDescent="0.25">
      <c r="A1146">
        <v>1145</v>
      </c>
      <c r="B1146" t="s">
        <v>21</v>
      </c>
      <c r="C1146">
        <v>2019</v>
      </c>
      <c r="D1146">
        <v>3.7</v>
      </c>
      <c r="E1146" t="s">
        <v>27</v>
      </c>
      <c r="F1146">
        <v>252299</v>
      </c>
      <c r="G1146" t="s">
        <v>30</v>
      </c>
      <c r="H1146">
        <v>58675.79</v>
      </c>
      <c r="I1146" t="s">
        <v>47</v>
      </c>
      <c r="J1146" t="s">
        <v>18</v>
      </c>
      <c r="K1146" t="s">
        <v>26</v>
      </c>
      <c r="L1146">
        <v>7</v>
      </c>
      <c r="M1146">
        <v>0.23</v>
      </c>
      <c r="N1146" t="s">
        <v>20</v>
      </c>
    </row>
    <row r="1147" spans="1:14" x14ac:dyDescent="0.25">
      <c r="A1147">
        <v>1146</v>
      </c>
      <c r="B1147" t="s">
        <v>29</v>
      </c>
      <c r="C1147">
        <v>2000</v>
      </c>
      <c r="D1147">
        <v>2.2000000000000002</v>
      </c>
      <c r="E1147" t="s">
        <v>15</v>
      </c>
      <c r="F1147">
        <v>201225</v>
      </c>
      <c r="G1147" t="s">
        <v>30</v>
      </c>
      <c r="H1147">
        <v>36281.01</v>
      </c>
      <c r="I1147" t="s">
        <v>31</v>
      </c>
      <c r="J1147" t="s">
        <v>46</v>
      </c>
      <c r="K1147" t="s">
        <v>26</v>
      </c>
      <c r="L1147">
        <v>26</v>
      </c>
      <c r="M1147">
        <v>0.18</v>
      </c>
      <c r="N1147" t="s">
        <v>33</v>
      </c>
    </row>
    <row r="1148" spans="1:14" x14ac:dyDescent="0.25">
      <c r="A1148">
        <v>1147</v>
      </c>
      <c r="B1148" t="s">
        <v>36</v>
      </c>
      <c r="C1148">
        <v>2007</v>
      </c>
      <c r="D1148">
        <v>4.2</v>
      </c>
      <c r="E1148" t="s">
        <v>15</v>
      </c>
      <c r="F1148">
        <v>108352</v>
      </c>
      <c r="G1148" t="s">
        <v>30</v>
      </c>
      <c r="H1148">
        <v>18330.66</v>
      </c>
      <c r="I1148" t="s">
        <v>54</v>
      </c>
      <c r="J1148" t="s">
        <v>46</v>
      </c>
      <c r="K1148" t="s">
        <v>19</v>
      </c>
      <c r="L1148">
        <v>19</v>
      </c>
      <c r="M1148">
        <v>0.17</v>
      </c>
      <c r="N1148" t="s">
        <v>33</v>
      </c>
    </row>
    <row r="1149" spans="1:14" x14ac:dyDescent="0.25">
      <c r="A1149">
        <v>1148</v>
      </c>
      <c r="B1149" t="s">
        <v>52</v>
      </c>
      <c r="C1149">
        <v>2022</v>
      </c>
      <c r="D1149">
        <v>5.0999999999999996</v>
      </c>
      <c r="E1149" t="s">
        <v>27</v>
      </c>
      <c r="F1149">
        <v>95967</v>
      </c>
      <c r="G1149" t="s">
        <v>30</v>
      </c>
      <c r="H1149">
        <v>40263.26</v>
      </c>
      <c r="I1149" t="s">
        <v>53</v>
      </c>
      <c r="J1149" t="s">
        <v>32</v>
      </c>
      <c r="K1149" t="s">
        <v>19</v>
      </c>
      <c r="L1149">
        <v>4</v>
      </c>
      <c r="M1149">
        <v>0.42</v>
      </c>
      <c r="N1149" t="s">
        <v>33</v>
      </c>
    </row>
    <row r="1150" spans="1:14" x14ac:dyDescent="0.25">
      <c r="A1150">
        <v>1149</v>
      </c>
      <c r="B1150" t="s">
        <v>24</v>
      </c>
      <c r="C1150">
        <v>2022</v>
      </c>
      <c r="D1150">
        <v>1.2</v>
      </c>
      <c r="E1150" t="s">
        <v>27</v>
      </c>
      <c r="F1150">
        <v>35079</v>
      </c>
      <c r="G1150" t="s">
        <v>22</v>
      </c>
      <c r="H1150">
        <v>71976.899999999994</v>
      </c>
      <c r="I1150" t="s">
        <v>25</v>
      </c>
      <c r="J1150" t="s">
        <v>18</v>
      </c>
      <c r="K1150" t="s">
        <v>50</v>
      </c>
      <c r="L1150">
        <v>4</v>
      </c>
      <c r="M1150">
        <v>2.0499999999999998</v>
      </c>
      <c r="N1150" t="s">
        <v>20</v>
      </c>
    </row>
    <row r="1151" spans="1:14" x14ac:dyDescent="0.25">
      <c r="A1151">
        <v>1150</v>
      </c>
      <c r="B1151" t="s">
        <v>43</v>
      </c>
      <c r="C1151">
        <v>2002</v>
      </c>
      <c r="D1151">
        <v>3.5</v>
      </c>
      <c r="E1151" t="s">
        <v>27</v>
      </c>
      <c r="F1151">
        <v>212628</v>
      </c>
      <c r="G1151" t="s">
        <v>30</v>
      </c>
      <c r="H1151">
        <v>41570.33</v>
      </c>
      <c r="I1151" t="s">
        <v>55</v>
      </c>
      <c r="J1151" t="s">
        <v>46</v>
      </c>
      <c r="K1151" t="s">
        <v>26</v>
      </c>
      <c r="L1151">
        <v>24</v>
      </c>
      <c r="M1151">
        <v>0.2</v>
      </c>
      <c r="N1151" t="s">
        <v>20</v>
      </c>
    </row>
    <row r="1152" spans="1:14" x14ac:dyDescent="0.25">
      <c r="A1152">
        <v>1151</v>
      </c>
      <c r="B1152" t="s">
        <v>21</v>
      </c>
      <c r="C1152">
        <v>2003</v>
      </c>
      <c r="D1152">
        <v>4.4000000000000004</v>
      </c>
      <c r="E1152" t="s">
        <v>15</v>
      </c>
      <c r="F1152">
        <v>111889</v>
      </c>
      <c r="G1152" t="s">
        <v>30</v>
      </c>
      <c r="H1152">
        <v>28378.94</v>
      </c>
      <c r="I1152" t="s">
        <v>47</v>
      </c>
      <c r="J1152" t="s">
        <v>41</v>
      </c>
      <c r="K1152" t="s">
        <v>19</v>
      </c>
      <c r="L1152">
        <v>23</v>
      </c>
      <c r="M1152">
        <v>0.25</v>
      </c>
      <c r="N1152" t="s">
        <v>20</v>
      </c>
    </row>
    <row r="1153" spans="1:14" x14ac:dyDescent="0.25">
      <c r="A1153">
        <v>1152</v>
      </c>
      <c r="B1153" t="s">
        <v>36</v>
      </c>
      <c r="C1153">
        <v>2014</v>
      </c>
      <c r="D1153">
        <v>2.2999999999999998</v>
      </c>
      <c r="E1153" t="s">
        <v>27</v>
      </c>
      <c r="F1153">
        <v>262063</v>
      </c>
      <c r="G1153" t="s">
        <v>30</v>
      </c>
      <c r="H1153">
        <v>59853.9</v>
      </c>
      <c r="I1153" t="s">
        <v>51</v>
      </c>
      <c r="J1153" t="s">
        <v>18</v>
      </c>
      <c r="K1153" t="s">
        <v>26</v>
      </c>
      <c r="L1153">
        <v>12</v>
      </c>
      <c r="M1153">
        <v>0.23</v>
      </c>
      <c r="N1153" t="s">
        <v>33</v>
      </c>
    </row>
    <row r="1154" spans="1:14" x14ac:dyDescent="0.25">
      <c r="A1154">
        <v>1153</v>
      </c>
      <c r="B1154" t="s">
        <v>36</v>
      </c>
      <c r="C1154">
        <v>2005</v>
      </c>
      <c r="D1154">
        <v>2.5</v>
      </c>
      <c r="E1154" t="s">
        <v>27</v>
      </c>
      <c r="F1154">
        <v>46105</v>
      </c>
      <c r="G1154" t="s">
        <v>22</v>
      </c>
      <c r="H1154">
        <v>44693.08</v>
      </c>
      <c r="I1154" t="s">
        <v>57</v>
      </c>
      <c r="J1154" t="s">
        <v>41</v>
      </c>
      <c r="K1154" t="s">
        <v>50</v>
      </c>
      <c r="L1154">
        <v>21</v>
      </c>
      <c r="M1154">
        <v>0.97</v>
      </c>
      <c r="N1154" t="s">
        <v>33</v>
      </c>
    </row>
    <row r="1155" spans="1:14" x14ac:dyDescent="0.25">
      <c r="A1155">
        <v>1154</v>
      </c>
      <c r="B1155" t="s">
        <v>29</v>
      </c>
      <c r="C1155">
        <v>2014</v>
      </c>
      <c r="D1155">
        <v>4.0999999999999996</v>
      </c>
      <c r="E1155" t="s">
        <v>15</v>
      </c>
      <c r="F1155">
        <v>132957</v>
      </c>
      <c r="G1155" t="s">
        <v>30</v>
      </c>
      <c r="H1155">
        <v>20751.59</v>
      </c>
      <c r="I1155" t="s">
        <v>40</v>
      </c>
      <c r="J1155" t="s">
        <v>32</v>
      </c>
      <c r="K1155" t="s">
        <v>19</v>
      </c>
      <c r="L1155">
        <v>12</v>
      </c>
      <c r="M1155">
        <v>0.16</v>
      </c>
      <c r="N1155" t="s">
        <v>33</v>
      </c>
    </row>
    <row r="1156" spans="1:14" x14ac:dyDescent="0.25">
      <c r="A1156">
        <v>1155</v>
      </c>
      <c r="B1156" t="s">
        <v>29</v>
      </c>
      <c r="C1156">
        <v>2020</v>
      </c>
      <c r="D1156">
        <v>5.5</v>
      </c>
      <c r="E1156" t="s">
        <v>15</v>
      </c>
      <c r="F1156">
        <v>1049</v>
      </c>
      <c r="G1156" t="s">
        <v>22</v>
      </c>
      <c r="H1156">
        <v>19628.86</v>
      </c>
      <c r="I1156" t="s">
        <v>31</v>
      </c>
      <c r="J1156" t="s">
        <v>18</v>
      </c>
      <c r="K1156" t="s">
        <v>50</v>
      </c>
      <c r="L1156">
        <v>6</v>
      </c>
      <c r="M1156">
        <v>18.71</v>
      </c>
      <c r="N1156" t="s">
        <v>33</v>
      </c>
    </row>
    <row r="1157" spans="1:14" x14ac:dyDescent="0.25">
      <c r="A1157">
        <v>1156</v>
      </c>
      <c r="B1157" t="s">
        <v>24</v>
      </c>
      <c r="C1157">
        <v>2002</v>
      </c>
      <c r="D1157">
        <v>5</v>
      </c>
      <c r="E1157" t="s">
        <v>27</v>
      </c>
      <c r="F1157">
        <v>53281</v>
      </c>
      <c r="G1157" t="s">
        <v>16</v>
      </c>
      <c r="H1157">
        <v>72208.89</v>
      </c>
      <c r="I1157" t="s">
        <v>34</v>
      </c>
      <c r="J1157" t="s">
        <v>32</v>
      </c>
      <c r="K1157" t="s">
        <v>19</v>
      </c>
      <c r="L1157">
        <v>24</v>
      </c>
      <c r="M1157">
        <v>1.36</v>
      </c>
      <c r="N1157" t="s">
        <v>20</v>
      </c>
    </row>
    <row r="1158" spans="1:14" x14ac:dyDescent="0.25">
      <c r="A1158">
        <v>1157</v>
      </c>
      <c r="B1158" t="s">
        <v>43</v>
      </c>
      <c r="C1158">
        <v>2020</v>
      </c>
      <c r="D1158">
        <v>3.9</v>
      </c>
      <c r="E1158" t="s">
        <v>15</v>
      </c>
      <c r="F1158">
        <v>66697</v>
      </c>
      <c r="G1158" t="s">
        <v>30</v>
      </c>
      <c r="H1158">
        <v>97593.83</v>
      </c>
      <c r="I1158" t="s">
        <v>48</v>
      </c>
      <c r="J1158" t="s">
        <v>32</v>
      </c>
      <c r="K1158" t="s">
        <v>19</v>
      </c>
      <c r="L1158">
        <v>6</v>
      </c>
      <c r="M1158">
        <v>1.46</v>
      </c>
      <c r="N1158" t="s">
        <v>20</v>
      </c>
    </row>
    <row r="1159" spans="1:14" x14ac:dyDescent="0.25">
      <c r="A1159">
        <v>1158</v>
      </c>
      <c r="B1159" t="s">
        <v>24</v>
      </c>
      <c r="C1159">
        <v>2020</v>
      </c>
      <c r="D1159">
        <v>4.7</v>
      </c>
      <c r="E1159" t="s">
        <v>15</v>
      </c>
      <c r="F1159">
        <v>36534</v>
      </c>
      <c r="G1159" t="s">
        <v>22</v>
      </c>
      <c r="H1159">
        <v>27143.94</v>
      </c>
      <c r="I1159" t="s">
        <v>34</v>
      </c>
      <c r="J1159" t="s">
        <v>32</v>
      </c>
      <c r="K1159" t="s">
        <v>50</v>
      </c>
      <c r="L1159">
        <v>6</v>
      </c>
      <c r="M1159">
        <v>0.74</v>
      </c>
      <c r="N1159" t="s">
        <v>20</v>
      </c>
    </row>
    <row r="1160" spans="1:14" x14ac:dyDescent="0.25">
      <c r="A1160">
        <v>1159</v>
      </c>
      <c r="B1160" t="s">
        <v>52</v>
      </c>
      <c r="C1160">
        <v>2013</v>
      </c>
      <c r="D1160">
        <v>2.8</v>
      </c>
      <c r="E1160" t="s">
        <v>15</v>
      </c>
      <c r="F1160">
        <v>93034</v>
      </c>
      <c r="G1160" t="s">
        <v>16</v>
      </c>
      <c r="H1160">
        <v>78449.119999999995</v>
      </c>
      <c r="I1160" t="s">
        <v>59</v>
      </c>
      <c r="J1160" t="s">
        <v>32</v>
      </c>
      <c r="K1160" t="s">
        <v>19</v>
      </c>
      <c r="L1160">
        <v>13</v>
      </c>
      <c r="M1160">
        <v>0.84</v>
      </c>
      <c r="N1160" t="s">
        <v>33</v>
      </c>
    </row>
    <row r="1161" spans="1:14" x14ac:dyDescent="0.25">
      <c r="A1161">
        <v>1160</v>
      </c>
      <c r="B1161" t="s">
        <v>52</v>
      </c>
      <c r="C1161">
        <v>2019</v>
      </c>
      <c r="D1161">
        <v>4.2</v>
      </c>
      <c r="E1161" t="s">
        <v>27</v>
      </c>
      <c r="F1161">
        <v>58097</v>
      </c>
      <c r="G1161" t="s">
        <v>22</v>
      </c>
      <c r="H1161">
        <v>13322.64</v>
      </c>
      <c r="I1161" t="s">
        <v>53</v>
      </c>
      <c r="J1161" t="s">
        <v>32</v>
      </c>
      <c r="K1161" t="s">
        <v>19</v>
      </c>
      <c r="L1161">
        <v>7</v>
      </c>
      <c r="M1161">
        <v>0.23</v>
      </c>
      <c r="N1161" t="s">
        <v>33</v>
      </c>
    </row>
    <row r="1162" spans="1:14" x14ac:dyDescent="0.25">
      <c r="A1162">
        <v>1161</v>
      </c>
      <c r="B1162" t="s">
        <v>24</v>
      </c>
      <c r="C1162">
        <v>2013</v>
      </c>
      <c r="D1162">
        <v>3.3</v>
      </c>
      <c r="E1162" t="s">
        <v>27</v>
      </c>
      <c r="F1162">
        <v>184885</v>
      </c>
      <c r="G1162" t="s">
        <v>22</v>
      </c>
      <c r="H1162">
        <v>41249.71</v>
      </c>
      <c r="I1162" t="s">
        <v>34</v>
      </c>
      <c r="J1162" t="s">
        <v>18</v>
      </c>
      <c r="K1162" t="s">
        <v>26</v>
      </c>
      <c r="L1162">
        <v>13</v>
      </c>
      <c r="M1162">
        <v>0.22</v>
      </c>
      <c r="N1162" t="s">
        <v>20</v>
      </c>
    </row>
    <row r="1163" spans="1:14" x14ac:dyDescent="0.25">
      <c r="A1163">
        <v>1162</v>
      </c>
      <c r="B1163" t="s">
        <v>43</v>
      </c>
      <c r="C1163">
        <v>2003</v>
      </c>
      <c r="D1163">
        <v>1.9</v>
      </c>
      <c r="E1163" t="s">
        <v>15</v>
      </c>
      <c r="F1163">
        <v>287181</v>
      </c>
      <c r="G1163" t="s">
        <v>16</v>
      </c>
      <c r="H1163">
        <v>53135.37</v>
      </c>
      <c r="I1163" t="s">
        <v>55</v>
      </c>
      <c r="J1163" t="s">
        <v>41</v>
      </c>
      <c r="K1163" t="s">
        <v>26</v>
      </c>
      <c r="L1163">
        <v>23</v>
      </c>
      <c r="M1163">
        <v>0.19</v>
      </c>
      <c r="N1163" t="s">
        <v>20</v>
      </c>
    </row>
    <row r="1164" spans="1:14" x14ac:dyDescent="0.25">
      <c r="A1164">
        <v>1163</v>
      </c>
      <c r="B1164" t="s">
        <v>24</v>
      </c>
      <c r="C1164">
        <v>2011</v>
      </c>
      <c r="D1164">
        <v>4.5</v>
      </c>
      <c r="E1164" t="s">
        <v>15</v>
      </c>
      <c r="F1164">
        <v>27278</v>
      </c>
      <c r="G1164" t="s">
        <v>30</v>
      </c>
      <c r="H1164">
        <v>30530.959999999999</v>
      </c>
      <c r="I1164" t="s">
        <v>34</v>
      </c>
      <c r="J1164" t="s">
        <v>18</v>
      </c>
      <c r="K1164" t="s">
        <v>50</v>
      </c>
      <c r="L1164">
        <v>15</v>
      </c>
      <c r="M1164">
        <v>1.1200000000000001</v>
      </c>
      <c r="N1164" t="s">
        <v>20</v>
      </c>
    </row>
    <row r="1165" spans="1:14" x14ac:dyDescent="0.25">
      <c r="A1165">
        <v>1164</v>
      </c>
      <c r="B1165" t="s">
        <v>43</v>
      </c>
      <c r="C1165">
        <v>2016</v>
      </c>
      <c r="D1165">
        <v>3.8</v>
      </c>
      <c r="E1165" t="s">
        <v>15</v>
      </c>
      <c r="F1165">
        <v>139344</v>
      </c>
      <c r="G1165" t="s">
        <v>30</v>
      </c>
      <c r="H1165">
        <v>55309.95</v>
      </c>
      <c r="I1165" t="s">
        <v>48</v>
      </c>
      <c r="J1165" t="s">
        <v>18</v>
      </c>
      <c r="K1165" t="s">
        <v>19</v>
      </c>
      <c r="L1165">
        <v>10</v>
      </c>
      <c r="M1165">
        <v>0.4</v>
      </c>
      <c r="N1165" t="s">
        <v>20</v>
      </c>
    </row>
    <row r="1166" spans="1:14" x14ac:dyDescent="0.25">
      <c r="A1166">
        <v>1165</v>
      </c>
      <c r="B1166" t="s">
        <v>43</v>
      </c>
      <c r="C1166">
        <v>2006</v>
      </c>
      <c r="D1166">
        <v>2.8</v>
      </c>
      <c r="E1166" t="s">
        <v>27</v>
      </c>
      <c r="F1166">
        <v>73277</v>
      </c>
      <c r="G1166" t="s">
        <v>22</v>
      </c>
      <c r="H1166">
        <v>88848.37</v>
      </c>
      <c r="I1166" t="s">
        <v>48</v>
      </c>
      <c r="J1166" t="s">
        <v>18</v>
      </c>
      <c r="K1166" t="s">
        <v>19</v>
      </c>
      <c r="L1166">
        <v>20</v>
      </c>
      <c r="M1166">
        <v>1.21</v>
      </c>
      <c r="N1166" t="s">
        <v>20</v>
      </c>
    </row>
    <row r="1167" spans="1:14" x14ac:dyDescent="0.25">
      <c r="A1167">
        <v>1166</v>
      </c>
      <c r="B1167" t="s">
        <v>14</v>
      </c>
      <c r="C1167">
        <v>2008</v>
      </c>
      <c r="D1167">
        <v>5.6</v>
      </c>
      <c r="E1167" t="s">
        <v>15</v>
      </c>
      <c r="F1167">
        <v>4694</v>
      </c>
      <c r="G1167" t="s">
        <v>16</v>
      </c>
      <c r="H1167">
        <v>94721.61</v>
      </c>
      <c r="I1167" t="s">
        <v>39</v>
      </c>
      <c r="J1167" t="s">
        <v>18</v>
      </c>
      <c r="K1167" t="s">
        <v>50</v>
      </c>
      <c r="L1167">
        <v>18</v>
      </c>
      <c r="M1167">
        <v>20.18</v>
      </c>
      <c r="N1167" t="s">
        <v>20</v>
      </c>
    </row>
    <row r="1168" spans="1:14" x14ac:dyDescent="0.25">
      <c r="A1168">
        <v>1167</v>
      </c>
      <c r="B1168" t="s">
        <v>21</v>
      </c>
      <c r="C1168">
        <v>2002</v>
      </c>
      <c r="D1168">
        <v>1.1000000000000001</v>
      </c>
      <c r="E1168" t="s">
        <v>15</v>
      </c>
      <c r="F1168">
        <v>58150</v>
      </c>
      <c r="G1168" t="s">
        <v>30</v>
      </c>
      <c r="H1168">
        <v>14552.91</v>
      </c>
      <c r="I1168" t="s">
        <v>60</v>
      </c>
      <c r="J1168" t="s">
        <v>46</v>
      </c>
      <c r="K1168" t="s">
        <v>19</v>
      </c>
      <c r="L1168">
        <v>24</v>
      </c>
      <c r="M1168">
        <v>0.25</v>
      </c>
      <c r="N1168" t="s">
        <v>20</v>
      </c>
    </row>
    <row r="1169" spans="1:14" x14ac:dyDescent="0.25">
      <c r="A1169">
        <v>1168</v>
      </c>
      <c r="B1169" t="s">
        <v>43</v>
      </c>
      <c r="C1169">
        <v>2012</v>
      </c>
      <c r="D1169">
        <v>2.6</v>
      </c>
      <c r="E1169" t="s">
        <v>27</v>
      </c>
      <c r="F1169">
        <v>67470</v>
      </c>
      <c r="G1169" t="s">
        <v>22</v>
      </c>
      <c r="H1169">
        <v>30825.360000000001</v>
      </c>
      <c r="I1169" t="s">
        <v>44</v>
      </c>
      <c r="J1169" t="s">
        <v>18</v>
      </c>
      <c r="K1169" t="s">
        <v>19</v>
      </c>
      <c r="L1169">
        <v>14</v>
      </c>
      <c r="M1169">
        <v>0.46</v>
      </c>
      <c r="N1169" t="s">
        <v>20</v>
      </c>
    </row>
    <row r="1170" spans="1:14" x14ac:dyDescent="0.25">
      <c r="A1170">
        <v>1169</v>
      </c>
      <c r="B1170" t="s">
        <v>29</v>
      </c>
      <c r="C1170">
        <v>2014</v>
      </c>
      <c r="D1170">
        <v>1.3</v>
      </c>
      <c r="E1170" t="s">
        <v>15</v>
      </c>
      <c r="F1170">
        <v>21556</v>
      </c>
      <c r="G1170" t="s">
        <v>16</v>
      </c>
      <c r="H1170">
        <v>98017.72</v>
      </c>
      <c r="I1170" t="s">
        <v>38</v>
      </c>
      <c r="J1170" t="s">
        <v>41</v>
      </c>
      <c r="K1170" t="s">
        <v>50</v>
      </c>
      <c r="L1170">
        <v>12</v>
      </c>
      <c r="M1170">
        <v>4.55</v>
      </c>
      <c r="N1170" t="s">
        <v>33</v>
      </c>
    </row>
    <row r="1171" spans="1:14" x14ac:dyDescent="0.25">
      <c r="A1171">
        <v>1170</v>
      </c>
      <c r="B1171" t="s">
        <v>43</v>
      </c>
      <c r="C1171">
        <v>2017</v>
      </c>
      <c r="D1171">
        <v>4.8</v>
      </c>
      <c r="E1171" t="s">
        <v>27</v>
      </c>
      <c r="F1171">
        <v>195543</v>
      </c>
      <c r="G1171" t="s">
        <v>22</v>
      </c>
      <c r="H1171">
        <v>30689.75</v>
      </c>
      <c r="I1171" t="s">
        <v>55</v>
      </c>
      <c r="J1171" t="s">
        <v>18</v>
      </c>
      <c r="K1171" t="s">
        <v>26</v>
      </c>
      <c r="L1171">
        <v>9</v>
      </c>
      <c r="M1171">
        <v>0.16</v>
      </c>
      <c r="N1171" t="s">
        <v>20</v>
      </c>
    </row>
    <row r="1172" spans="1:14" x14ac:dyDescent="0.25">
      <c r="A1172">
        <v>1171</v>
      </c>
      <c r="B1172" t="s">
        <v>43</v>
      </c>
      <c r="C1172">
        <v>2018</v>
      </c>
      <c r="D1172">
        <v>4.5</v>
      </c>
      <c r="E1172" t="s">
        <v>27</v>
      </c>
      <c r="F1172">
        <v>49086</v>
      </c>
      <c r="G1172" t="s">
        <v>16</v>
      </c>
      <c r="H1172">
        <v>70807.199999999997</v>
      </c>
      <c r="I1172" t="s">
        <v>48</v>
      </c>
      <c r="J1172" t="s">
        <v>32</v>
      </c>
      <c r="K1172" t="s">
        <v>50</v>
      </c>
      <c r="L1172">
        <v>8</v>
      </c>
      <c r="M1172">
        <v>1.44</v>
      </c>
      <c r="N1172" t="s">
        <v>20</v>
      </c>
    </row>
    <row r="1173" spans="1:14" x14ac:dyDescent="0.25">
      <c r="A1173">
        <v>1172</v>
      </c>
      <c r="B1173" t="s">
        <v>43</v>
      </c>
      <c r="C1173">
        <v>2000</v>
      </c>
      <c r="D1173">
        <v>2.7</v>
      </c>
      <c r="E1173" t="s">
        <v>27</v>
      </c>
      <c r="F1173">
        <v>149979</v>
      </c>
      <c r="G1173" t="s">
        <v>30</v>
      </c>
      <c r="H1173">
        <v>29078.1</v>
      </c>
      <c r="I1173" t="s">
        <v>49</v>
      </c>
      <c r="J1173" t="s">
        <v>46</v>
      </c>
      <c r="K1173" t="s">
        <v>19</v>
      </c>
      <c r="L1173">
        <v>26</v>
      </c>
      <c r="M1173">
        <v>0.19</v>
      </c>
      <c r="N1173" t="s">
        <v>20</v>
      </c>
    </row>
    <row r="1174" spans="1:14" x14ac:dyDescent="0.25">
      <c r="A1174">
        <v>1173</v>
      </c>
      <c r="B1174" t="s">
        <v>14</v>
      </c>
      <c r="C1174">
        <v>2005</v>
      </c>
      <c r="D1174">
        <v>4.4000000000000004</v>
      </c>
      <c r="E1174" t="s">
        <v>15</v>
      </c>
      <c r="F1174">
        <v>248399</v>
      </c>
      <c r="G1174" t="s">
        <v>30</v>
      </c>
      <c r="H1174">
        <v>38854.730000000003</v>
      </c>
      <c r="I1174" t="s">
        <v>39</v>
      </c>
      <c r="J1174" t="s">
        <v>18</v>
      </c>
      <c r="K1174" t="s">
        <v>26</v>
      </c>
      <c r="L1174">
        <v>21</v>
      </c>
      <c r="M1174">
        <v>0.16</v>
      </c>
      <c r="N1174" t="s">
        <v>20</v>
      </c>
    </row>
    <row r="1175" spans="1:14" x14ac:dyDescent="0.25">
      <c r="A1175">
        <v>1174</v>
      </c>
      <c r="B1175" t="s">
        <v>14</v>
      </c>
      <c r="C1175">
        <v>2022</v>
      </c>
      <c r="D1175">
        <v>3</v>
      </c>
      <c r="E1175" t="s">
        <v>15</v>
      </c>
      <c r="F1175">
        <v>179559</v>
      </c>
      <c r="G1175" t="s">
        <v>22</v>
      </c>
      <c r="H1175">
        <v>23171.5</v>
      </c>
      <c r="I1175" t="s">
        <v>58</v>
      </c>
      <c r="J1175" t="s">
        <v>18</v>
      </c>
      <c r="K1175" t="s">
        <v>26</v>
      </c>
      <c r="L1175">
        <v>4</v>
      </c>
      <c r="M1175">
        <v>0.13</v>
      </c>
      <c r="N1175" t="s">
        <v>20</v>
      </c>
    </row>
    <row r="1176" spans="1:14" x14ac:dyDescent="0.25">
      <c r="A1176">
        <v>1175</v>
      </c>
      <c r="B1176" t="s">
        <v>52</v>
      </c>
      <c r="C1176">
        <v>2001</v>
      </c>
      <c r="D1176">
        <v>4.8</v>
      </c>
      <c r="E1176" t="s">
        <v>27</v>
      </c>
      <c r="F1176">
        <v>99468</v>
      </c>
      <c r="G1176" t="s">
        <v>30</v>
      </c>
      <c r="H1176">
        <v>86348.52</v>
      </c>
      <c r="I1176" t="s">
        <v>53</v>
      </c>
      <c r="J1176" t="s">
        <v>18</v>
      </c>
      <c r="K1176" t="s">
        <v>19</v>
      </c>
      <c r="L1176">
        <v>25</v>
      </c>
      <c r="M1176">
        <v>0.87</v>
      </c>
      <c r="N1176" t="s">
        <v>33</v>
      </c>
    </row>
    <row r="1177" spans="1:14" x14ac:dyDescent="0.25">
      <c r="A1177">
        <v>1176</v>
      </c>
      <c r="B1177" t="s">
        <v>14</v>
      </c>
      <c r="C1177">
        <v>2023</v>
      </c>
      <c r="D1177">
        <v>3.3</v>
      </c>
      <c r="E1177" t="s">
        <v>15</v>
      </c>
      <c r="F1177">
        <v>295531</v>
      </c>
      <c r="G1177" t="s">
        <v>30</v>
      </c>
      <c r="H1177">
        <v>88851.63</v>
      </c>
      <c r="I1177" t="s">
        <v>17</v>
      </c>
      <c r="J1177" t="s">
        <v>18</v>
      </c>
      <c r="K1177" t="s">
        <v>26</v>
      </c>
      <c r="L1177">
        <v>3</v>
      </c>
      <c r="M1177">
        <v>0.3</v>
      </c>
      <c r="N1177" t="s">
        <v>20</v>
      </c>
    </row>
    <row r="1178" spans="1:14" x14ac:dyDescent="0.25">
      <c r="A1178">
        <v>1177</v>
      </c>
      <c r="B1178" t="s">
        <v>29</v>
      </c>
      <c r="C1178">
        <v>2013</v>
      </c>
      <c r="D1178">
        <v>3.1</v>
      </c>
      <c r="E1178" t="s">
        <v>27</v>
      </c>
      <c r="F1178">
        <v>68602</v>
      </c>
      <c r="G1178" t="s">
        <v>16</v>
      </c>
      <c r="H1178">
        <v>33206.69</v>
      </c>
      <c r="I1178" t="s">
        <v>62</v>
      </c>
      <c r="J1178" t="s">
        <v>41</v>
      </c>
      <c r="K1178" t="s">
        <v>19</v>
      </c>
      <c r="L1178">
        <v>13</v>
      </c>
      <c r="M1178">
        <v>0.48</v>
      </c>
      <c r="N1178" t="s">
        <v>33</v>
      </c>
    </row>
    <row r="1179" spans="1:14" x14ac:dyDescent="0.25">
      <c r="A1179">
        <v>1178</v>
      </c>
      <c r="B1179" t="s">
        <v>29</v>
      </c>
      <c r="C1179">
        <v>2005</v>
      </c>
      <c r="D1179">
        <v>5.7</v>
      </c>
      <c r="E1179" t="s">
        <v>15</v>
      </c>
      <c r="F1179">
        <v>2460</v>
      </c>
      <c r="G1179" t="s">
        <v>30</v>
      </c>
      <c r="H1179">
        <v>83241.03</v>
      </c>
      <c r="I1179" t="s">
        <v>31</v>
      </c>
      <c r="J1179" t="s">
        <v>32</v>
      </c>
      <c r="K1179" t="s">
        <v>50</v>
      </c>
      <c r="L1179">
        <v>21</v>
      </c>
      <c r="M1179">
        <v>33.840000000000003</v>
      </c>
      <c r="N1179" t="s">
        <v>33</v>
      </c>
    </row>
    <row r="1180" spans="1:14" x14ac:dyDescent="0.25">
      <c r="A1180">
        <v>1179</v>
      </c>
      <c r="B1180" t="s">
        <v>14</v>
      </c>
      <c r="C1180">
        <v>2013</v>
      </c>
      <c r="D1180">
        <v>2.2999999999999998</v>
      </c>
      <c r="E1180" t="s">
        <v>27</v>
      </c>
      <c r="F1180">
        <v>72356</v>
      </c>
      <c r="G1180" t="s">
        <v>16</v>
      </c>
      <c r="H1180">
        <v>39032.959999999999</v>
      </c>
      <c r="I1180" t="s">
        <v>58</v>
      </c>
      <c r="J1180" t="s">
        <v>18</v>
      </c>
      <c r="K1180" t="s">
        <v>19</v>
      </c>
      <c r="L1180">
        <v>13</v>
      </c>
      <c r="M1180">
        <v>0.54</v>
      </c>
      <c r="N1180" t="s">
        <v>20</v>
      </c>
    </row>
    <row r="1181" spans="1:14" x14ac:dyDescent="0.25">
      <c r="A1181">
        <v>1180</v>
      </c>
      <c r="B1181" t="s">
        <v>24</v>
      </c>
      <c r="C1181">
        <v>2003</v>
      </c>
      <c r="D1181">
        <v>1.6</v>
      </c>
      <c r="E1181" t="s">
        <v>27</v>
      </c>
      <c r="F1181">
        <v>259925</v>
      </c>
      <c r="G1181" t="s">
        <v>16</v>
      </c>
      <c r="H1181">
        <v>14406.85</v>
      </c>
      <c r="I1181" t="s">
        <v>34</v>
      </c>
      <c r="J1181" t="s">
        <v>18</v>
      </c>
      <c r="K1181" t="s">
        <v>26</v>
      </c>
      <c r="L1181">
        <v>23</v>
      </c>
      <c r="M1181">
        <v>0.06</v>
      </c>
      <c r="N1181" t="s">
        <v>20</v>
      </c>
    </row>
    <row r="1182" spans="1:14" x14ac:dyDescent="0.25">
      <c r="A1182">
        <v>1181</v>
      </c>
      <c r="B1182" t="s">
        <v>21</v>
      </c>
      <c r="C1182">
        <v>2020</v>
      </c>
      <c r="D1182">
        <v>3.9</v>
      </c>
      <c r="E1182" t="s">
        <v>15</v>
      </c>
      <c r="F1182">
        <v>16191</v>
      </c>
      <c r="G1182" t="s">
        <v>22</v>
      </c>
      <c r="H1182">
        <v>77017.259999999995</v>
      </c>
      <c r="I1182" t="s">
        <v>47</v>
      </c>
      <c r="J1182" t="s">
        <v>18</v>
      </c>
      <c r="K1182" t="s">
        <v>50</v>
      </c>
      <c r="L1182">
        <v>6</v>
      </c>
      <c r="M1182">
        <v>4.76</v>
      </c>
      <c r="N1182" t="s">
        <v>20</v>
      </c>
    </row>
    <row r="1183" spans="1:14" x14ac:dyDescent="0.25">
      <c r="A1183">
        <v>1182</v>
      </c>
      <c r="B1183" t="s">
        <v>14</v>
      </c>
      <c r="C1183">
        <v>2007</v>
      </c>
      <c r="D1183">
        <v>5.8</v>
      </c>
      <c r="E1183" t="s">
        <v>15</v>
      </c>
      <c r="F1183">
        <v>84631</v>
      </c>
      <c r="G1183" t="s">
        <v>16</v>
      </c>
      <c r="H1183">
        <v>61662.39</v>
      </c>
      <c r="I1183" t="s">
        <v>58</v>
      </c>
      <c r="J1183" t="s">
        <v>18</v>
      </c>
      <c r="K1183" t="s">
        <v>19</v>
      </c>
      <c r="L1183">
        <v>19</v>
      </c>
      <c r="M1183">
        <v>0.73</v>
      </c>
      <c r="N1183" t="s">
        <v>20</v>
      </c>
    </row>
    <row r="1184" spans="1:14" x14ac:dyDescent="0.25">
      <c r="A1184">
        <v>1183</v>
      </c>
      <c r="B1184" t="s">
        <v>43</v>
      </c>
      <c r="C1184">
        <v>2002</v>
      </c>
      <c r="D1184">
        <v>2.9</v>
      </c>
      <c r="E1184" t="s">
        <v>15</v>
      </c>
      <c r="F1184">
        <v>245702</v>
      </c>
      <c r="G1184" t="s">
        <v>30</v>
      </c>
      <c r="H1184">
        <v>31066.33</v>
      </c>
      <c r="I1184" t="s">
        <v>49</v>
      </c>
      <c r="J1184" t="s">
        <v>32</v>
      </c>
      <c r="K1184" t="s">
        <v>26</v>
      </c>
      <c r="L1184">
        <v>24</v>
      </c>
      <c r="M1184">
        <v>0.13</v>
      </c>
      <c r="N1184" t="s">
        <v>20</v>
      </c>
    </row>
    <row r="1185" spans="1:14" x14ac:dyDescent="0.25">
      <c r="A1185">
        <v>1184</v>
      </c>
      <c r="B1185" t="s">
        <v>36</v>
      </c>
      <c r="C1185">
        <v>2018</v>
      </c>
      <c r="D1185">
        <v>1.3</v>
      </c>
      <c r="E1185" t="s">
        <v>15</v>
      </c>
      <c r="F1185">
        <v>272673</v>
      </c>
      <c r="G1185" t="s">
        <v>16</v>
      </c>
      <c r="H1185">
        <v>29034.98</v>
      </c>
      <c r="I1185" t="s">
        <v>57</v>
      </c>
      <c r="J1185" t="s">
        <v>41</v>
      </c>
      <c r="K1185" t="s">
        <v>26</v>
      </c>
      <c r="L1185">
        <v>8</v>
      </c>
      <c r="M1185">
        <v>0.11</v>
      </c>
      <c r="N1185" t="s">
        <v>33</v>
      </c>
    </row>
    <row r="1186" spans="1:14" x14ac:dyDescent="0.25">
      <c r="A1186">
        <v>1185</v>
      </c>
      <c r="B1186" t="s">
        <v>21</v>
      </c>
      <c r="C1186">
        <v>2013</v>
      </c>
      <c r="D1186">
        <v>2.7</v>
      </c>
      <c r="E1186" t="s">
        <v>27</v>
      </c>
      <c r="F1186">
        <v>32175</v>
      </c>
      <c r="G1186" t="s">
        <v>16</v>
      </c>
      <c r="H1186">
        <v>97684.22</v>
      </c>
      <c r="I1186" t="s">
        <v>60</v>
      </c>
      <c r="J1186" t="s">
        <v>46</v>
      </c>
      <c r="K1186" t="s">
        <v>50</v>
      </c>
      <c r="L1186">
        <v>13</v>
      </c>
      <c r="M1186">
        <v>3.04</v>
      </c>
      <c r="N1186" t="s">
        <v>20</v>
      </c>
    </row>
    <row r="1187" spans="1:14" x14ac:dyDescent="0.25">
      <c r="A1187">
        <v>1186</v>
      </c>
      <c r="B1187" t="s">
        <v>21</v>
      </c>
      <c r="C1187">
        <v>2019</v>
      </c>
      <c r="D1187">
        <v>3.5</v>
      </c>
      <c r="E1187" t="s">
        <v>27</v>
      </c>
      <c r="F1187">
        <v>279819</v>
      </c>
      <c r="G1187" t="s">
        <v>22</v>
      </c>
      <c r="H1187">
        <v>86937.600000000006</v>
      </c>
      <c r="I1187" t="s">
        <v>23</v>
      </c>
      <c r="J1187" t="s">
        <v>46</v>
      </c>
      <c r="K1187" t="s">
        <v>26</v>
      </c>
      <c r="L1187">
        <v>7</v>
      </c>
      <c r="M1187">
        <v>0.31</v>
      </c>
      <c r="N1187" t="s">
        <v>20</v>
      </c>
    </row>
    <row r="1188" spans="1:14" x14ac:dyDescent="0.25">
      <c r="A1188">
        <v>1187</v>
      </c>
      <c r="B1188" t="s">
        <v>29</v>
      </c>
      <c r="C1188">
        <v>2016</v>
      </c>
      <c r="D1188">
        <v>1.8</v>
      </c>
      <c r="E1188" t="s">
        <v>15</v>
      </c>
      <c r="F1188">
        <v>157048</v>
      </c>
      <c r="G1188" t="s">
        <v>30</v>
      </c>
      <c r="H1188">
        <v>81930.84</v>
      </c>
      <c r="I1188" t="s">
        <v>62</v>
      </c>
      <c r="J1188" t="s">
        <v>46</v>
      </c>
      <c r="K1188" t="s">
        <v>26</v>
      </c>
      <c r="L1188">
        <v>10</v>
      </c>
      <c r="M1188">
        <v>0.52</v>
      </c>
      <c r="N1188" t="s">
        <v>33</v>
      </c>
    </row>
    <row r="1189" spans="1:14" x14ac:dyDescent="0.25">
      <c r="A1189">
        <v>1188</v>
      </c>
      <c r="B1189" t="s">
        <v>21</v>
      </c>
      <c r="C1189">
        <v>2007</v>
      </c>
      <c r="D1189">
        <v>4.3</v>
      </c>
      <c r="E1189" t="s">
        <v>15</v>
      </c>
      <c r="F1189">
        <v>194188</v>
      </c>
      <c r="G1189" t="s">
        <v>30</v>
      </c>
      <c r="H1189">
        <v>17161.68</v>
      </c>
      <c r="I1189" t="s">
        <v>42</v>
      </c>
      <c r="J1189" t="s">
        <v>46</v>
      </c>
      <c r="K1189" t="s">
        <v>26</v>
      </c>
      <c r="L1189">
        <v>19</v>
      </c>
      <c r="M1189">
        <v>0.09</v>
      </c>
      <c r="N1189" t="s">
        <v>20</v>
      </c>
    </row>
    <row r="1190" spans="1:14" x14ac:dyDescent="0.25">
      <c r="A1190">
        <v>1189</v>
      </c>
      <c r="B1190" t="s">
        <v>14</v>
      </c>
      <c r="C1190">
        <v>2023</v>
      </c>
      <c r="D1190">
        <v>6</v>
      </c>
      <c r="E1190" t="s">
        <v>27</v>
      </c>
      <c r="F1190">
        <v>62821</v>
      </c>
      <c r="G1190" t="s">
        <v>30</v>
      </c>
      <c r="H1190">
        <v>76742.789999999994</v>
      </c>
      <c r="I1190" t="s">
        <v>28</v>
      </c>
      <c r="J1190" t="s">
        <v>18</v>
      </c>
      <c r="K1190" t="s">
        <v>19</v>
      </c>
      <c r="L1190">
        <v>3</v>
      </c>
      <c r="M1190">
        <v>1.22</v>
      </c>
      <c r="N1190" t="s">
        <v>20</v>
      </c>
    </row>
    <row r="1191" spans="1:14" x14ac:dyDescent="0.25">
      <c r="A1191">
        <v>1190</v>
      </c>
      <c r="B1191" t="s">
        <v>43</v>
      </c>
      <c r="C1191">
        <v>2013</v>
      </c>
      <c r="D1191">
        <v>3.3</v>
      </c>
      <c r="E1191" t="s">
        <v>15</v>
      </c>
      <c r="F1191">
        <v>12204</v>
      </c>
      <c r="G1191" t="s">
        <v>16</v>
      </c>
      <c r="H1191">
        <v>25381.32</v>
      </c>
      <c r="I1191" t="s">
        <v>48</v>
      </c>
      <c r="J1191" t="s">
        <v>18</v>
      </c>
      <c r="K1191" t="s">
        <v>50</v>
      </c>
      <c r="L1191">
        <v>13</v>
      </c>
      <c r="M1191">
        <v>2.08</v>
      </c>
      <c r="N1191" t="s">
        <v>20</v>
      </c>
    </row>
    <row r="1192" spans="1:14" x14ac:dyDescent="0.25">
      <c r="A1192">
        <v>1191</v>
      </c>
      <c r="B1192" t="s">
        <v>43</v>
      </c>
      <c r="C1192">
        <v>2005</v>
      </c>
      <c r="D1192">
        <v>2.8</v>
      </c>
      <c r="E1192" t="s">
        <v>15</v>
      </c>
      <c r="F1192">
        <v>269538</v>
      </c>
      <c r="G1192" t="s">
        <v>30</v>
      </c>
      <c r="H1192">
        <v>97851.95</v>
      </c>
      <c r="I1192" t="s">
        <v>44</v>
      </c>
      <c r="J1192" t="s">
        <v>41</v>
      </c>
      <c r="K1192" t="s">
        <v>26</v>
      </c>
      <c r="L1192">
        <v>21</v>
      </c>
      <c r="M1192">
        <v>0.36</v>
      </c>
      <c r="N1192" t="s">
        <v>20</v>
      </c>
    </row>
    <row r="1193" spans="1:14" x14ac:dyDescent="0.25">
      <c r="A1193">
        <v>1192</v>
      </c>
      <c r="B1193" t="s">
        <v>52</v>
      </c>
      <c r="C1193">
        <v>2022</v>
      </c>
      <c r="D1193">
        <v>3</v>
      </c>
      <c r="E1193" t="s">
        <v>15</v>
      </c>
      <c r="F1193">
        <v>246464</v>
      </c>
      <c r="G1193" t="s">
        <v>30</v>
      </c>
      <c r="H1193">
        <v>9948.4699999999993</v>
      </c>
      <c r="I1193" t="s">
        <v>61</v>
      </c>
      <c r="J1193" t="s">
        <v>41</v>
      </c>
      <c r="K1193" t="s">
        <v>26</v>
      </c>
      <c r="L1193">
        <v>4</v>
      </c>
      <c r="M1193">
        <v>0.04</v>
      </c>
      <c r="N1193" t="s">
        <v>33</v>
      </c>
    </row>
    <row r="1194" spans="1:14" x14ac:dyDescent="0.25">
      <c r="A1194">
        <v>1193</v>
      </c>
      <c r="B1194" t="s">
        <v>43</v>
      </c>
      <c r="C1194">
        <v>2021</v>
      </c>
      <c r="D1194">
        <v>1.6</v>
      </c>
      <c r="E1194" t="s">
        <v>15</v>
      </c>
      <c r="F1194">
        <v>33593</v>
      </c>
      <c r="G1194" t="s">
        <v>16</v>
      </c>
      <c r="H1194">
        <v>38453.160000000003</v>
      </c>
      <c r="I1194" t="s">
        <v>49</v>
      </c>
      <c r="J1194" t="s">
        <v>46</v>
      </c>
      <c r="K1194" t="s">
        <v>50</v>
      </c>
      <c r="L1194">
        <v>5</v>
      </c>
      <c r="M1194">
        <v>1.1399999999999999</v>
      </c>
      <c r="N1194" t="s">
        <v>20</v>
      </c>
    </row>
    <row r="1195" spans="1:14" x14ac:dyDescent="0.25">
      <c r="A1195">
        <v>1194</v>
      </c>
      <c r="B1195" t="s">
        <v>43</v>
      </c>
      <c r="C1195">
        <v>2015</v>
      </c>
      <c r="D1195">
        <v>5.4</v>
      </c>
      <c r="E1195" t="s">
        <v>27</v>
      </c>
      <c r="F1195">
        <v>208260</v>
      </c>
      <c r="G1195" t="s">
        <v>22</v>
      </c>
      <c r="H1195">
        <v>45721.54</v>
      </c>
      <c r="I1195" t="s">
        <v>55</v>
      </c>
      <c r="J1195" t="s">
        <v>46</v>
      </c>
      <c r="K1195" t="s">
        <v>26</v>
      </c>
      <c r="L1195">
        <v>11</v>
      </c>
      <c r="M1195">
        <v>0.22</v>
      </c>
      <c r="N1195" t="s">
        <v>20</v>
      </c>
    </row>
    <row r="1196" spans="1:14" x14ac:dyDescent="0.25">
      <c r="A1196">
        <v>1195</v>
      </c>
      <c r="B1196" t="s">
        <v>29</v>
      </c>
      <c r="C1196">
        <v>2018</v>
      </c>
      <c r="D1196">
        <v>3.1</v>
      </c>
      <c r="E1196" t="s">
        <v>27</v>
      </c>
      <c r="F1196">
        <v>115064</v>
      </c>
      <c r="G1196" t="s">
        <v>22</v>
      </c>
      <c r="H1196">
        <v>83299.28</v>
      </c>
      <c r="I1196" t="s">
        <v>31</v>
      </c>
      <c r="J1196" t="s">
        <v>32</v>
      </c>
      <c r="K1196" t="s">
        <v>19</v>
      </c>
      <c r="L1196">
        <v>8</v>
      </c>
      <c r="M1196">
        <v>0.72</v>
      </c>
      <c r="N1196" t="s">
        <v>33</v>
      </c>
    </row>
    <row r="1197" spans="1:14" x14ac:dyDescent="0.25">
      <c r="A1197">
        <v>1196</v>
      </c>
      <c r="B1197" t="s">
        <v>43</v>
      </c>
      <c r="C1197">
        <v>2013</v>
      </c>
      <c r="D1197">
        <v>2.9</v>
      </c>
      <c r="E1197" t="s">
        <v>15</v>
      </c>
      <c r="F1197">
        <v>53365</v>
      </c>
      <c r="G1197" t="s">
        <v>16</v>
      </c>
      <c r="H1197">
        <v>77791.17</v>
      </c>
      <c r="I1197" t="s">
        <v>49</v>
      </c>
      <c r="J1197" t="s">
        <v>46</v>
      </c>
      <c r="K1197" t="s">
        <v>19</v>
      </c>
      <c r="L1197">
        <v>13</v>
      </c>
      <c r="M1197">
        <v>1.46</v>
      </c>
      <c r="N1197" t="s">
        <v>20</v>
      </c>
    </row>
    <row r="1198" spans="1:14" x14ac:dyDescent="0.25">
      <c r="A1198">
        <v>1197</v>
      </c>
      <c r="B1198" t="s">
        <v>52</v>
      </c>
      <c r="C1198">
        <v>2018</v>
      </c>
      <c r="D1198">
        <v>4.3</v>
      </c>
      <c r="E1198" t="s">
        <v>27</v>
      </c>
      <c r="F1198">
        <v>240644</v>
      </c>
      <c r="G1198" t="s">
        <v>22</v>
      </c>
      <c r="H1198">
        <v>40624.25</v>
      </c>
      <c r="I1198" t="s">
        <v>61</v>
      </c>
      <c r="J1198" t="s">
        <v>41</v>
      </c>
      <c r="K1198" t="s">
        <v>26</v>
      </c>
      <c r="L1198">
        <v>8</v>
      </c>
      <c r="M1198">
        <v>0.17</v>
      </c>
      <c r="N1198" t="s">
        <v>33</v>
      </c>
    </row>
    <row r="1199" spans="1:14" x14ac:dyDescent="0.25">
      <c r="A1199">
        <v>1198</v>
      </c>
      <c r="B1199" t="s">
        <v>36</v>
      </c>
      <c r="C1199">
        <v>2002</v>
      </c>
      <c r="D1199">
        <v>3.2</v>
      </c>
      <c r="E1199" t="s">
        <v>15</v>
      </c>
      <c r="F1199">
        <v>220511</v>
      </c>
      <c r="G1199" t="s">
        <v>22</v>
      </c>
      <c r="H1199">
        <v>58728.23</v>
      </c>
      <c r="I1199" t="s">
        <v>51</v>
      </c>
      <c r="J1199" t="s">
        <v>41</v>
      </c>
      <c r="K1199" t="s">
        <v>26</v>
      </c>
      <c r="L1199">
        <v>24</v>
      </c>
      <c r="M1199">
        <v>0.27</v>
      </c>
      <c r="N1199" t="s">
        <v>33</v>
      </c>
    </row>
    <row r="1200" spans="1:14" x14ac:dyDescent="0.25">
      <c r="A1200">
        <v>1199</v>
      </c>
      <c r="B1200" t="s">
        <v>14</v>
      </c>
      <c r="C1200">
        <v>2009</v>
      </c>
      <c r="D1200">
        <v>4.2</v>
      </c>
      <c r="E1200" t="s">
        <v>15</v>
      </c>
      <c r="F1200">
        <v>206971</v>
      </c>
      <c r="G1200" t="s">
        <v>22</v>
      </c>
      <c r="H1200">
        <v>84381.54</v>
      </c>
      <c r="I1200" t="s">
        <v>17</v>
      </c>
      <c r="J1200" t="s">
        <v>18</v>
      </c>
      <c r="K1200" t="s">
        <v>26</v>
      </c>
      <c r="L1200">
        <v>17</v>
      </c>
      <c r="M1200">
        <v>0.41</v>
      </c>
      <c r="N1200" t="s">
        <v>20</v>
      </c>
    </row>
    <row r="1201" spans="1:14" x14ac:dyDescent="0.25">
      <c r="A1201">
        <v>1200</v>
      </c>
      <c r="B1201" t="s">
        <v>29</v>
      </c>
      <c r="C1201">
        <v>2018</v>
      </c>
      <c r="D1201">
        <v>1.3</v>
      </c>
      <c r="E1201" t="s">
        <v>15</v>
      </c>
      <c r="F1201">
        <v>103700</v>
      </c>
      <c r="G1201" t="s">
        <v>30</v>
      </c>
      <c r="H1201">
        <v>6728.96</v>
      </c>
      <c r="I1201" t="s">
        <v>31</v>
      </c>
      <c r="J1201" t="s">
        <v>18</v>
      </c>
      <c r="K1201" t="s">
        <v>19</v>
      </c>
      <c r="L1201">
        <v>8</v>
      </c>
      <c r="M1201">
        <v>0.06</v>
      </c>
      <c r="N1201" t="s">
        <v>33</v>
      </c>
    </row>
    <row r="1202" spans="1:14" x14ac:dyDescent="0.25">
      <c r="A1202">
        <v>1201</v>
      </c>
      <c r="B1202" t="s">
        <v>36</v>
      </c>
      <c r="C1202">
        <v>2008</v>
      </c>
      <c r="D1202">
        <v>5.0999999999999996</v>
      </c>
      <c r="E1202" t="s">
        <v>27</v>
      </c>
      <c r="F1202">
        <v>68247</v>
      </c>
      <c r="G1202" t="s">
        <v>22</v>
      </c>
      <c r="H1202">
        <v>81206.92</v>
      </c>
      <c r="I1202" t="s">
        <v>54</v>
      </c>
      <c r="J1202" t="s">
        <v>41</v>
      </c>
      <c r="K1202" t="s">
        <v>19</v>
      </c>
      <c r="L1202">
        <v>18</v>
      </c>
      <c r="M1202">
        <v>1.19</v>
      </c>
      <c r="N1202" t="s">
        <v>33</v>
      </c>
    </row>
    <row r="1203" spans="1:14" x14ac:dyDescent="0.25">
      <c r="A1203">
        <v>1202</v>
      </c>
      <c r="B1203" t="s">
        <v>29</v>
      </c>
      <c r="C1203">
        <v>2019</v>
      </c>
      <c r="D1203">
        <v>5.7</v>
      </c>
      <c r="E1203" t="s">
        <v>27</v>
      </c>
      <c r="F1203">
        <v>182631</v>
      </c>
      <c r="G1203" t="s">
        <v>30</v>
      </c>
      <c r="H1203">
        <v>94955.12</v>
      </c>
      <c r="I1203" t="s">
        <v>40</v>
      </c>
      <c r="J1203" t="s">
        <v>41</v>
      </c>
      <c r="K1203" t="s">
        <v>26</v>
      </c>
      <c r="L1203">
        <v>7</v>
      </c>
      <c r="M1203">
        <v>0.52</v>
      </c>
      <c r="N1203" t="s">
        <v>33</v>
      </c>
    </row>
    <row r="1204" spans="1:14" x14ac:dyDescent="0.25">
      <c r="A1204">
        <v>1203</v>
      </c>
      <c r="B1204" t="s">
        <v>24</v>
      </c>
      <c r="C1204">
        <v>2012</v>
      </c>
      <c r="D1204">
        <v>4.2</v>
      </c>
      <c r="E1204" t="s">
        <v>27</v>
      </c>
      <c r="F1204">
        <v>156270</v>
      </c>
      <c r="G1204" t="s">
        <v>22</v>
      </c>
      <c r="H1204">
        <v>8046.13</v>
      </c>
      <c r="I1204" t="s">
        <v>45</v>
      </c>
      <c r="J1204" t="s">
        <v>32</v>
      </c>
      <c r="K1204" t="s">
        <v>26</v>
      </c>
      <c r="L1204">
        <v>14</v>
      </c>
      <c r="M1204">
        <v>0.05</v>
      </c>
      <c r="N1204" t="s">
        <v>20</v>
      </c>
    </row>
    <row r="1205" spans="1:14" x14ac:dyDescent="0.25">
      <c r="A1205">
        <v>1204</v>
      </c>
      <c r="B1205" t="s">
        <v>21</v>
      </c>
      <c r="C1205">
        <v>2006</v>
      </c>
      <c r="D1205">
        <v>5.8</v>
      </c>
      <c r="E1205" t="s">
        <v>27</v>
      </c>
      <c r="F1205">
        <v>153560</v>
      </c>
      <c r="G1205" t="s">
        <v>30</v>
      </c>
      <c r="H1205">
        <v>9330.19</v>
      </c>
      <c r="I1205" t="s">
        <v>42</v>
      </c>
      <c r="J1205" t="s">
        <v>32</v>
      </c>
      <c r="K1205" t="s">
        <v>26</v>
      </c>
      <c r="L1205">
        <v>20</v>
      </c>
      <c r="M1205">
        <v>0.06</v>
      </c>
      <c r="N1205" t="s">
        <v>20</v>
      </c>
    </row>
    <row r="1206" spans="1:14" x14ac:dyDescent="0.25">
      <c r="A1206">
        <v>1205</v>
      </c>
      <c r="B1206" t="s">
        <v>24</v>
      </c>
      <c r="C1206">
        <v>2013</v>
      </c>
      <c r="D1206">
        <v>1.8</v>
      </c>
      <c r="E1206" t="s">
        <v>27</v>
      </c>
      <c r="F1206">
        <v>169587</v>
      </c>
      <c r="G1206" t="s">
        <v>16</v>
      </c>
      <c r="H1206">
        <v>37728.83</v>
      </c>
      <c r="I1206" t="s">
        <v>45</v>
      </c>
      <c r="J1206" t="s">
        <v>41</v>
      </c>
      <c r="K1206" t="s">
        <v>26</v>
      </c>
      <c r="L1206">
        <v>13</v>
      </c>
      <c r="M1206">
        <v>0.22</v>
      </c>
      <c r="N1206" t="s">
        <v>20</v>
      </c>
    </row>
    <row r="1207" spans="1:14" x14ac:dyDescent="0.25">
      <c r="A1207">
        <v>1206</v>
      </c>
      <c r="B1207" t="s">
        <v>43</v>
      </c>
      <c r="C1207">
        <v>2008</v>
      </c>
      <c r="D1207">
        <v>3.4</v>
      </c>
      <c r="E1207" t="s">
        <v>15</v>
      </c>
      <c r="F1207">
        <v>290042</v>
      </c>
      <c r="G1207" t="s">
        <v>16</v>
      </c>
      <c r="H1207">
        <v>13338.11</v>
      </c>
      <c r="I1207" t="s">
        <v>48</v>
      </c>
      <c r="J1207" t="s">
        <v>46</v>
      </c>
      <c r="K1207" t="s">
        <v>26</v>
      </c>
      <c r="L1207">
        <v>18</v>
      </c>
      <c r="M1207">
        <v>0.05</v>
      </c>
      <c r="N1207" t="s">
        <v>20</v>
      </c>
    </row>
    <row r="1208" spans="1:14" x14ac:dyDescent="0.25">
      <c r="A1208">
        <v>1207</v>
      </c>
      <c r="B1208" t="s">
        <v>36</v>
      </c>
      <c r="C1208">
        <v>2022</v>
      </c>
      <c r="D1208">
        <v>4</v>
      </c>
      <c r="E1208" t="s">
        <v>15</v>
      </c>
      <c r="F1208">
        <v>181142</v>
      </c>
      <c r="G1208" t="s">
        <v>22</v>
      </c>
      <c r="H1208">
        <v>50531.23</v>
      </c>
      <c r="I1208" t="s">
        <v>51</v>
      </c>
      <c r="J1208" t="s">
        <v>18</v>
      </c>
      <c r="K1208" t="s">
        <v>26</v>
      </c>
      <c r="L1208">
        <v>4</v>
      </c>
      <c r="M1208">
        <v>0.28000000000000003</v>
      </c>
      <c r="N1208" t="s">
        <v>33</v>
      </c>
    </row>
    <row r="1209" spans="1:14" x14ac:dyDescent="0.25">
      <c r="A1209">
        <v>1208</v>
      </c>
      <c r="B1209" t="s">
        <v>43</v>
      </c>
      <c r="C1209">
        <v>2018</v>
      </c>
      <c r="D1209">
        <v>3.9</v>
      </c>
      <c r="E1209" t="s">
        <v>27</v>
      </c>
      <c r="F1209">
        <v>62613</v>
      </c>
      <c r="G1209" t="s">
        <v>30</v>
      </c>
      <c r="H1209">
        <v>74227.520000000004</v>
      </c>
      <c r="I1209" t="s">
        <v>55</v>
      </c>
      <c r="J1209" t="s">
        <v>41</v>
      </c>
      <c r="K1209" t="s">
        <v>19</v>
      </c>
      <c r="L1209">
        <v>8</v>
      </c>
      <c r="M1209">
        <v>1.19</v>
      </c>
      <c r="N1209" t="s">
        <v>20</v>
      </c>
    </row>
    <row r="1210" spans="1:14" x14ac:dyDescent="0.25">
      <c r="A1210">
        <v>1209</v>
      </c>
      <c r="B1210" t="s">
        <v>21</v>
      </c>
      <c r="C1210">
        <v>2014</v>
      </c>
      <c r="D1210">
        <v>3</v>
      </c>
      <c r="E1210" t="s">
        <v>27</v>
      </c>
      <c r="F1210">
        <v>96707</v>
      </c>
      <c r="G1210" t="s">
        <v>16</v>
      </c>
      <c r="H1210">
        <v>58855.43</v>
      </c>
      <c r="I1210" t="s">
        <v>23</v>
      </c>
      <c r="J1210" t="s">
        <v>46</v>
      </c>
      <c r="K1210" t="s">
        <v>19</v>
      </c>
      <c r="L1210">
        <v>12</v>
      </c>
      <c r="M1210">
        <v>0.61</v>
      </c>
      <c r="N1210" t="s">
        <v>20</v>
      </c>
    </row>
    <row r="1211" spans="1:14" x14ac:dyDescent="0.25">
      <c r="A1211">
        <v>1210</v>
      </c>
      <c r="B1211" t="s">
        <v>29</v>
      </c>
      <c r="C1211">
        <v>2019</v>
      </c>
      <c r="D1211">
        <v>2.7</v>
      </c>
      <c r="E1211" t="s">
        <v>27</v>
      </c>
      <c r="F1211">
        <v>47003</v>
      </c>
      <c r="G1211" t="s">
        <v>16</v>
      </c>
      <c r="H1211">
        <v>23661.03</v>
      </c>
      <c r="I1211" t="s">
        <v>31</v>
      </c>
      <c r="J1211" t="s">
        <v>41</v>
      </c>
      <c r="K1211" t="s">
        <v>50</v>
      </c>
      <c r="L1211">
        <v>7</v>
      </c>
      <c r="M1211">
        <v>0.5</v>
      </c>
      <c r="N1211" t="s">
        <v>33</v>
      </c>
    </row>
    <row r="1212" spans="1:14" x14ac:dyDescent="0.25">
      <c r="A1212">
        <v>1211</v>
      </c>
      <c r="B1212" t="s">
        <v>21</v>
      </c>
      <c r="C1212">
        <v>2013</v>
      </c>
      <c r="D1212">
        <v>1.6</v>
      </c>
      <c r="E1212" t="s">
        <v>15</v>
      </c>
      <c r="F1212">
        <v>48478</v>
      </c>
      <c r="G1212" t="s">
        <v>16</v>
      </c>
      <c r="H1212">
        <v>67207.070000000007</v>
      </c>
      <c r="I1212" t="s">
        <v>47</v>
      </c>
      <c r="J1212" t="s">
        <v>18</v>
      </c>
      <c r="K1212" t="s">
        <v>50</v>
      </c>
      <c r="L1212">
        <v>13</v>
      </c>
      <c r="M1212">
        <v>1.39</v>
      </c>
      <c r="N1212" t="s">
        <v>20</v>
      </c>
    </row>
    <row r="1213" spans="1:14" x14ac:dyDescent="0.25">
      <c r="A1213">
        <v>1212</v>
      </c>
      <c r="B1213" t="s">
        <v>52</v>
      </c>
      <c r="C1213">
        <v>2023</v>
      </c>
      <c r="D1213">
        <v>3</v>
      </c>
      <c r="E1213" t="s">
        <v>27</v>
      </c>
      <c r="F1213">
        <v>59030</v>
      </c>
      <c r="G1213" t="s">
        <v>16</v>
      </c>
      <c r="H1213">
        <v>70061.179999999993</v>
      </c>
      <c r="I1213" t="s">
        <v>61</v>
      </c>
      <c r="J1213" t="s">
        <v>18</v>
      </c>
      <c r="K1213" t="s">
        <v>19</v>
      </c>
      <c r="L1213">
        <v>3</v>
      </c>
      <c r="M1213">
        <v>1.19</v>
      </c>
      <c r="N1213" t="s">
        <v>33</v>
      </c>
    </row>
    <row r="1214" spans="1:14" x14ac:dyDescent="0.25">
      <c r="A1214">
        <v>1213</v>
      </c>
      <c r="B1214" t="s">
        <v>21</v>
      </c>
      <c r="C1214">
        <v>2005</v>
      </c>
      <c r="D1214">
        <v>1.8</v>
      </c>
      <c r="E1214" t="s">
        <v>15</v>
      </c>
      <c r="F1214">
        <v>184133</v>
      </c>
      <c r="G1214" t="s">
        <v>22</v>
      </c>
      <c r="H1214">
        <v>93582.37</v>
      </c>
      <c r="I1214" t="s">
        <v>60</v>
      </c>
      <c r="J1214" t="s">
        <v>32</v>
      </c>
      <c r="K1214" t="s">
        <v>26</v>
      </c>
      <c r="L1214">
        <v>21</v>
      </c>
      <c r="M1214">
        <v>0.51</v>
      </c>
      <c r="N1214" t="s">
        <v>20</v>
      </c>
    </row>
    <row r="1215" spans="1:14" x14ac:dyDescent="0.25">
      <c r="A1215">
        <v>1214</v>
      </c>
      <c r="B1215" t="s">
        <v>52</v>
      </c>
      <c r="C1215">
        <v>2020</v>
      </c>
      <c r="D1215">
        <v>4.7</v>
      </c>
      <c r="E1215" t="s">
        <v>15</v>
      </c>
      <c r="F1215">
        <v>145921</v>
      </c>
      <c r="G1215" t="s">
        <v>30</v>
      </c>
      <c r="H1215">
        <v>18945.71</v>
      </c>
      <c r="I1215" t="s">
        <v>61</v>
      </c>
      <c r="J1215" t="s">
        <v>32</v>
      </c>
      <c r="K1215" t="s">
        <v>19</v>
      </c>
      <c r="L1215">
        <v>6</v>
      </c>
      <c r="M1215">
        <v>0.13</v>
      </c>
      <c r="N1215" t="s">
        <v>33</v>
      </c>
    </row>
    <row r="1216" spans="1:14" x14ac:dyDescent="0.25">
      <c r="A1216">
        <v>1215</v>
      </c>
      <c r="B1216" t="s">
        <v>21</v>
      </c>
      <c r="C1216">
        <v>2003</v>
      </c>
      <c r="D1216">
        <v>2</v>
      </c>
      <c r="E1216" t="s">
        <v>27</v>
      </c>
      <c r="F1216">
        <v>246160</v>
      </c>
      <c r="G1216" t="s">
        <v>16</v>
      </c>
      <c r="H1216">
        <v>70771.94</v>
      </c>
      <c r="I1216" t="s">
        <v>23</v>
      </c>
      <c r="J1216" t="s">
        <v>32</v>
      </c>
      <c r="K1216" t="s">
        <v>26</v>
      </c>
      <c r="L1216">
        <v>23</v>
      </c>
      <c r="M1216">
        <v>0.28999999999999998</v>
      </c>
      <c r="N1216" t="s">
        <v>20</v>
      </c>
    </row>
    <row r="1217" spans="1:14" x14ac:dyDescent="0.25">
      <c r="A1217">
        <v>1216</v>
      </c>
      <c r="B1217" t="s">
        <v>14</v>
      </c>
      <c r="C1217">
        <v>2007</v>
      </c>
      <c r="D1217">
        <v>1.3</v>
      </c>
      <c r="E1217" t="s">
        <v>15</v>
      </c>
      <c r="F1217">
        <v>267589</v>
      </c>
      <c r="G1217" t="s">
        <v>22</v>
      </c>
      <c r="H1217">
        <v>91585.59</v>
      </c>
      <c r="I1217" t="s">
        <v>39</v>
      </c>
      <c r="J1217" t="s">
        <v>18</v>
      </c>
      <c r="K1217" t="s">
        <v>26</v>
      </c>
      <c r="L1217">
        <v>19</v>
      </c>
      <c r="M1217">
        <v>0.34</v>
      </c>
      <c r="N1217" t="s">
        <v>20</v>
      </c>
    </row>
    <row r="1218" spans="1:14" x14ac:dyDescent="0.25">
      <c r="A1218">
        <v>1217</v>
      </c>
      <c r="B1218" t="s">
        <v>52</v>
      </c>
      <c r="C1218">
        <v>2016</v>
      </c>
      <c r="D1218">
        <v>3.8</v>
      </c>
      <c r="E1218" t="s">
        <v>15</v>
      </c>
      <c r="F1218">
        <v>149112</v>
      </c>
      <c r="G1218" t="s">
        <v>16</v>
      </c>
      <c r="H1218">
        <v>52648.59</v>
      </c>
      <c r="I1218" t="s">
        <v>61</v>
      </c>
      <c r="J1218" t="s">
        <v>18</v>
      </c>
      <c r="K1218" t="s">
        <v>19</v>
      </c>
      <c r="L1218">
        <v>10</v>
      </c>
      <c r="M1218">
        <v>0.35</v>
      </c>
      <c r="N1218" t="s">
        <v>33</v>
      </c>
    </row>
    <row r="1219" spans="1:14" x14ac:dyDescent="0.25">
      <c r="A1219">
        <v>1218</v>
      </c>
      <c r="B1219" t="s">
        <v>36</v>
      </c>
      <c r="C1219">
        <v>2008</v>
      </c>
      <c r="D1219">
        <v>4</v>
      </c>
      <c r="E1219" t="s">
        <v>27</v>
      </c>
      <c r="F1219">
        <v>262390</v>
      </c>
      <c r="G1219" t="s">
        <v>16</v>
      </c>
      <c r="H1219">
        <v>39370.97</v>
      </c>
      <c r="I1219" t="s">
        <v>51</v>
      </c>
      <c r="J1219" t="s">
        <v>46</v>
      </c>
      <c r="K1219" t="s">
        <v>26</v>
      </c>
      <c r="L1219">
        <v>18</v>
      </c>
      <c r="M1219">
        <v>0.15</v>
      </c>
      <c r="N1219" t="s">
        <v>33</v>
      </c>
    </row>
    <row r="1220" spans="1:14" x14ac:dyDescent="0.25">
      <c r="A1220">
        <v>1219</v>
      </c>
      <c r="B1220" t="s">
        <v>43</v>
      </c>
      <c r="C1220">
        <v>2000</v>
      </c>
      <c r="D1220">
        <v>5.4</v>
      </c>
      <c r="E1220" t="s">
        <v>15</v>
      </c>
      <c r="F1220">
        <v>31153</v>
      </c>
      <c r="G1220" t="s">
        <v>16</v>
      </c>
      <c r="H1220">
        <v>21221.200000000001</v>
      </c>
      <c r="I1220" t="s">
        <v>48</v>
      </c>
      <c r="J1220" t="s">
        <v>46</v>
      </c>
      <c r="K1220" t="s">
        <v>50</v>
      </c>
      <c r="L1220">
        <v>26</v>
      </c>
      <c r="M1220">
        <v>0.68</v>
      </c>
      <c r="N1220" t="s">
        <v>20</v>
      </c>
    </row>
    <row r="1221" spans="1:14" x14ac:dyDescent="0.25">
      <c r="A1221">
        <v>1220</v>
      </c>
      <c r="B1221" t="s">
        <v>43</v>
      </c>
      <c r="C1221">
        <v>2023</v>
      </c>
      <c r="D1221">
        <v>3.9</v>
      </c>
      <c r="E1221" t="s">
        <v>27</v>
      </c>
      <c r="F1221">
        <v>267356</v>
      </c>
      <c r="G1221" t="s">
        <v>16</v>
      </c>
      <c r="H1221">
        <v>87344.75</v>
      </c>
      <c r="I1221" t="s">
        <v>55</v>
      </c>
      <c r="J1221" t="s">
        <v>46</v>
      </c>
      <c r="K1221" t="s">
        <v>26</v>
      </c>
      <c r="L1221">
        <v>3</v>
      </c>
      <c r="M1221">
        <v>0.33</v>
      </c>
      <c r="N1221" t="s">
        <v>20</v>
      </c>
    </row>
    <row r="1222" spans="1:14" x14ac:dyDescent="0.25">
      <c r="A1222">
        <v>1221</v>
      </c>
      <c r="B1222" t="s">
        <v>24</v>
      </c>
      <c r="C1222">
        <v>2019</v>
      </c>
      <c r="D1222">
        <v>2.7</v>
      </c>
      <c r="E1222" t="s">
        <v>15</v>
      </c>
      <c r="F1222">
        <v>134411</v>
      </c>
      <c r="G1222" t="s">
        <v>22</v>
      </c>
      <c r="H1222">
        <v>42453.41</v>
      </c>
      <c r="I1222" t="s">
        <v>45</v>
      </c>
      <c r="J1222" t="s">
        <v>41</v>
      </c>
      <c r="K1222" t="s">
        <v>19</v>
      </c>
      <c r="L1222">
        <v>7</v>
      </c>
      <c r="M1222">
        <v>0.32</v>
      </c>
      <c r="N1222" t="s">
        <v>20</v>
      </c>
    </row>
    <row r="1223" spans="1:14" x14ac:dyDescent="0.25">
      <c r="A1223">
        <v>1222</v>
      </c>
      <c r="B1223" t="s">
        <v>43</v>
      </c>
      <c r="C1223">
        <v>2013</v>
      </c>
      <c r="D1223">
        <v>5</v>
      </c>
      <c r="E1223" t="s">
        <v>27</v>
      </c>
      <c r="F1223">
        <v>56238</v>
      </c>
      <c r="G1223" t="s">
        <v>30</v>
      </c>
      <c r="H1223">
        <v>92863.83</v>
      </c>
      <c r="I1223" t="s">
        <v>55</v>
      </c>
      <c r="J1223" t="s">
        <v>32</v>
      </c>
      <c r="K1223" t="s">
        <v>19</v>
      </c>
      <c r="L1223">
        <v>13</v>
      </c>
      <c r="M1223">
        <v>1.65</v>
      </c>
      <c r="N1223" t="s">
        <v>20</v>
      </c>
    </row>
    <row r="1224" spans="1:14" x14ac:dyDescent="0.25">
      <c r="A1224">
        <v>1223</v>
      </c>
      <c r="B1224" t="s">
        <v>29</v>
      </c>
      <c r="C1224">
        <v>2010</v>
      </c>
      <c r="D1224">
        <v>3.7</v>
      </c>
      <c r="E1224" t="s">
        <v>27</v>
      </c>
      <c r="F1224">
        <v>296751</v>
      </c>
      <c r="G1224" t="s">
        <v>22</v>
      </c>
      <c r="H1224">
        <v>85537.04</v>
      </c>
      <c r="I1224" t="s">
        <v>40</v>
      </c>
      <c r="J1224" t="s">
        <v>32</v>
      </c>
      <c r="K1224" t="s">
        <v>26</v>
      </c>
      <c r="L1224">
        <v>16</v>
      </c>
      <c r="M1224">
        <v>0.28999999999999998</v>
      </c>
      <c r="N1224" t="s">
        <v>33</v>
      </c>
    </row>
    <row r="1225" spans="1:14" x14ac:dyDescent="0.25">
      <c r="A1225">
        <v>1224</v>
      </c>
      <c r="B1225" t="s">
        <v>14</v>
      </c>
      <c r="C1225">
        <v>2020</v>
      </c>
      <c r="D1225">
        <v>1.4</v>
      </c>
      <c r="E1225" t="s">
        <v>15</v>
      </c>
      <c r="F1225">
        <v>52055</v>
      </c>
      <c r="G1225" t="s">
        <v>22</v>
      </c>
      <c r="H1225">
        <v>40780.79</v>
      </c>
      <c r="I1225" t="s">
        <v>39</v>
      </c>
      <c r="J1225" t="s">
        <v>18</v>
      </c>
      <c r="K1225" t="s">
        <v>19</v>
      </c>
      <c r="L1225">
        <v>6</v>
      </c>
      <c r="M1225">
        <v>0.78</v>
      </c>
      <c r="N1225" t="s">
        <v>20</v>
      </c>
    </row>
    <row r="1226" spans="1:14" x14ac:dyDescent="0.25">
      <c r="A1226">
        <v>1225</v>
      </c>
      <c r="B1226" t="s">
        <v>21</v>
      </c>
      <c r="C1226">
        <v>2002</v>
      </c>
      <c r="D1226">
        <v>3.8</v>
      </c>
      <c r="E1226" t="s">
        <v>27</v>
      </c>
      <c r="F1226">
        <v>104509</v>
      </c>
      <c r="G1226" t="s">
        <v>22</v>
      </c>
      <c r="H1226">
        <v>59521.86</v>
      </c>
      <c r="I1226" t="s">
        <v>47</v>
      </c>
      <c r="J1226" t="s">
        <v>18</v>
      </c>
      <c r="K1226" t="s">
        <v>19</v>
      </c>
      <c r="L1226">
        <v>24</v>
      </c>
      <c r="M1226">
        <v>0.56999999999999995</v>
      </c>
      <c r="N1226" t="s">
        <v>20</v>
      </c>
    </row>
    <row r="1227" spans="1:14" x14ac:dyDescent="0.25">
      <c r="A1227">
        <v>1226</v>
      </c>
      <c r="B1227" t="s">
        <v>24</v>
      </c>
      <c r="C1227">
        <v>2008</v>
      </c>
      <c r="D1227">
        <v>5.5</v>
      </c>
      <c r="E1227" t="s">
        <v>15</v>
      </c>
      <c r="F1227">
        <v>135467</v>
      </c>
      <c r="G1227" t="s">
        <v>16</v>
      </c>
      <c r="H1227">
        <v>7581.53</v>
      </c>
      <c r="I1227" t="s">
        <v>35</v>
      </c>
      <c r="J1227" t="s">
        <v>41</v>
      </c>
      <c r="K1227" t="s">
        <v>19</v>
      </c>
      <c r="L1227">
        <v>18</v>
      </c>
      <c r="M1227">
        <v>0.06</v>
      </c>
      <c r="N1227" t="s">
        <v>20</v>
      </c>
    </row>
    <row r="1228" spans="1:14" x14ac:dyDescent="0.25">
      <c r="A1228">
        <v>1227</v>
      </c>
      <c r="B1228" t="s">
        <v>29</v>
      </c>
      <c r="C1228">
        <v>2013</v>
      </c>
      <c r="D1228">
        <v>3</v>
      </c>
      <c r="E1228" t="s">
        <v>15</v>
      </c>
      <c r="F1228">
        <v>127378</v>
      </c>
      <c r="G1228" t="s">
        <v>30</v>
      </c>
      <c r="H1228">
        <v>30006.03</v>
      </c>
      <c r="I1228" t="s">
        <v>38</v>
      </c>
      <c r="J1228" t="s">
        <v>41</v>
      </c>
      <c r="K1228" t="s">
        <v>19</v>
      </c>
      <c r="L1228">
        <v>13</v>
      </c>
      <c r="M1228">
        <v>0.24</v>
      </c>
      <c r="N1228" t="s">
        <v>33</v>
      </c>
    </row>
    <row r="1229" spans="1:14" x14ac:dyDescent="0.25">
      <c r="A1229">
        <v>1228</v>
      </c>
      <c r="B1229" t="s">
        <v>29</v>
      </c>
      <c r="C1229">
        <v>2008</v>
      </c>
      <c r="D1229">
        <v>2.5</v>
      </c>
      <c r="E1229" t="s">
        <v>27</v>
      </c>
      <c r="F1229">
        <v>87687</v>
      </c>
      <c r="G1229" t="s">
        <v>16</v>
      </c>
      <c r="H1229">
        <v>72475.92</v>
      </c>
      <c r="I1229" t="s">
        <v>40</v>
      </c>
      <c r="J1229" t="s">
        <v>46</v>
      </c>
      <c r="K1229" t="s">
        <v>19</v>
      </c>
      <c r="L1229">
        <v>18</v>
      </c>
      <c r="M1229">
        <v>0.83</v>
      </c>
      <c r="N1229" t="s">
        <v>33</v>
      </c>
    </row>
    <row r="1230" spans="1:14" x14ac:dyDescent="0.25">
      <c r="A1230">
        <v>1229</v>
      </c>
      <c r="B1230" t="s">
        <v>52</v>
      </c>
      <c r="C1230">
        <v>2003</v>
      </c>
      <c r="D1230">
        <v>1.7</v>
      </c>
      <c r="E1230" t="s">
        <v>15</v>
      </c>
      <c r="F1230">
        <v>102652</v>
      </c>
      <c r="G1230" t="s">
        <v>22</v>
      </c>
      <c r="H1230">
        <v>69401.539999999994</v>
      </c>
      <c r="I1230" t="s">
        <v>59</v>
      </c>
      <c r="J1230" t="s">
        <v>18</v>
      </c>
      <c r="K1230" t="s">
        <v>19</v>
      </c>
      <c r="L1230">
        <v>23</v>
      </c>
      <c r="M1230">
        <v>0.68</v>
      </c>
      <c r="N1230" t="s">
        <v>33</v>
      </c>
    </row>
    <row r="1231" spans="1:14" x14ac:dyDescent="0.25">
      <c r="A1231">
        <v>1230</v>
      </c>
      <c r="B1231" t="s">
        <v>43</v>
      </c>
      <c r="C1231">
        <v>2003</v>
      </c>
      <c r="D1231">
        <v>1.8</v>
      </c>
      <c r="E1231" t="s">
        <v>27</v>
      </c>
      <c r="F1231">
        <v>55773</v>
      </c>
      <c r="G1231" t="s">
        <v>16</v>
      </c>
      <c r="H1231">
        <v>38570.1</v>
      </c>
      <c r="I1231" t="s">
        <v>48</v>
      </c>
      <c r="J1231" t="s">
        <v>32</v>
      </c>
      <c r="K1231" t="s">
        <v>19</v>
      </c>
      <c r="L1231">
        <v>23</v>
      </c>
      <c r="M1231">
        <v>0.69</v>
      </c>
      <c r="N1231" t="s">
        <v>20</v>
      </c>
    </row>
    <row r="1232" spans="1:14" x14ac:dyDescent="0.25">
      <c r="A1232">
        <v>1231</v>
      </c>
      <c r="B1232" t="s">
        <v>36</v>
      </c>
      <c r="C1232">
        <v>2007</v>
      </c>
      <c r="D1232">
        <v>3.2</v>
      </c>
      <c r="E1232" t="s">
        <v>15</v>
      </c>
      <c r="F1232">
        <v>202668</v>
      </c>
      <c r="G1232" t="s">
        <v>30</v>
      </c>
      <c r="H1232">
        <v>81817.759999999995</v>
      </c>
      <c r="I1232" t="s">
        <v>54</v>
      </c>
      <c r="J1232" t="s">
        <v>46</v>
      </c>
      <c r="K1232" t="s">
        <v>26</v>
      </c>
      <c r="L1232">
        <v>19</v>
      </c>
      <c r="M1232">
        <v>0.4</v>
      </c>
      <c r="N1232" t="s">
        <v>33</v>
      </c>
    </row>
    <row r="1233" spans="1:14" x14ac:dyDescent="0.25">
      <c r="A1233">
        <v>1232</v>
      </c>
      <c r="B1233" t="s">
        <v>36</v>
      </c>
      <c r="C1233">
        <v>2001</v>
      </c>
      <c r="D1233">
        <v>4</v>
      </c>
      <c r="E1233" t="s">
        <v>15</v>
      </c>
      <c r="F1233">
        <v>27584</v>
      </c>
      <c r="G1233" t="s">
        <v>30</v>
      </c>
      <c r="H1233">
        <v>27404.42</v>
      </c>
      <c r="I1233" t="s">
        <v>54</v>
      </c>
      <c r="J1233" t="s">
        <v>32</v>
      </c>
      <c r="K1233" t="s">
        <v>50</v>
      </c>
      <c r="L1233">
        <v>25</v>
      </c>
      <c r="M1233">
        <v>0.99</v>
      </c>
      <c r="N1233" t="s">
        <v>33</v>
      </c>
    </row>
    <row r="1234" spans="1:14" x14ac:dyDescent="0.25">
      <c r="A1234">
        <v>1233</v>
      </c>
      <c r="B1234" t="s">
        <v>24</v>
      </c>
      <c r="C1234">
        <v>2008</v>
      </c>
      <c r="D1234">
        <v>1.4</v>
      </c>
      <c r="E1234" t="s">
        <v>27</v>
      </c>
      <c r="F1234">
        <v>244901</v>
      </c>
      <c r="G1234" t="s">
        <v>16</v>
      </c>
      <c r="H1234">
        <v>48820.7</v>
      </c>
      <c r="I1234" t="s">
        <v>25</v>
      </c>
      <c r="J1234" t="s">
        <v>46</v>
      </c>
      <c r="K1234" t="s">
        <v>26</v>
      </c>
      <c r="L1234">
        <v>18</v>
      </c>
      <c r="M1234">
        <v>0.2</v>
      </c>
      <c r="N1234" t="s">
        <v>20</v>
      </c>
    </row>
    <row r="1235" spans="1:14" x14ac:dyDescent="0.25">
      <c r="A1235">
        <v>1234</v>
      </c>
      <c r="B1235" t="s">
        <v>14</v>
      </c>
      <c r="C1235">
        <v>2013</v>
      </c>
      <c r="D1235">
        <v>5.7</v>
      </c>
      <c r="E1235" t="s">
        <v>15</v>
      </c>
      <c r="F1235">
        <v>265482</v>
      </c>
      <c r="G1235" t="s">
        <v>22</v>
      </c>
      <c r="H1235">
        <v>49890.41</v>
      </c>
      <c r="I1235" t="s">
        <v>58</v>
      </c>
      <c r="J1235" t="s">
        <v>18</v>
      </c>
      <c r="K1235" t="s">
        <v>26</v>
      </c>
      <c r="L1235">
        <v>13</v>
      </c>
      <c r="M1235">
        <v>0.19</v>
      </c>
      <c r="N1235" t="s">
        <v>20</v>
      </c>
    </row>
    <row r="1236" spans="1:14" x14ac:dyDescent="0.25">
      <c r="A1236">
        <v>1235</v>
      </c>
      <c r="B1236" t="s">
        <v>36</v>
      </c>
      <c r="C1236">
        <v>2021</v>
      </c>
      <c r="D1236">
        <v>4.8</v>
      </c>
      <c r="E1236" t="s">
        <v>15</v>
      </c>
      <c r="F1236">
        <v>62601</v>
      </c>
      <c r="G1236" t="s">
        <v>16</v>
      </c>
      <c r="H1236">
        <v>37377.589999999997</v>
      </c>
      <c r="I1236" t="s">
        <v>57</v>
      </c>
      <c r="J1236" t="s">
        <v>41</v>
      </c>
      <c r="K1236" t="s">
        <v>19</v>
      </c>
      <c r="L1236">
        <v>5</v>
      </c>
      <c r="M1236">
        <v>0.6</v>
      </c>
      <c r="N1236" t="s">
        <v>33</v>
      </c>
    </row>
    <row r="1237" spans="1:14" x14ac:dyDescent="0.25">
      <c r="A1237">
        <v>1236</v>
      </c>
      <c r="B1237" t="s">
        <v>21</v>
      </c>
      <c r="C1237">
        <v>2008</v>
      </c>
      <c r="D1237">
        <v>3.9</v>
      </c>
      <c r="E1237" t="s">
        <v>15</v>
      </c>
      <c r="F1237">
        <v>136559</v>
      </c>
      <c r="G1237" t="s">
        <v>22</v>
      </c>
      <c r="H1237">
        <v>95693.28</v>
      </c>
      <c r="I1237" t="s">
        <v>23</v>
      </c>
      <c r="J1237" t="s">
        <v>46</v>
      </c>
      <c r="K1237" t="s">
        <v>19</v>
      </c>
      <c r="L1237">
        <v>18</v>
      </c>
      <c r="M1237">
        <v>0.7</v>
      </c>
      <c r="N1237" t="s">
        <v>20</v>
      </c>
    </row>
    <row r="1238" spans="1:14" x14ac:dyDescent="0.25">
      <c r="A1238">
        <v>1237</v>
      </c>
      <c r="B1238" t="s">
        <v>36</v>
      </c>
      <c r="C1238">
        <v>2023</v>
      </c>
      <c r="D1238">
        <v>5.0999999999999996</v>
      </c>
      <c r="E1238" t="s">
        <v>15</v>
      </c>
      <c r="F1238">
        <v>36282</v>
      </c>
      <c r="G1238" t="s">
        <v>30</v>
      </c>
      <c r="H1238">
        <v>71184.98</v>
      </c>
      <c r="I1238" t="s">
        <v>37</v>
      </c>
      <c r="J1238" t="s">
        <v>32</v>
      </c>
      <c r="K1238" t="s">
        <v>50</v>
      </c>
      <c r="L1238">
        <v>3</v>
      </c>
      <c r="M1238">
        <v>1.96</v>
      </c>
      <c r="N1238" t="s">
        <v>33</v>
      </c>
    </row>
    <row r="1239" spans="1:14" x14ac:dyDescent="0.25">
      <c r="A1239">
        <v>1238</v>
      </c>
      <c r="B1239" t="s">
        <v>24</v>
      </c>
      <c r="C1239">
        <v>2022</v>
      </c>
      <c r="D1239">
        <v>1.4</v>
      </c>
      <c r="E1239" t="s">
        <v>15</v>
      </c>
      <c r="F1239">
        <v>226137</v>
      </c>
      <c r="G1239" t="s">
        <v>16</v>
      </c>
      <c r="H1239">
        <v>56223.94</v>
      </c>
      <c r="I1239" t="s">
        <v>35</v>
      </c>
      <c r="J1239" t="s">
        <v>32</v>
      </c>
      <c r="K1239" t="s">
        <v>26</v>
      </c>
      <c r="L1239">
        <v>4</v>
      </c>
      <c r="M1239">
        <v>0.25</v>
      </c>
      <c r="N1239" t="s">
        <v>20</v>
      </c>
    </row>
    <row r="1240" spans="1:14" x14ac:dyDescent="0.25">
      <c r="A1240">
        <v>1239</v>
      </c>
      <c r="B1240" t="s">
        <v>36</v>
      </c>
      <c r="C1240">
        <v>2015</v>
      </c>
      <c r="D1240">
        <v>3.4</v>
      </c>
      <c r="E1240" t="s">
        <v>15</v>
      </c>
      <c r="F1240">
        <v>95798</v>
      </c>
      <c r="G1240" t="s">
        <v>30</v>
      </c>
      <c r="H1240">
        <v>53498.93</v>
      </c>
      <c r="I1240" t="s">
        <v>54</v>
      </c>
      <c r="J1240" t="s">
        <v>18</v>
      </c>
      <c r="K1240" t="s">
        <v>19</v>
      </c>
      <c r="L1240">
        <v>11</v>
      </c>
      <c r="M1240">
        <v>0.56000000000000005</v>
      </c>
      <c r="N1240" t="s">
        <v>33</v>
      </c>
    </row>
    <row r="1241" spans="1:14" x14ac:dyDescent="0.25">
      <c r="A1241">
        <v>1240</v>
      </c>
      <c r="B1241" t="s">
        <v>21</v>
      </c>
      <c r="C1241">
        <v>2016</v>
      </c>
      <c r="D1241">
        <v>4.2</v>
      </c>
      <c r="E1241" t="s">
        <v>15</v>
      </c>
      <c r="F1241">
        <v>130963</v>
      </c>
      <c r="G1241" t="s">
        <v>22</v>
      </c>
      <c r="H1241">
        <v>20133.13</v>
      </c>
      <c r="I1241" t="s">
        <v>47</v>
      </c>
      <c r="J1241" t="s">
        <v>46</v>
      </c>
      <c r="K1241" t="s">
        <v>19</v>
      </c>
      <c r="L1241">
        <v>10</v>
      </c>
      <c r="M1241">
        <v>0.15</v>
      </c>
      <c r="N1241" t="s">
        <v>20</v>
      </c>
    </row>
    <row r="1242" spans="1:14" x14ac:dyDescent="0.25">
      <c r="A1242">
        <v>1241</v>
      </c>
      <c r="B1242" t="s">
        <v>52</v>
      </c>
      <c r="C1242">
        <v>2015</v>
      </c>
      <c r="D1242">
        <v>5.0999999999999996</v>
      </c>
      <c r="E1242" t="s">
        <v>15</v>
      </c>
      <c r="F1242">
        <v>159876</v>
      </c>
      <c r="G1242" t="s">
        <v>22</v>
      </c>
      <c r="H1242">
        <v>40357.760000000002</v>
      </c>
      <c r="I1242" t="s">
        <v>61</v>
      </c>
      <c r="J1242" t="s">
        <v>32</v>
      </c>
      <c r="K1242" t="s">
        <v>26</v>
      </c>
      <c r="L1242">
        <v>11</v>
      </c>
      <c r="M1242">
        <v>0.25</v>
      </c>
      <c r="N1242" t="s">
        <v>33</v>
      </c>
    </row>
    <row r="1243" spans="1:14" x14ac:dyDescent="0.25">
      <c r="A1243">
        <v>1242</v>
      </c>
      <c r="B1243" t="s">
        <v>14</v>
      </c>
      <c r="C1243">
        <v>2011</v>
      </c>
      <c r="D1243">
        <v>4.9000000000000004</v>
      </c>
      <c r="E1243" t="s">
        <v>27</v>
      </c>
      <c r="F1243">
        <v>140987</v>
      </c>
      <c r="G1243" t="s">
        <v>16</v>
      </c>
      <c r="H1243">
        <v>68913.460000000006</v>
      </c>
      <c r="I1243" t="s">
        <v>28</v>
      </c>
      <c r="J1243" t="s">
        <v>18</v>
      </c>
      <c r="K1243" t="s">
        <v>19</v>
      </c>
      <c r="L1243">
        <v>15</v>
      </c>
      <c r="M1243">
        <v>0.49</v>
      </c>
      <c r="N1243" t="s">
        <v>20</v>
      </c>
    </row>
    <row r="1244" spans="1:14" x14ac:dyDescent="0.25">
      <c r="A1244">
        <v>1243</v>
      </c>
      <c r="B1244" t="s">
        <v>24</v>
      </c>
      <c r="C1244">
        <v>2002</v>
      </c>
      <c r="D1244">
        <v>2.4</v>
      </c>
      <c r="E1244" t="s">
        <v>15</v>
      </c>
      <c r="F1244">
        <v>273302</v>
      </c>
      <c r="G1244" t="s">
        <v>16</v>
      </c>
      <c r="H1244">
        <v>92834.17</v>
      </c>
      <c r="I1244" t="s">
        <v>25</v>
      </c>
      <c r="J1244" t="s">
        <v>32</v>
      </c>
      <c r="K1244" t="s">
        <v>26</v>
      </c>
      <c r="L1244">
        <v>24</v>
      </c>
      <c r="M1244">
        <v>0.34</v>
      </c>
      <c r="N1244" t="s">
        <v>20</v>
      </c>
    </row>
    <row r="1245" spans="1:14" x14ac:dyDescent="0.25">
      <c r="A1245">
        <v>1244</v>
      </c>
      <c r="B1245" t="s">
        <v>52</v>
      </c>
      <c r="C1245">
        <v>2010</v>
      </c>
      <c r="D1245">
        <v>5.7</v>
      </c>
      <c r="E1245" t="s">
        <v>15</v>
      </c>
      <c r="F1245">
        <v>205229</v>
      </c>
      <c r="G1245" t="s">
        <v>16</v>
      </c>
      <c r="H1245">
        <v>82564.09</v>
      </c>
      <c r="I1245" t="s">
        <v>59</v>
      </c>
      <c r="J1245" t="s">
        <v>46</v>
      </c>
      <c r="K1245" t="s">
        <v>26</v>
      </c>
      <c r="L1245">
        <v>16</v>
      </c>
      <c r="M1245">
        <v>0.4</v>
      </c>
      <c r="N1245" t="s">
        <v>33</v>
      </c>
    </row>
    <row r="1246" spans="1:14" x14ac:dyDescent="0.25">
      <c r="A1246">
        <v>1245</v>
      </c>
      <c r="B1246" t="s">
        <v>52</v>
      </c>
      <c r="C1246">
        <v>2013</v>
      </c>
      <c r="D1246">
        <v>1.6</v>
      </c>
      <c r="E1246" t="s">
        <v>27</v>
      </c>
      <c r="F1246">
        <v>10547</v>
      </c>
      <c r="G1246" t="s">
        <v>30</v>
      </c>
      <c r="H1246">
        <v>33537.03</v>
      </c>
      <c r="I1246" t="s">
        <v>53</v>
      </c>
      <c r="J1246" t="s">
        <v>41</v>
      </c>
      <c r="K1246" t="s">
        <v>50</v>
      </c>
      <c r="L1246">
        <v>13</v>
      </c>
      <c r="M1246">
        <v>3.18</v>
      </c>
      <c r="N1246" t="s">
        <v>33</v>
      </c>
    </row>
    <row r="1247" spans="1:14" x14ac:dyDescent="0.25">
      <c r="A1247">
        <v>1246</v>
      </c>
      <c r="B1247" t="s">
        <v>52</v>
      </c>
      <c r="C1247">
        <v>2017</v>
      </c>
      <c r="D1247">
        <v>5.4</v>
      </c>
      <c r="E1247" t="s">
        <v>27</v>
      </c>
      <c r="F1247">
        <v>264603</v>
      </c>
      <c r="G1247" t="s">
        <v>22</v>
      </c>
      <c r="H1247">
        <v>46225.88</v>
      </c>
      <c r="I1247" t="s">
        <v>53</v>
      </c>
      <c r="J1247" t="s">
        <v>46</v>
      </c>
      <c r="K1247" t="s">
        <v>26</v>
      </c>
      <c r="L1247">
        <v>9</v>
      </c>
      <c r="M1247">
        <v>0.17</v>
      </c>
      <c r="N1247" t="s">
        <v>33</v>
      </c>
    </row>
    <row r="1248" spans="1:14" x14ac:dyDescent="0.25">
      <c r="A1248">
        <v>1247</v>
      </c>
      <c r="B1248" t="s">
        <v>29</v>
      </c>
      <c r="C1248">
        <v>2020</v>
      </c>
      <c r="D1248">
        <v>5.9</v>
      </c>
      <c r="E1248" t="s">
        <v>27</v>
      </c>
      <c r="F1248">
        <v>63146</v>
      </c>
      <c r="G1248" t="s">
        <v>22</v>
      </c>
      <c r="H1248">
        <v>12877.16</v>
      </c>
      <c r="I1248" t="s">
        <v>40</v>
      </c>
      <c r="J1248" t="s">
        <v>46</v>
      </c>
      <c r="K1248" t="s">
        <v>19</v>
      </c>
      <c r="L1248">
        <v>6</v>
      </c>
      <c r="M1248">
        <v>0.2</v>
      </c>
      <c r="N1248" t="s">
        <v>33</v>
      </c>
    </row>
    <row r="1249" spans="1:14" x14ac:dyDescent="0.25">
      <c r="A1249">
        <v>1248</v>
      </c>
      <c r="B1249" t="s">
        <v>14</v>
      </c>
      <c r="C1249">
        <v>2020</v>
      </c>
      <c r="D1249">
        <v>1.9</v>
      </c>
      <c r="E1249" t="s">
        <v>15</v>
      </c>
      <c r="F1249">
        <v>107761</v>
      </c>
      <c r="G1249" t="s">
        <v>30</v>
      </c>
      <c r="H1249">
        <v>14706.37</v>
      </c>
      <c r="I1249" t="s">
        <v>39</v>
      </c>
      <c r="J1249" t="s">
        <v>18</v>
      </c>
      <c r="K1249" t="s">
        <v>19</v>
      </c>
      <c r="L1249">
        <v>6</v>
      </c>
      <c r="M1249">
        <v>0.14000000000000001</v>
      </c>
      <c r="N1249" t="s">
        <v>20</v>
      </c>
    </row>
    <row r="1250" spans="1:14" x14ac:dyDescent="0.25">
      <c r="A1250">
        <v>1249</v>
      </c>
      <c r="B1250" t="s">
        <v>43</v>
      </c>
      <c r="C1250">
        <v>2004</v>
      </c>
      <c r="D1250">
        <v>4.5999999999999996</v>
      </c>
      <c r="E1250" t="s">
        <v>27</v>
      </c>
      <c r="F1250">
        <v>82970</v>
      </c>
      <c r="G1250" t="s">
        <v>16</v>
      </c>
      <c r="H1250">
        <v>49671.89</v>
      </c>
      <c r="I1250" t="s">
        <v>55</v>
      </c>
      <c r="J1250" t="s">
        <v>32</v>
      </c>
      <c r="K1250" t="s">
        <v>19</v>
      </c>
      <c r="L1250">
        <v>22</v>
      </c>
      <c r="M1250">
        <v>0.6</v>
      </c>
      <c r="N1250" t="s">
        <v>20</v>
      </c>
    </row>
    <row r="1251" spans="1:14" x14ac:dyDescent="0.25">
      <c r="A1251">
        <v>1250</v>
      </c>
      <c r="B1251" t="s">
        <v>14</v>
      </c>
      <c r="C1251">
        <v>2015</v>
      </c>
      <c r="D1251">
        <v>1.2</v>
      </c>
      <c r="E1251" t="s">
        <v>27</v>
      </c>
      <c r="F1251">
        <v>191889</v>
      </c>
      <c r="G1251" t="s">
        <v>16</v>
      </c>
      <c r="H1251">
        <v>55370.84</v>
      </c>
      <c r="I1251" t="s">
        <v>17</v>
      </c>
      <c r="J1251" t="s">
        <v>18</v>
      </c>
      <c r="K1251" t="s">
        <v>26</v>
      </c>
      <c r="L1251">
        <v>11</v>
      </c>
      <c r="M1251">
        <v>0.28999999999999998</v>
      </c>
      <c r="N1251" t="s">
        <v>20</v>
      </c>
    </row>
    <row r="1252" spans="1:14" x14ac:dyDescent="0.25">
      <c r="A1252">
        <v>1251</v>
      </c>
      <c r="B1252" t="s">
        <v>29</v>
      </c>
      <c r="C1252">
        <v>2019</v>
      </c>
      <c r="D1252">
        <v>3</v>
      </c>
      <c r="E1252" t="s">
        <v>15</v>
      </c>
      <c r="F1252">
        <v>169319</v>
      </c>
      <c r="G1252" t="s">
        <v>30</v>
      </c>
      <c r="H1252">
        <v>30082.57</v>
      </c>
      <c r="I1252" t="s">
        <v>31</v>
      </c>
      <c r="J1252" t="s">
        <v>18</v>
      </c>
      <c r="K1252" t="s">
        <v>26</v>
      </c>
      <c r="L1252">
        <v>7</v>
      </c>
      <c r="M1252">
        <v>0.18</v>
      </c>
      <c r="N1252" t="s">
        <v>33</v>
      </c>
    </row>
    <row r="1253" spans="1:14" x14ac:dyDescent="0.25">
      <c r="A1253">
        <v>1252</v>
      </c>
      <c r="B1253" t="s">
        <v>43</v>
      </c>
      <c r="C1253">
        <v>2004</v>
      </c>
      <c r="D1253">
        <v>3.6</v>
      </c>
      <c r="E1253" t="s">
        <v>15</v>
      </c>
      <c r="F1253">
        <v>15419</v>
      </c>
      <c r="G1253" t="s">
        <v>22</v>
      </c>
      <c r="H1253">
        <v>66064.36</v>
      </c>
      <c r="I1253" t="s">
        <v>44</v>
      </c>
      <c r="J1253" t="s">
        <v>18</v>
      </c>
      <c r="K1253" t="s">
        <v>50</v>
      </c>
      <c r="L1253">
        <v>22</v>
      </c>
      <c r="M1253">
        <v>4.28</v>
      </c>
      <c r="N1253" t="s">
        <v>20</v>
      </c>
    </row>
    <row r="1254" spans="1:14" x14ac:dyDescent="0.25">
      <c r="A1254">
        <v>1253</v>
      </c>
      <c r="B1254" t="s">
        <v>14</v>
      </c>
      <c r="C1254">
        <v>2002</v>
      </c>
      <c r="D1254">
        <v>3.9</v>
      </c>
      <c r="E1254" t="s">
        <v>27</v>
      </c>
      <c r="F1254">
        <v>35577</v>
      </c>
      <c r="G1254" t="s">
        <v>22</v>
      </c>
      <c r="H1254">
        <v>71821.17</v>
      </c>
      <c r="I1254" t="s">
        <v>58</v>
      </c>
      <c r="J1254" t="s">
        <v>18</v>
      </c>
      <c r="K1254" t="s">
        <v>50</v>
      </c>
      <c r="L1254">
        <v>24</v>
      </c>
      <c r="M1254">
        <v>2.02</v>
      </c>
      <c r="N1254" t="s">
        <v>20</v>
      </c>
    </row>
    <row r="1255" spans="1:14" x14ac:dyDescent="0.25">
      <c r="A1255">
        <v>1254</v>
      </c>
      <c r="B1255" t="s">
        <v>52</v>
      </c>
      <c r="C1255">
        <v>2011</v>
      </c>
      <c r="D1255">
        <v>5.7</v>
      </c>
      <c r="E1255" t="s">
        <v>27</v>
      </c>
      <c r="F1255">
        <v>2921</v>
      </c>
      <c r="G1255" t="s">
        <v>22</v>
      </c>
      <c r="H1255">
        <v>33416.03</v>
      </c>
      <c r="I1255" t="s">
        <v>59</v>
      </c>
      <c r="J1255" t="s">
        <v>32</v>
      </c>
      <c r="K1255" t="s">
        <v>50</v>
      </c>
      <c r="L1255">
        <v>15</v>
      </c>
      <c r="M1255">
        <v>11.44</v>
      </c>
      <c r="N1255" t="s">
        <v>33</v>
      </c>
    </row>
    <row r="1256" spans="1:14" x14ac:dyDescent="0.25">
      <c r="A1256">
        <v>1255</v>
      </c>
      <c r="B1256" t="s">
        <v>24</v>
      </c>
      <c r="C1256">
        <v>2000</v>
      </c>
      <c r="D1256">
        <v>4.4000000000000004</v>
      </c>
      <c r="E1256" t="s">
        <v>15</v>
      </c>
      <c r="F1256">
        <v>144535</v>
      </c>
      <c r="G1256" t="s">
        <v>22</v>
      </c>
      <c r="H1256">
        <v>77050.350000000006</v>
      </c>
      <c r="I1256" t="s">
        <v>45</v>
      </c>
      <c r="J1256" t="s">
        <v>32</v>
      </c>
      <c r="K1256" t="s">
        <v>19</v>
      </c>
      <c r="L1256">
        <v>26</v>
      </c>
      <c r="M1256">
        <v>0.53</v>
      </c>
      <c r="N1256" t="s">
        <v>20</v>
      </c>
    </row>
    <row r="1257" spans="1:14" x14ac:dyDescent="0.25">
      <c r="A1257">
        <v>1256</v>
      </c>
      <c r="B1257" t="s">
        <v>43</v>
      </c>
      <c r="C1257">
        <v>2020</v>
      </c>
      <c r="D1257">
        <v>3.4</v>
      </c>
      <c r="E1257" t="s">
        <v>15</v>
      </c>
      <c r="F1257">
        <v>156546</v>
      </c>
      <c r="G1257" t="s">
        <v>30</v>
      </c>
      <c r="H1257">
        <v>24532.47</v>
      </c>
      <c r="I1257" t="s">
        <v>55</v>
      </c>
      <c r="J1257" t="s">
        <v>46</v>
      </c>
      <c r="K1257" t="s">
        <v>26</v>
      </c>
      <c r="L1257">
        <v>6</v>
      </c>
      <c r="M1257">
        <v>0.16</v>
      </c>
      <c r="N1257" t="s">
        <v>20</v>
      </c>
    </row>
    <row r="1258" spans="1:14" x14ac:dyDescent="0.25">
      <c r="A1258">
        <v>1257</v>
      </c>
      <c r="B1258" t="s">
        <v>21</v>
      </c>
      <c r="C1258">
        <v>2008</v>
      </c>
      <c r="D1258">
        <v>5</v>
      </c>
      <c r="E1258" t="s">
        <v>15</v>
      </c>
      <c r="F1258">
        <v>125534</v>
      </c>
      <c r="G1258" t="s">
        <v>22</v>
      </c>
      <c r="H1258">
        <v>56703.88</v>
      </c>
      <c r="I1258" t="s">
        <v>47</v>
      </c>
      <c r="J1258" t="s">
        <v>41</v>
      </c>
      <c r="K1258" t="s">
        <v>19</v>
      </c>
      <c r="L1258">
        <v>18</v>
      </c>
      <c r="M1258">
        <v>0.45</v>
      </c>
      <c r="N1258" t="s">
        <v>20</v>
      </c>
    </row>
    <row r="1259" spans="1:14" x14ac:dyDescent="0.25">
      <c r="A1259">
        <v>1258</v>
      </c>
      <c r="B1259" t="s">
        <v>21</v>
      </c>
      <c r="C1259">
        <v>2008</v>
      </c>
      <c r="D1259">
        <v>5.8</v>
      </c>
      <c r="E1259" t="s">
        <v>15</v>
      </c>
      <c r="F1259">
        <v>256872</v>
      </c>
      <c r="G1259" t="s">
        <v>30</v>
      </c>
      <c r="H1259">
        <v>81406.7</v>
      </c>
      <c r="I1259" t="s">
        <v>23</v>
      </c>
      <c r="J1259" t="s">
        <v>32</v>
      </c>
      <c r="K1259" t="s">
        <v>26</v>
      </c>
      <c r="L1259">
        <v>18</v>
      </c>
      <c r="M1259">
        <v>0.32</v>
      </c>
      <c r="N1259" t="s">
        <v>20</v>
      </c>
    </row>
    <row r="1260" spans="1:14" x14ac:dyDescent="0.25">
      <c r="A1260">
        <v>1259</v>
      </c>
      <c r="B1260" t="s">
        <v>36</v>
      </c>
      <c r="C1260">
        <v>2003</v>
      </c>
      <c r="D1260">
        <v>1.1000000000000001</v>
      </c>
      <c r="E1260" t="s">
        <v>15</v>
      </c>
      <c r="F1260">
        <v>72828</v>
      </c>
      <c r="G1260" t="s">
        <v>16</v>
      </c>
      <c r="H1260">
        <v>56015.86</v>
      </c>
      <c r="I1260" t="s">
        <v>37</v>
      </c>
      <c r="J1260" t="s">
        <v>46</v>
      </c>
      <c r="K1260" t="s">
        <v>19</v>
      </c>
      <c r="L1260">
        <v>23</v>
      </c>
      <c r="M1260">
        <v>0.77</v>
      </c>
      <c r="N1260" t="s">
        <v>33</v>
      </c>
    </row>
    <row r="1261" spans="1:14" x14ac:dyDescent="0.25">
      <c r="A1261">
        <v>1260</v>
      </c>
      <c r="B1261" t="s">
        <v>43</v>
      </c>
      <c r="C1261">
        <v>2002</v>
      </c>
      <c r="D1261">
        <v>5.9</v>
      </c>
      <c r="E1261" t="s">
        <v>27</v>
      </c>
      <c r="F1261">
        <v>123649</v>
      </c>
      <c r="G1261" t="s">
        <v>30</v>
      </c>
      <c r="H1261">
        <v>91256.46</v>
      </c>
      <c r="I1261" t="s">
        <v>44</v>
      </c>
      <c r="J1261" t="s">
        <v>46</v>
      </c>
      <c r="K1261" t="s">
        <v>19</v>
      </c>
      <c r="L1261">
        <v>24</v>
      </c>
      <c r="M1261">
        <v>0.74</v>
      </c>
      <c r="N1261" t="s">
        <v>20</v>
      </c>
    </row>
    <row r="1262" spans="1:14" x14ac:dyDescent="0.25">
      <c r="A1262">
        <v>1261</v>
      </c>
      <c r="B1262" t="s">
        <v>24</v>
      </c>
      <c r="C1262">
        <v>2016</v>
      </c>
      <c r="D1262">
        <v>1.4</v>
      </c>
      <c r="E1262" t="s">
        <v>15</v>
      </c>
      <c r="F1262">
        <v>55152</v>
      </c>
      <c r="G1262" t="s">
        <v>22</v>
      </c>
      <c r="H1262">
        <v>10557.62</v>
      </c>
      <c r="I1262" t="s">
        <v>35</v>
      </c>
      <c r="J1262" t="s">
        <v>41</v>
      </c>
      <c r="K1262" t="s">
        <v>19</v>
      </c>
      <c r="L1262">
        <v>10</v>
      </c>
      <c r="M1262">
        <v>0.19</v>
      </c>
      <c r="N1262" t="s">
        <v>20</v>
      </c>
    </row>
    <row r="1263" spans="1:14" x14ac:dyDescent="0.25">
      <c r="A1263">
        <v>1262</v>
      </c>
      <c r="B1263" t="s">
        <v>29</v>
      </c>
      <c r="C1263">
        <v>2001</v>
      </c>
      <c r="D1263">
        <v>5.0999999999999996</v>
      </c>
      <c r="E1263" t="s">
        <v>15</v>
      </c>
      <c r="F1263">
        <v>220073</v>
      </c>
      <c r="G1263" t="s">
        <v>16</v>
      </c>
      <c r="H1263">
        <v>60889.82</v>
      </c>
      <c r="I1263" t="s">
        <v>40</v>
      </c>
      <c r="J1263" t="s">
        <v>18</v>
      </c>
      <c r="K1263" t="s">
        <v>26</v>
      </c>
      <c r="L1263">
        <v>25</v>
      </c>
      <c r="M1263">
        <v>0.28000000000000003</v>
      </c>
      <c r="N1263" t="s">
        <v>33</v>
      </c>
    </row>
    <row r="1264" spans="1:14" x14ac:dyDescent="0.25">
      <c r="A1264">
        <v>1263</v>
      </c>
      <c r="B1264" t="s">
        <v>52</v>
      </c>
      <c r="C1264">
        <v>2023</v>
      </c>
      <c r="D1264">
        <v>2.4</v>
      </c>
      <c r="E1264" t="s">
        <v>15</v>
      </c>
      <c r="F1264">
        <v>223393</v>
      </c>
      <c r="G1264" t="s">
        <v>30</v>
      </c>
      <c r="H1264">
        <v>58366.77</v>
      </c>
      <c r="I1264" t="s">
        <v>53</v>
      </c>
      <c r="J1264" t="s">
        <v>46</v>
      </c>
      <c r="K1264" t="s">
        <v>26</v>
      </c>
      <c r="L1264">
        <v>3</v>
      </c>
      <c r="M1264">
        <v>0.26</v>
      </c>
      <c r="N1264" t="s">
        <v>33</v>
      </c>
    </row>
    <row r="1265" spans="1:14" x14ac:dyDescent="0.25">
      <c r="A1265">
        <v>1264</v>
      </c>
      <c r="B1265" t="s">
        <v>36</v>
      </c>
      <c r="C1265">
        <v>2000</v>
      </c>
      <c r="D1265">
        <v>1.7</v>
      </c>
      <c r="E1265" t="s">
        <v>15</v>
      </c>
      <c r="F1265">
        <v>86569</v>
      </c>
      <c r="G1265" t="s">
        <v>30</v>
      </c>
      <c r="H1265">
        <v>67733.570000000007</v>
      </c>
      <c r="I1265" t="s">
        <v>51</v>
      </c>
      <c r="J1265" t="s">
        <v>46</v>
      </c>
      <c r="K1265" t="s">
        <v>19</v>
      </c>
      <c r="L1265">
        <v>26</v>
      </c>
      <c r="M1265">
        <v>0.78</v>
      </c>
      <c r="N1265" t="s">
        <v>33</v>
      </c>
    </row>
    <row r="1266" spans="1:14" x14ac:dyDescent="0.25">
      <c r="A1266">
        <v>1265</v>
      </c>
      <c r="B1266" t="s">
        <v>21</v>
      </c>
      <c r="C1266">
        <v>2007</v>
      </c>
      <c r="D1266">
        <v>3.2</v>
      </c>
      <c r="E1266" t="s">
        <v>15</v>
      </c>
      <c r="F1266">
        <v>156844</v>
      </c>
      <c r="G1266" t="s">
        <v>30</v>
      </c>
      <c r="H1266">
        <v>84173.65</v>
      </c>
      <c r="I1266" t="s">
        <v>60</v>
      </c>
      <c r="J1266" t="s">
        <v>46</v>
      </c>
      <c r="K1266" t="s">
        <v>26</v>
      </c>
      <c r="L1266">
        <v>19</v>
      </c>
      <c r="M1266">
        <v>0.54</v>
      </c>
      <c r="N1266" t="s">
        <v>20</v>
      </c>
    </row>
    <row r="1267" spans="1:14" x14ac:dyDescent="0.25">
      <c r="A1267">
        <v>1266</v>
      </c>
      <c r="B1267" t="s">
        <v>29</v>
      </c>
      <c r="C1267">
        <v>2012</v>
      </c>
      <c r="D1267">
        <v>4.2</v>
      </c>
      <c r="E1267" t="s">
        <v>27</v>
      </c>
      <c r="F1267">
        <v>159562</v>
      </c>
      <c r="G1267" t="s">
        <v>16</v>
      </c>
      <c r="H1267">
        <v>73956.039999999994</v>
      </c>
      <c r="I1267" t="s">
        <v>62</v>
      </c>
      <c r="J1267" t="s">
        <v>18</v>
      </c>
      <c r="K1267" t="s">
        <v>26</v>
      </c>
      <c r="L1267">
        <v>14</v>
      </c>
      <c r="M1267">
        <v>0.46</v>
      </c>
      <c r="N1267" t="s">
        <v>33</v>
      </c>
    </row>
    <row r="1268" spans="1:14" x14ac:dyDescent="0.25">
      <c r="A1268">
        <v>1267</v>
      </c>
      <c r="B1268" t="s">
        <v>29</v>
      </c>
      <c r="C1268">
        <v>2022</v>
      </c>
      <c r="D1268">
        <v>2.9</v>
      </c>
      <c r="E1268" t="s">
        <v>15</v>
      </c>
      <c r="F1268">
        <v>122537</v>
      </c>
      <c r="G1268" t="s">
        <v>30</v>
      </c>
      <c r="H1268">
        <v>80076.86</v>
      </c>
      <c r="I1268" t="s">
        <v>31</v>
      </c>
      <c r="J1268" t="s">
        <v>18</v>
      </c>
      <c r="K1268" t="s">
        <v>19</v>
      </c>
      <c r="L1268">
        <v>4</v>
      </c>
      <c r="M1268">
        <v>0.65</v>
      </c>
      <c r="N1268" t="s">
        <v>33</v>
      </c>
    </row>
    <row r="1269" spans="1:14" x14ac:dyDescent="0.25">
      <c r="A1269">
        <v>1268</v>
      </c>
      <c r="B1269" t="s">
        <v>52</v>
      </c>
      <c r="C1269">
        <v>2014</v>
      </c>
      <c r="D1269">
        <v>1.3</v>
      </c>
      <c r="E1269" t="s">
        <v>27</v>
      </c>
      <c r="F1269">
        <v>53806</v>
      </c>
      <c r="G1269" t="s">
        <v>22</v>
      </c>
      <c r="H1269">
        <v>32437.59</v>
      </c>
      <c r="I1269" t="s">
        <v>59</v>
      </c>
      <c r="J1269" t="s">
        <v>41</v>
      </c>
      <c r="K1269" t="s">
        <v>19</v>
      </c>
      <c r="L1269">
        <v>12</v>
      </c>
      <c r="M1269">
        <v>0.6</v>
      </c>
      <c r="N1269" t="s">
        <v>33</v>
      </c>
    </row>
    <row r="1270" spans="1:14" x14ac:dyDescent="0.25">
      <c r="A1270">
        <v>1269</v>
      </c>
      <c r="B1270" t="s">
        <v>43</v>
      </c>
      <c r="C1270">
        <v>2007</v>
      </c>
      <c r="D1270">
        <v>4</v>
      </c>
      <c r="E1270" t="s">
        <v>15</v>
      </c>
      <c r="F1270">
        <v>75992</v>
      </c>
      <c r="G1270" t="s">
        <v>16</v>
      </c>
      <c r="H1270">
        <v>41812.25</v>
      </c>
      <c r="I1270" t="s">
        <v>55</v>
      </c>
      <c r="J1270" t="s">
        <v>32</v>
      </c>
      <c r="K1270" t="s">
        <v>19</v>
      </c>
      <c r="L1270">
        <v>19</v>
      </c>
      <c r="M1270">
        <v>0.55000000000000004</v>
      </c>
      <c r="N1270" t="s">
        <v>20</v>
      </c>
    </row>
    <row r="1271" spans="1:14" x14ac:dyDescent="0.25">
      <c r="A1271">
        <v>1270</v>
      </c>
      <c r="B1271" t="s">
        <v>21</v>
      </c>
      <c r="C1271">
        <v>2011</v>
      </c>
      <c r="D1271">
        <v>5.5</v>
      </c>
      <c r="E1271" t="s">
        <v>27</v>
      </c>
      <c r="F1271">
        <v>284464</v>
      </c>
      <c r="G1271" t="s">
        <v>16</v>
      </c>
      <c r="H1271">
        <v>64543.81</v>
      </c>
      <c r="I1271" t="s">
        <v>42</v>
      </c>
      <c r="J1271" t="s">
        <v>18</v>
      </c>
      <c r="K1271" t="s">
        <v>26</v>
      </c>
      <c r="L1271">
        <v>15</v>
      </c>
      <c r="M1271">
        <v>0.23</v>
      </c>
      <c r="N1271" t="s">
        <v>20</v>
      </c>
    </row>
    <row r="1272" spans="1:14" x14ac:dyDescent="0.25">
      <c r="A1272">
        <v>1271</v>
      </c>
      <c r="B1272" t="s">
        <v>24</v>
      </c>
      <c r="C1272">
        <v>2021</v>
      </c>
      <c r="D1272">
        <v>2.9</v>
      </c>
      <c r="E1272" t="s">
        <v>27</v>
      </c>
      <c r="F1272">
        <v>258852</v>
      </c>
      <c r="G1272" t="s">
        <v>30</v>
      </c>
      <c r="H1272">
        <v>57578.84</v>
      </c>
      <c r="I1272" t="s">
        <v>25</v>
      </c>
      <c r="J1272" t="s">
        <v>32</v>
      </c>
      <c r="K1272" t="s">
        <v>26</v>
      </c>
      <c r="L1272">
        <v>5</v>
      </c>
      <c r="M1272">
        <v>0.22</v>
      </c>
      <c r="N1272" t="s">
        <v>20</v>
      </c>
    </row>
    <row r="1273" spans="1:14" x14ac:dyDescent="0.25">
      <c r="A1273">
        <v>1272</v>
      </c>
      <c r="B1273" t="s">
        <v>29</v>
      </c>
      <c r="C1273">
        <v>2011</v>
      </c>
      <c r="D1273">
        <v>2.1</v>
      </c>
      <c r="E1273" t="s">
        <v>15</v>
      </c>
      <c r="F1273">
        <v>173217</v>
      </c>
      <c r="G1273" t="s">
        <v>22</v>
      </c>
      <c r="H1273">
        <v>96304.87</v>
      </c>
      <c r="I1273" t="s">
        <v>40</v>
      </c>
      <c r="J1273" t="s">
        <v>32</v>
      </c>
      <c r="K1273" t="s">
        <v>26</v>
      </c>
      <c r="L1273">
        <v>15</v>
      </c>
      <c r="M1273">
        <v>0.56000000000000005</v>
      </c>
      <c r="N1273" t="s">
        <v>33</v>
      </c>
    </row>
    <row r="1274" spans="1:14" x14ac:dyDescent="0.25">
      <c r="A1274">
        <v>1273</v>
      </c>
      <c r="B1274" t="s">
        <v>52</v>
      </c>
      <c r="C1274">
        <v>2013</v>
      </c>
      <c r="D1274">
        <v>3.2</v>
      </c>
      <c r="E1274" t="s">
        <v>15</v>
      </c>
      <c r="F1274">
        <v>194760</v>
      </c>
      <c r="G1274" t="s">
        <v>16</v>
      </c>
      <c r="H1274">
        <v>22749.279999999999</v>
      </c>
      <c r="I1274" t="s">
        <v>59</v>
      </c>
      <c r="J1274" t="s">
        <v>18</v>
      </c>
      <c r="K1274" t="s">
        <v>26</v>
      </c>
      <c r="L1274">
        <v>13</v>
      </c>
      <c r="M1274">
        <v>0.12</v>
      </c>
      <c r="N1274" t="s">
        <v>33</v>
      </c>
    </row>
    <row r="1275" spans="1:14" x14ac:dyDescent="0.25">
      <c r="A1275">
        <v>1274</v>
      </c>
      <c r="B1275" t="s">
        <v>24</v>
      </c>
      <c r="C1275">
        <v>2014</v>
      </c>
      <c r="D1275">
        <v>1.2</v>
      </c>
      <c r="E1275" t="s">
        <v>15</v>
      </c>
      <c r="F1275">
        <v>20754</v>
      </c>
      <c r="G1275" t="s">
        <v>30</v>
      </c>
      <c r="H1275">
        <v>38371.449999999997</v>
      </c>
      <c r="I1275" t="s">
        <v>25</v>
      </c>
      <c r="J1275" t="s">
        <v>46</v>
      </c>
      <c r="K1275" t="s">
        <v>50</v>
      </c>
      <c r="L1275">
        <v>12</v>
      </c>
      <c r="M1275">
        <v>1.85</v>
      </c>
      <c r="N1275" t="s">
        <v>20</v>
      </c>
    </row>
    <row r="1276" spans="1:14" x14ac:dyDescent="0.25">
      <c r="A1276">
        <v>1275</v>
      </c>
      <c r="B1276" t="s">
        <v>43</v>
      </c>
      <c r="C1276">
        <v>2014</v>
      </c>
      <c r="D1276">
        <v>5.0999999999999996</v>
      </c>
      <c r="E1276" t="s">
        <v>15</v>
      </c>
      <c r="F1276">
        <v>69837</v>
      </c>
      <c r="G1276" t="s">
        <v>22</v>
      </c>
      <c r="H1276">
        <v>59411.75</v>
      </c>
      <c r="I1276" t="s">
        <v>55</v>
      </c>
      <c r="J1276" t="s">
        <v>41</v>
      </c>
      <c r="K1276" t="s">
        <v>19</v>
      </c>
      <c r="L1276">
        <v>12</v>
      </c>
      <c r="M1276">
        <v>0.85</v>
      </c>
      <c r="N1276" t="s">
        <v>20</v>
      </c>
    </row>
    <row r="1277" spans="1:14" x14ac:dyDescent="0.25">
      <c r="A1277">
        <v>1276</v>
      </c>
      <c r="B1277" t="s">
        <v>21</v>
      </c>
      <c r="C1277">
        <v>2008</v>
      </c>
      <c r="D1277">
        <v>5.0999999999999996</v>
      </c>
      <c r="E1277" t="s">
        <v>15</v>
      </c>
      <c r="F1277">
        <v>138279</v>
      </c>
      <c r="G1277" t="s">
        <v>30</v>
      </c>
      <c r="H1277">
        <v>87456.56</v>
      </c>
      <c r="I1277" t="s">
        <v>42</v>
      </c>
      <c r="J1277" t="s">
        <v>32</v>
      </c>
      <c r="K1277" t="s">
        <v>19</v>
      </c>
      <c r="L1277">
        <v>18</v>
      </c>
      <c r="M1277">
        <v>0.63</v>
      </c>
      <c r="N1277" t="s">
        <v>20</v>
      </c>
    </row>
    <row r="1278" spans="1:14" x14ac:dyDescent="0.25">
      <c r="A1278">
        <v>1277</v>
      </c>
      <c r="B1278" t="s">
        <v>43</v>
      </c>
      <c r="C1278">
        <v>2018</v>
      </c>
      <c r="D1278">
        <v>3.9</v>
      </c>
      <c r="E1278" t="s">
        <v>27</v>
      </c>
      <c r="F1278">
        <v>218811</v>
      </c>
      <c r="G1278" t="s">
        <v>30</v>
      </c>
      <c r="H1278">
        <v>93288.11</v>
      </c>
      <c r="I1278" t="s">
        <v>48</v>
      </c>
      <c r="J1278" t="s">
        <v>46</v>
      </c>
      <c r="K1278" t="s">
        <v>26</v>
      </c>
      <c r="L1278">
        <v>8</v>
      </c>
      <c r="M1278">
        <v>0.43</v>
      </c>
      <c r="N1278" t="s">
        <v>20</v>
      </c>
    </row>
    <row r="1279" spans="1:14" x14ac:dyDescent="0.25">
      <c r="A1279">
        <v>1278</v>
      </c>
      <c r="B1279" t="s">
        <v>29</v>
      </c>
      <c r="C1279">
        <v>2019</v>
      </c>
      <c r="D1279">
        <v>2.8</v>
      </c>
      <c r="E1279" t="s">
        <v>15</v>
      </c>
      <c r="F1279">
        <v>114780</v>
      </c>
      <c r="G1279" t="s">
        <v>16</v>
      </c>
      <c r="H1279">
        <v>36923.449999999997</v>
      </c>
      <c r="I1279" t="s">
        <v>31</v>
      </c>
      <c r="J1279" t="s">
        <v>18</v>
      </c>
      <c r="K1279" t="s">
        <v>19</v>
      </c>
      <c r="L1279">
        <v>7</v>
      </c>
      <c r="M1279">
        <v>0.32</v>
      </c>
      <c r="N1279" t="s">
        <v>33</v>
      </c>
    </row>
    <row r="1280" spans="1:14" x14ac:dyDescent="0.25">
      <c r="A1280">
        <v>1279</v>
      </c>
      <c r="B1280" t="s">
        <v>24</v>
      </c>
      <c r="C1280">
        <v>2021</v>
      </c>
      <c r="D1280">
        <v>5</v>
      </c>
      <c r="E1280" t="s">
        <v>15</v>
      </c>
      <c r="F1280">
        <v>87081</v>
      </c>
      <c r="G1280" t="s">
        <v>16</v>
      </c>
      <c r="H1280">
        <v>11375.3</v>
      </c>
      <c r="I1280" t="s">
        <v>25</v>
      </c>
      <c r="J1280" t="s">
        <v>32</v>
      </c>
      <c r="K1280" t="s">
        <v>19</v>
      </c>
      <c r="L1280">
        <v>5</v>
      </c>
      <c r="M1280">
        <v>0.13</v>
      </c>
      <c r="N1280" t="s">
        <v>20</v>
      </c>
    </row>
    <row r="1281" spans="1:14" x14ac:dyDescent="0.25">
      <c r="A1281">
        <v>1280</v>
      </c>
      <c r="B1281" t="s">
        <v>24</v>
      </c>
      <c r="C1281">
        <v>2007</v>
      </c>
      <c r="D1281">
        <v>3.8</v>
      </c>
      <c r="E1281" t="s">
        <v>27</v>
      </c>
      <c r="F1281">
        <v>286160</v>
      </c>
      <c r="G1281" t="s">
        <v>30</v>
      </c>
      <c r="H1281">
        <v>45053.87</v>
      </c>
      <c r="I1281" t="s">
        <v>45</v>
      </c>
      <c r="J1281" t="s">
        <v>32</v>
      </c>
      <c r="K1281" t="s">
        <v>26</v>
      </c>
      <c r="L1281">
        <v>19</v>
      </c>
      <c r="M1281">
        <v>0.16</v>
      </c>
      <c r="N1281" t="s">
        <v>20</v>
      </c>
    </row>
    <row r="1282" spans="1:14" x14ac:dyDescent="0.25">
      <c r="A1282">
        <v>1281</v>
      </c>
      <c r="B1282" t="s">
        <v>24</v>
      </c>
      <c r="C1282">
        <v>2020</v>
      </c>
      <c r="D1282">
        <v>5.0999999999999996</v>
      </c>
      <c r="E1282" t="s">
        <v>15</v>
      </c>
      <c r="F1282">
        <v>112099</v>
      </c>
      <c r="G1282" t="s">
        <v>16</v>
      </c>
      <c r="H1282">
        <v>42462.69</v>
      </c>
      <c r="I1282" t="s">
        <v>35</v>
      </c>
      <c r="J1282" t="s">
        <v>32</v>
      </c>
      <c r="K1282" t="s">
        <v>19</v>
      </c>
      <c r="L1282">
        <v>6</v>
      </c>
      <c r="M1282">
        <v>0.38</v>
      </c>
      <c r="N1282" t="s">
        <v>20</v>
      </c>
    </row>
    <row r="1283" spans="1:14" x14ac:dyDescent="0.25">
      <c r="A1283">
        <v>1282</v>
      </c>
      <c r="B1283" t="s">
        <v>29</v>
      </c>
      <c r="C1283">
        <v>2018</v>
      </c>
      <c r="D1283">
        <v>4.2</v>
      </c>
      <c r="E1283" t="s">
        <v>27</v>
      </c>
      <c r="F1283">
        <v>151174</v>
      </c>
      <c r="G1283" t="s">
        <v>16</v>
      </c>
      <c r="H1283">
        <v>98716.27</v>
      </c>
      <c r="I1283" t="s">
        <v>38</v>
      </c>
      <c r="J1283" t="s">
        <v>46</v>
      </c>
      <c r="K1283" t="s">
        <v>26</v>
      </c>
      <c r="L1283">
        <v>8</v>
      </c>
      <c r="M1283">
        <v>0.65</v>
      </c>
      <c r="N1283" t="s">
        <v>33</v>
      </c>
    </row>
    <row r="1284" spans="1:14" x14ac:dyDescent="0.25">
      <c r="A1284">
        <v>1283</v>
      </c>
      <c r="B1284" t="s">
        <v>29</v>
      </c>
      <c r="C1284">
        <v>2005</v>
      </c>
      <c r="D1284">
        <v>4.9000000000000004</v>
      </c>
      <c r="E1284" t="s">
        <v>15</v>
      </c>
      <c r="F1284">
        <v>264068</v>
      </c>
      <c r="G1284" t="s">
        <v>22</v>
      </c>
      <c r="H1284">
        <v>45950.82</v>
      </c>
      <c r="I1284" t="s">
        <v>31</v>
      </c>
      <c r="J1284" t="s">
        <v>46</v>
      </c>
      <c r="K1284" t="s">
        <v>26</v>
      </c>
      <c r="L1284">
        <v>21</v>
      </c>
      <c r="M1284">
        <v>0.17</v>
      </c>
      <c r="N1284" t="s">
        <v>33</v>
      </c>
    </row>
    <row r="1285" spans="1:14" x14ac:dyDescent="0.25">
      <c r="A1285">
        <v>1284</v>
      </c>
      <c r="B1285" t="s">
        <v>43</v>
      </c>
      <c r="C1285">
        <v>2019</v>
      </c>
      <c r="D1285">
        <v>4</v>
      </c>
      <c r="E1285" t="s">
        <v>27</v>
      </c>
      <c r="F1285">
        <v>85015</v>
      </c>
      <c r="G1285" t="s">
        <v>22</v>
      </c>
      <c r="H1285">
        <v>34043.68</v>
      </c>
      <c r="I1285" t="s">
        <v>55</v>
      </c>
      <c r="J1285" t="s">
        <v>46</v>
      </c>
      <c r="K1285" t="s">
        <v>19</v>
      </c>
      <c r="L1285">
        <v>7</v>
      </c>
      <c r="M1285">
        <v>0.4</v>
      </c>
      <c r="N1285" t="s">
        <v>20</v>
      </c>
    </row>
    <row r="1286" spans="1:14" x14ac:dyDescent="0.25">
      <c r="A1286">
        <v>1285</v>
      </c>
      <c r="B1286" t="s">
        <v>36</v>
      </c>
      <c r="C1286">
        <v>2018</v>
      </c>
      <c r="D1286">
        <v>3.1</v>
      </c>
      <c r="E1286" t="s">
        <v>15</v>
      </c>
      <c r="F1286">
        <v>104987</v>
      </c>
      <c r="G1286" t="s">
        <v>30</v>
      </c>
      <c r="H1286">
        <v>39710.85</v>
      </c>
      <c r="I1286" t="s">
        <v>54</v>
      </c>
      <c r="J1286" t="s">
        <v>32</v>
      </c>
      <c r="K1286" t="s">
        <v>19</v>
      </c>
      <c r="L1286">
        <v>8</v>
      </c>
      <c r="M1286">
        <v>0.38</v>
      </c>
      <c r="N1286" t="s">
        <v>33</v>
      </c>
    </row>
    <row r="1287" spans="1:14" x14ac:dyDescent="0.25">
      <c r="A1287">
        <v>1286</v>
      </c>
      <c r="B1287" t="s">
        <v>43</v>
      </c>
      <c r="C1287">
        <v>2003</v>
      </c>
      <c r="D1287">
        <v>5.8</v>
      </c>
      <c r="E1287" t="s">
        <v>27</v>
      </c>
      <c r="F1287">
        <v>54333</v>
      </c>
      <c r="G1287" t="s">
        <v>30</v>
      </c>
      <c r="H1287">
        <v>42708</v>
      </c>
      <c r="I1287" t="s">
        <v>55</v>
      </c>
      <c r="J1287" t="s">
        <v>32</v>
      </c>
      <c r="K1287" t="s">
        <v>19</v>
      </c>
      <c r="L1287">
        <v>23</v>
      </c>
      <c r="M1287">
        <v>0.79</v>
      </c>
      <c r="N1287" t="s">
        <v>20</v>
      </c>
    </row>
    <row r="1288" spans="1:14" x14ac:dyDescent="0.25">
      <c r="A1288">
        <v>1287</v>
      </c>
      <c r="B1288" t="s">
        <v>21</v>
      </c>
      <c r="C1288">
        <v>2022</v>
      </c>
      <c r="D1288">
        <v>3.7</v>
      </c>
      <c r="E1288" t="s">
        <v>27</v>
      </c>
      <c r="F1288">
        <v>215530</v>
      </c>
      <c r="G1288" t="s">
        <v>30</v>
      </c>
      <c r="H1288">
        <v>83046.34</v>
      </c>
      <c r="I1288" t="s">
        <v>23</v>
      </c>
      <c r="J1288" t="s">
        <v>41</v>
      </c>
      <c r="K1288" t="s">
        <v>26</v>
      </c>
      <c r="L1288">
        <v>4</v>
      </c>
      <c r="M1288">
        <v>0.39</v>
      </c>
      <c r="N1288" t="s">
        <v>20</v>
      </c>
    </row>
    <row r="1289" spans="1:14" x14ac:dyDescent="0.25">
      <c r="A1289">
        <v>1288</v>
      </c>
      <c r="B1289" t="s">
        <v>52</v>
      </c>
      <c r="C1289">
        <v>2006</v>
      </c>
      <c r="D1289">
        <v>4</v>
      </c>
      <c r="E1289" t="s">
        <v>15</v>
      </c>
      <c r="F1289">
        <v>177171</v>
      </c>
      <c r="G1289" t="s">
        <v>30</v>
      </c>
      <c r="H1289">
        <v>12696.41</v>
      </c>
      <c r="I1289" t="s">
        <v>59</v>
      </c>
      <c r="J1289" t="s">
        <v>41</v>
      </c>
      <c r="K1289" t="s">
        <v>26</v>
      </c>
      <c r="L1289">
        <v>20</v>
      </c>
      <c r="M1289">
        <v>7.0000000000000007E-2</v>
      </c>
      <c r="N1289" t="s">
        <v>33</v>
      </c>
    </row>
    <row r="1290" spans="1:14" x14ac:dyDescent="0.25">
      <c r="A1290">
        <v>1289</v>
      </c>
      <c r="B1290" t="s">
        <v>24</v>
      </c>
      <c r="C1290">
        <v>2003</v>
      </c>
      <c r="D1290">
        <v>2.1</v>
      </c>
      <c r="E1290" t="s">
        <v>15</v>
      </c>
      <c r="F1290">
        <v>188418</v>
      </c>
      <c r="G1290" t="s">
        <v>22</v>
      </c>
      <c r="H1290">
        <v>35068.17</v>
      </c>
      <c r="I1290" t="s">
        <v>34</v>
      </c>
      <c r="J1290" t="s">
        <v>46</v>
      </c>
      <c r="K1290" t="s">
        <v>26</v>
      </c>
      <c r="L1290">
        <v>23</v>
      </c>
      <c r="M1290">
        <v>0.19</v>
      </c>
      <c r="N1290" t="s">
        <v>20</v>
      </c>
    </row>
    <row r="1291" spans="1:14" x14ac:dyDescent="0.25">
      <c r="A1291">
        <v>1290</v>
      </c>
      <c r="B1291" t="s">
        <v>36</v>
      </c>
      <c r="C1291">
        <v>2021</v>
      </c>
      <c r="D1291">
        <v>4.0999999999999996</v>
      </c>
      <c r="E1291" t="s">
        <v>15</v>
      </c>
      <c r="F1291">
        <v>126372</v>
      </c>
      <c r="G1291" t="s">
        <v>16</v>
      </c>
      <c r="H1291">
        <v>96800.26</v>
      </c>
      <c r="I1291" t="s">
        <v>37</v>
      </c>
      <c r="J1291" t="s">
        <v>46</v>
      </c>
      <c r="K1291" t="s">
        <v>19</v>
      </c>
      <c r="L1291">
        <v>5</v>
      </c>
      <c r="M1291">
        <v>0.77</v>
      </c>
      <c r="N1291" t="s">
        <v>33</v>
      </c>
    </row>
    <row r="1292" spans="1:14" x14ac:dyDescent="0.25">
      <c r="A1292">
        <v>1291</v>
      </c>
      <c r="B1292" t="s">
        <v>52</v>
      </c>
      <c r="C1292">
        <v>2011</v>
      </c>
      <c r="D1292">
        <v>3.9</v>
      </c>
      <c r="E1292" t="s">
        <v>27</v>
      </c>
      <c r="F1292">
        <v>206553</v>
      </c>
      <c r="G1292" t="s">
        <v>22</v>
      </c>
      <c r="H1292">
        <v>19544.740000000002</v>
      </c>
      <c r="I1292" t="s">
        <v>59</v>
      </c>
      <c r="J1292" t="s">
        <v>18</v>
      </c>
      <c r="K1292" t="s">
        <v>26</v>
      </c>
      <c r="L1292">
        <v>15</v>
      </c>
      <c r="M1292">
        <v>0.09</v>
      </c>
      <c r="N1292" t="s">
        <v>33</v>
      </c>
    </row>
    <row r="1293" spans="1:14" x14ac:dyDescent="0.25">
      <c r="A1293">
        <v>1292</v>
      </c>
      <c r="B1293" t="s">
        <v>36</v>
      </c>
      <c r="C1293">
        <v>2012</v>
      </c>
      <c r="D1293">
        <v>1.9</v>
      </c>
      <c r="E1293" t="s">
        <v>27</v>
      </c>
      <c r="F1293">
        <v>69767</v>
      </c>
      <c r="G1293" t="s">
        <v>30</v>
      </c>
      <c r="H1293">
        <v>75547.13</v>
      </c>
      <c r="I1293" t="s">
        <v>54</v>
      </c>
      <c r="J1293" t="s">
        <v>46</v>
      </c>
      <c r="K1293" t="s">
        <v>19</v>
      </c>
      <c r="L1293">
        <v>14</v>
      </c>
      <c r="M1293">
        <v>1.08</v>
      </c>
      <c r="N1293" t="s">
        <v>33</v>
      </c>
    </row>
    <row r="1294" spans="1:14" x14ac:dyDescent="0.25">
      <c r="A1294">
        <v>1293</v>
      </c>
      <c r="B1294" t="s">
        <v>14</v>
      </c>
      <c r="C1294">
        <v>2002</v>
      </c>
      <c r="D1294">
        <v>1.3</v>
      </c>
      <c r="E1294" t="s">
        <v>27</v>
      </c>
      <c r="F1294">
        <v>104332</v>
      </c>
      <c r="G1294" t="s">
        <v>30</v>
      </c>
      <c r="H1294">
        <v>38857.379999999997</v>
      </c>
      <c r="I1294" t="s">
        <v>17</v>
      </c>
      <c r="J1294" t="s">
        <v>18</v>
      </c>
      <c r="K1294" t="s">
        <v>19</v>
      </c>
      <c r="L1294">
        <v>24</v>
      </c>
      <c r="M1294">
        <v>0.37</v>
      </c>
      <c r="N1294" t="s">
        <v>20</v>
      </c>
    </row>
    <row r="1295" spans="1:14" x14ac:dyDescent="0.25">
      <c r="A1295">
        <v>1294</v>
      </c>
      <c r="B1295" t="s">
        <v>43</v>
      </c>
      <c r="C1295">
        <v>2021</v>
      </c>
      <c r="D1295">
        <v>4</v>
      </c>
      <c r="E1295" t="s">
        <v>15</v>
      </c>
      <c r="F1295">
        <v>143279</v>
      </c>
      <c r="G1295" t="s">
        <v>22</v>
      </c>
      <c r="H1295">
        <v>60269.62</v>
      </c>
      <c r="I1295" t="s">
        <v>44</v>
      </c>
      <c r="J1295" t="s">
        <v>41</v>
      </c>
      <c r="K1295" t="s">
        <v>19</v>
      </c>
      <c r="L1295">
        <v>5</v>
      </c>
      <c r="M1295">
        <v>0.42</v>
      </c>
      <c r="N1295" t="s">
        <v>20</v>
      </c>
    </row>
    <row r="1296" spans="1:14" x14ac:dyDescent="0.25">
      <c r="A1296">
        <v>1295</v>
      </c>
      <c r="B1296" t="s">
        <v>29</v>
      </c>
      <c r="C1296">
        <v>2011</v>
      </c>
      <c r="D1296">
        <v>4.8</v>
      </c>
      <c r="E1296" t="s">
        <v>15</v>
      </c>
      <c r="F1296">
        <v>6336</v>
      </c>
      <c r="G1296" t="s">
        <v>22</v>
      </c>
      <c r="H1296">
        <v>14457.06</v>
      </c>
      <c r="I1296" t="s">
        <v>38</v>
      </c>
      <c r="J1296" t="s">
        <v>41</v>
      </c>
      <c r="K1296" t="s">
        <v>50</v>
      </c>
      <c r="L1296">
        <v>15</v>
      </c>
      <c r="M1296">
        <v>2.2799999999999998</v>
      </c>
      <c r="N1296" t="s">
        <v>33</v>
      </c>
    </row>
    <row r="1297" spans="1:14" x14ac:dyDescent="0.25">
      <c r="A1297">
        <v>1296</v>
      </c>
      <c r="B1297" t="s">
        <v>24</v>
      </c>
      <c r="C1297">
        <v>2001</v>
      </c>
      <c r="D1297">
        <v>3.6</v>
      </c>
      <c r="E1297" t="s">
        <v>27</v>
      </c>
      <c r="F1297">
        <v>206238</v>
      </c>
      <c r="G1297" t="s">
        <v>30</v>
      </c>
      <c r="H1297">
        <v>34109.11</v>
      </c>
      <c r="I1297" t="s">
        <v>25</v>
      </c>
      <c r="J1297" t="s">
        <v>32</v>
      </c>
      <c r="K1297" t="s">
        <v>26</v>
      </c>
      <c r="L1297">
        <v>25</v>
      </c>
      <c r="M1297">
        <v>0.17</v>
      </c>
      <c r="N1297" t="s">
        <v>20</v>
      </c>
    </row>
    <row r="1298" spans="1:14" x14ac:dyDescent="0.25">
      <c r="A1298">
        <v>1297</v>
      </c>
      <c r="B1298" t="s">
        <v>43</v>
      </c>
      <c r="C1298">
        <v>2023</v>
      </c>
      <c r="D1298">
        <v>2.1</v>
      </c>
      <c r="E1298" t="s">
        <v>15</v>
      </c>
      <c r="F1298">
        <v>279400</v>
      </c>
      <c r="G1298" t="s">
        <v>16</v>
      </c>
      <c r="H1298">
        <v>52582.17</v>
      </c>
      <c r="I1298" t="s">
        <v>44</v>
      </c>
      <c r="J1298" t="s">
        <v>32</v>
      </c>
      <c r="K1298" t="s">
        <v>26</v>
      </c>
      <c r="L1298">
        <v>3</v>
      </c>
      <c r="M1298">
        <v>0.19</v>
      </c>
      <c r="N1298" t="s">
        <v>20</v>
      </c>
    </row>
    <row r="1299" spans="1:14" x14ac:dyDescent="0.25">
      <c r="A1299">
        <v>1298</v>
      </c>
      <c r="B1299" t="s">
        <v>52</v>
      </c>
      <c r="C1299">
        <v>2001</v>
      </c>
      <c r="D1299">
        <v>4.3</v>
      </c>
      <c r="E1299" t="s">
        <v>27</v>
      </c>
      <c r="F1299">
        <v>230517</v>
      </c>
      <c r="G1299" t="s">
        <v>30</v>
      </c>
      <c r="H1299">
        <v>27011.56</v>
      </c>
      <c r="I1299" t="s">
        <v>59</v>
      </c>
      <c r="J1299" t="s">
        <v>46</v>
      </c>
      <c r="K1299" t="s">
        <v>26</v>
      </c>
      <c r="L1299">
        <v>25</v>
      </c>
      <c r="M1299">
        <v>0.12</v>
      </c>
      <c r="N1299" t="s">
        <v>33</v>
      </c>
    </row>
    <row r="1300" spans="1:14" x14ac:dyDescent="0.25">
      <c r="A1300">
        <v>1299</v>
      </c>
      <c r="B1300" t="s">
        <v>14</v>
      </c>
      <c r="C1300">
        <v>2022</v>
      </c>
      <c r="D1300">
        <v>1.4</v>
      </c>
      <c r="E1300" t="s">
        <v>15</v>
      </c>
      <c r="F1300">
        <v>180889</v>
      </c>
      <c r="G1300" t="s">
        <v>22</v>
      </c>
      <c r="H1300">
        <v>56477.64</v>
      </c>
      <c r="I1300" t="s">
        <v>28</v>
      </c>
      <c r="J1300" t="s">
        <v>18</v>
      </c>
      <c r="K1300" t="s">
        <v>26</v>
      </c>
      <c r="L1300">
        <v>4</v>
      </c>
      <c r="M1300">
        <v>0.31</v>
      </c>
      <c r="N1300" t="s">
        <v>20</v>
      </c>
    </row>
    <row r="1301" spans="1:14" x14ac:dyDescent="0.25">
      <c r="A1301">
        <v>1300</v>
      </c>
      <c r="B1301" t="s">
        <v>14</v>
      </c>
      <c r="C1301">
        <v>2008</v>
      </c>
      <c r="D1301">
        <v>3.2</v>
      </c>
      <c r="E1301" t="s">
        <v>15</v>
      </c>
      <c r="F1301">
        <v>295863</v>
      </c>
      <c r="G1301" t="s">
        <v>30</v>
      </c>
      <c r="H1301">
        <v>25877.13</v>
      </c>
      <c r="I1301" t="s">
        <v>17</v>
      </c>
      <c r="J1301" t="s">
        <v>18</v>
      </c>
      <c r="K1301" t="s">
        <v>26</v>
      </c>
      <c r="L1301">
        <v>18</v>
      </c>
      <c r="M1301">
        <v>0.09</v>
      </c>
      <c r="N1301" t="s">
        <v>20</v>
      </c>
    </row>
    <row r="1302" spans="1:14" x14ac:dyDescent="0.25">
      <c r="A1302">
        <v>1301</v>
      </c>
      <c r="B1302" t="s">
        <v>14</v>
      </c>
      <c r="C1302">
        <v>2000</v>
      </c>
      <c r="D1302">
        <v>1.8</v>
      </c>
      <c r="E1302" t="s">
        <v>27</v>
      </c>
      <c r="F1302">
        <v>45704</v>
      </c>
      <c r="G1302" t="s">
        <v>30</v>
      </c>
      <c r="H1302">
        <v>66759.55</v>
      </c>
      <c r="I1302" t="s">
        <v>17</v>
      </c>
      <c r="J1302" t="s">
        <v>18</v>
      </c>
      <c r="K1302" t="s">
        <v>50</v>
      </c>
      <c r="L1302">
        <v>26</v>
      </c>
      <c r="M1302">
        <v>1.46</v>
      </c>
      <c r="N1302" t="s">
        <v>20</v>
      </c>
    </row>
    <row r="1303" spans="1:14" x14ac:dyDescent="0.25">
      <c r="A1303">
        <v>1302</v>
      </c>
      <c r="B1303" t="s">
        <v>52</v>
      </c>
      <c r="C1303">
        <v>2007</v>
      </c>
      <c r="D1303">
        <v>1.9</v>
      </c>
      <c r="E1303" t="s">
        <v>15</v>
      </c>
      <c r="F1303">
        <v>292157</v>
      </c>
      <c r="G1303" t="s">
        <v>16</v>
      </c>
      <c r="H1303">
        <v>90913.66</v>
      </c>
      <c r="I1303" t="s">
        <v>61</v>
      </c>
      <c r="J1303" t="s">
        <v>32</v>
      </c>
      <c r="K1303" t="s">
        <v>26</v>
      </c>
      <c r="L1303">
        <v>19</v>
      </c>
      <c r="M1303">
        <v>0.31</v>
      </c>
      <c r="N1303" t="s">
        <v>33</v>
      </c>
    </row>
    <row r="1304" spans="1:14" x14ac:dyDescent="0.25">
      <c r="A1304">
        <v>1303</v>
      </c>
      <c r="B1304" t="s">
        <v>52</v>
      </c>
      <c r="C1304">
        <v>2022</v>
      </c>
      <c r="D1304">
        <v>2</v>
      </c>
      <c r="E1304" t="s">
        <v>15</v>
      </c>
      <c r="F1304">
        <v>226884</v>
      </c>
      <c r="G1304" t="s">
        <v>30</v>
      </c>
      <c r="H1304">
        <v>13121.42</v>
      </c>
      <c r="I1304" t="s">
        <v>56</v>
      </c>
      <c r="J1304" t="s">
        <v>41</v>
      </c>
      <c r="K1304" t="s">
        <v>26</v>
      </c>
      <c r="L1304">
        <v>4</v>
      </c>
      <c r="M1304">
        <v>0.06</v>
      </c>
      <c r="N1304" t="s">
        <v>33</v>
      </c>
    </row>
    <row r="1305" spans="1:14" x14ac:dyDescent="0.25">
      <c r="A1305">
        <v>1304</v>
      </c>
      <c r="B1305" t="s">
        <v>52</v>
      </c>
      <c r="C1305">
        <v>2005</v>
      </c>
      <c r="D1305">
        <v>2.9</v>
      </c>
      <c r="E1305" t="s">
        <v>15</v>
      </c>
      <c r="F1305">
        <v>167848</v>
      </c>
      <c r="G1305" t="s">
        <v>30</v>
      </c>
      <c r="H1305">
        <v>25578.52</v>
      </c>
      <c r="I1305" t="s">
        <v>53</v>
      </c>
      <c r="J1305" t="s">
        <v>41</v>
      </c>
      <c r="K1305" t="s">
        <v>26</v>
      </c>
      <c r="L1305">
        <v>21</v>
      </c>
      <c r="M1305">
        <v>0.15</v>
      </c>
      <c r="N1305" t="s">
        <v>33</v>
      </c>
    </row>
    <row r="1306" spans="1:14" x14ac:dyDescent="0.25">
      <c r="A1306">
        <v>1305</v>
      </c>
      <c r="B1306" t="s">
        <v>52</v>
      </c>
      <c r="C1306">
        <v>2005</v>
      </c>
      <c r="D1306">
        <v>1.3</v>
      </c>
      <c r="E1306" t="s">
        <v>15</v>
      </c>
      <c r="F1306">
        <v>272204</v>
      </c>
      <c r="G1306" t="s">
        <v>30</v>
      </c>
      <c r="H1306">
        <v>85220.19</v>
      </c>
      <c r="I1306" t="s">
        <v>56</v>
      </c>
      <c r="J1306" t="s">
        <v>32</v>
      </c>
      <c r="K1306" t="s">
        <v>26</v>
      </c>
      <c r="L1306">
        <v>21</v>
      </c>
      <c r="M1306">
        <v>0.31</v>
      </c>
      <c r="N1306" t="s">
        <v>33</v>
      </c>
    </row>
    <row r="1307" spans="1:14" x14ac:dyDescent="0.25">
      <c r="A1307">
        <v>1306</v>
      </c>
      <c r="B1307" t="s">
        <v>14</v>
      </c>
      <c r="C1307">
        <v>2021</v>
      </c>
      <c r="D1307">
        <v>3</v>
      </c>
      <c r="E1307" t="s">
        <v>15</v>
      </c>
      <c r="F1307">
        <v>219182</v>
      </c>
      <c r="G1307" t="s">
        <v>22</v>
      </c>
      <c r="H1307">
        <v>64997.58</v>
      </c>
      <c r="I1307" t="s">
        <v>39</v>
      </c>
      <c r="J1307" t="s">
        <v>18</v>
      </c>
      <c r="K1307" t="s">
        <v>26</v>
      </c>
      <c r="L1307">
        <v>5</v>
      </c>
      <c r="M1307">
        <v>0.3</v>
      </c>
      <c r="N1307" t="s">
        <v>20</v>
      </c>
    </row>
    <row r="1308" spans="1:14" x14ac:dyDescent="0.25">
      <c r="A1308">
        <v>1307</v>
      </c>
      <c r="B1308" t="s">
        <v>14</v>
      </c>
      <c r="C1308">
        <v>2017</v>
      </c>
      <c r="D1308">
        <v>3.6</v>
      </c>
      <c r="E1308" t="s">
        <v>27</v>
      </c>
      <c r="F1308">
        <v>78563</v>
      </c>
      <c r="G1308" t="s">
        <v>22</v>
      </c>
      <c r="H1308">
        <v>12477.35</v>
      </c>
      <c r="I1308" t="s">
        <v>58</v>
      </c>
      <c r="J1308" t="s">
        <v>18</v>
      </c>
      <c r="K1308" t="s">
        <v>19</v>
      </c>
      <c r="L1308">
        <v>9</v>
      </c>
      <c r="M1308">
        <v>0.16</v>
      </c>
      <c r="N1308" t="s">
        <v>20</v>
      </c>
    </row>
    <row r="1309" spans="1:14" x14ac:dyDescent="0.25">
      <c r="A1309">
        <v>1308</v>
      </c>
      <c r="B1309" t="s">
        <v>36</v>
      </c>
      <c r="C1309">
        <v>2016</v>
      </c>
      <c r="D1309">
        <v>3.4</v>
      </c>
      <c r="E1309" t="s">
        <v>15</v>
      </c>
      <c r="F1309">
        <v>135102</v>
      </c>
      <c r="G1309" t="s">
        <v>16</v>
      </c>
      <c r="H1309">
        <v>51203.26</v>
      </c>
      <c r="I1309" t="s">
        <v>51</v>
      </c>
      <c r="J1309" t="s">
        <v>46</v>
      </c>
      <c r="K1309" t="s">
        <v>19</v>
      </c>
      <c r="L1309">
        <v>10</v>
      </c>
      <c r="M1309">
        <v>0.38</v>
      </c>
      <c r="N1309" t="s">
        <v>33</v>
      </c>
    </row>
    <row r="1310" spans="1:14" x14ac:dyDescent="0.25">
      <c r="A1310">
        <v>1309</v>
      </c>
      <c r="B1310" t="s">
        <v>43</v>
      </c>
      <c r="C1310">
        <v>2011</v>
      </c>
      <c r="D1310">
        <v>2.9</v>
      </c>
      <c r="E1310" t="s">
        <v>27</v>
      </c>
      <c r="F1310">
        <v>89779</v>
      </c>
      <c r="G1310" t="s">
        <v>30</v>
      </c>
      <c r="H1310">
        <v>24927.06</v>
      </c>
      <c r="I1310" t="s">
        <v>55</v>
      </c>
      <c r="J1310" t="s">
        <v>46</v>
      </c>
      <c r="K1310" t="s">
        <v>19</v>
      </c>
      <c r="L1310">
        <v>15</v>
      </c>
      <c r="M1310">
        <v>0.28000000000000003</v>
      </c>
      <c r="N1310" t="s">
        <v>20</v>
      </c>
    </row>
    <row r="1311" spans="1:14" x14ac:dyDescent="0.25">
      <c r="A1311">
        <v>1310</v>
      </c>
      <c r="B1311" t="s">
        <v>24</v>
      </c>
      <c r="C1311">
        <v>2005</v>
      </c>
      <c r="D1311">
        <v>5.2</v>
      </c>
      <c r="E1311" t="s">
        <v>15</v>
      </c>
      <c r="F1311">
        <v>164361</v>
      </c>
      <c r="G1311" t="s">
        <v>22</v>
      </c>
      <c r="H1311">
        <v>23914.16</v>
      </c>
      <c r="I1311" t="s">
        <v>34</v>
      </c>
      <c r="J1311" t="s">
        <v>18</v>
      </c>
      <c r="K1311" t="s">
        <v>26</v>
      </c>
      <c r="L1311">
        <v>21</v>
      </c>
      <c r="M1311">
        <v>0.15</v>
      </c>
      <c r="N1311" t="s">
        <v>20</v>
      </c>
    </row>
    <row r="1312" spans="1:14" x14ac:dyDescent="0.25">
      <c r="A1312">
        <v>1311</v>
      </c>
      <c r="B1312" t="s">
        <v>29</v>
      </c>
      <c r="C1312">
        <v>2007</v>
      </c>
      <c r="D1312">
        <v>1.7</v>
      </c>
      <c r="E1312" t="s">
        <v>15</v>
      </c>
      <c r="F1312">
        <v>99704</v>
      </c>
      <c r="G1312" t="s">
        <v>16</v>
      </c>
      <c r="H1312">
        <v>94361.31</v>
      </c>
      <c r="I1312" t="s">
        <v>40</v>
      </c>
      <c r="J1312" t="s">
        <v>32</v>
      </c>
      <c r="K1312" t="s">
        <v>19</v>
      </c>
      <c r="L1312">
        <v>19</v>
      </c>
      <c r="M1312">
        <v>0.95</v>
      </c>
      <c r="N1312" t="s">
        <v>33</v>
      </c>
    </row>
    <row r="1313" spans="1:14" x14ac:dyDescent="0.25">
      <c r="A1313">
        <v>1312</v>
      </c>
      <c r="B1313" t="s">
        <v>14</v>
      </c>
      <c r="C1313">
        <v>2018</v>
      </c>
      <c r="D1313">
        <v>3.5</v>
      </c>
      <c r="E1313" t="s">
        <v>27</v>
      </c>
      <c r="F1313">
        <v>261757</v>
      </c>
      <c r="G1313" t="s">
        <v>30</v>
      </c>
      <c r="H1313">
        <v>77346.45</v>
      </c>
      <c r="I1313" t="s">
        <v>39</v>
      </c>
      <c r="J1313" t="s">
        <v>18</v>
      </c>
      <c r="K1313" t="s">
        <v>26</v>
      </c>
      <c r="L1313">
        <v>8</v>
      </c>
      <c r="M1313">
        <v>0.3</v>
      </c>
      <c r="N1313" t="s">
        <v>20</v>
      </c>
    </row>
    <row r="1314" spans="1:14" x14ac:dyDescent="0.25">
      <c r="A1314">
        <v>1313</v>
      </c>
      <c r="B1314" t="s">
        <v>29</v>
      </c>
      <c r="C1314">
        <v>2009</v>
      </c>
      <c r="D1314">
        <v>1.3</v>
      </c>
      <c r="E1314" t="s">
        <v>27</v>
      </c>
      <c r="F1314">
        <v>110234</v>
      </c>
      <c r="G1314" t="s">
        <v>16</v>
      </c>
      <c r="H1314">
        <v>71141.91</v>
      </c>
      <c r="I1314" t="s">
        <v>38</v>
      </c>
      <c r="J1314" t="s">
        <v>46</v>
      </c>
      <c r="K1314" t="s">
        <v>19</v>
      </c>
      <c r="L1314">
        <v>17</v>
      </c>
      <c r="M1314">
        <v>0.65</v>
      </c>
      <c r="N1314" t="s">
        <v>33</v>
      </c>
    </row>
    <row r="1315" spans="1:14" x14ac:dyDescent="0.25">
      <c r="A1315">
        <v>1314</v>
      </c>
      <c r="B1315" t="s">
        <v>43</v>
      </c>
      <c r="C1315">
        <v>2000</v>
      </c>
      <c r="D1315">
        <v>1.4</v>
      </c>
      <c r="E1315" t="s">
        <v>15</v>
      </c>
      <c r="F1315">
        <v>36491</v>
      </c>
      <c r="G1315" t="s">
        <v>16</v>
      </c>
      <c r="H1315">
        <v>27698.240000000002</v>
      </c>
      <c r="I1315" t="s">
        <v>49</v>
      </c>
      <c r="J1315" t="s">
        <v>18</v>
      </c>
      <c r="K1315" t="s">
        <v>50</v>
      </c>
      <c r="L1315">
        <v>26</v>
      </c>
      <c r="M1315">
        <v>0.76</v>
      </c>
      <c r="N1315" t="s">
        <v>20</v>
      </c>
    </row>
    <row r="1316" spans="1:14" x14ac:dyDescent="0.25">
      <c r="A1316">
        <v>1315</v>
      </c>
      <c r="B1316" t="s">
        <v>43</v>
      </c>
      <c r="C1316">
        <v>2012</v>
      </c>
      <c r="D1316">
        <v>3.9</v>
      </c>
      <c r="E1316" t="s">
        <v>15</v>
      </c>
      <c r="F1316">
        <v>226621</v>
      </c>
      <c r="G1316" t="s">
        <v>16</v>
      </c>
      <c r="H1316">
        <v>16264.48</v>
      </c>
      <c r="I1316" t="s">
        <v>44</v>
      </c>
      <c r="J1316" t="s">
        <v>32</v>
      </c>
      <c r="K1316" t="s">
        <v>26</v>
      </c>
      <c r="L1316">
        <v>14</v>
      </c>
      <c r="M1316">
        <v>7.0000000000000007E-2</v>
      </c>
      <c r="N1316" t="s">
        <v>20</v>
      </c>
    </row>
    <row r="1317" spans="1:14" x14ac:dyDescent="0.25">
      <c r="A1317">
        <v>1316</v>
      </c>
      <c r="B1317" t="s">
        <v>29</v>
      </c>
      <c r="C1317">
        <v>2016</v>
      </c>
      <c r="D1317">
        <v>3.8</v>
      </c>
      <c r="E1317" t="s">
        <v>27</v>
      </c>
      <c r="F1317">
        <v>20448</v>
      </c>
      <c r="G1317" t="s">
        <v>16</v>
      </c>
      <c r="H1317">
        <v>87729.1</v>
      </c>
      <c r="I1317" t="s">
        <v>62</v>
      </c>
      <c r="J1317" t="s">
        <v>41</v>
      </c>
      <c r="K1317" t="s">
        <v>50</v>
      </c>
      <c r="L1317">
        <v>10</v>
      </c>
      <c r="M1317">
        <v>4.29</v>
      </c>
      <c r="N1317" t="s">
        <v>33</v>
      </c>
    </row>
    <row r="1318" spans="1:14" x14ac:dyDescent="0.25">
      <c r="A1318">
        <v>1317</v>
      </c>
      <c r="B1318" t="s">
        <v>14</v>
      </c>
      <c r="C1318">
        <v>2002</v>
      </c>
      <c r="D1318">
        <v>5.4</v>
      </c>
      <c r="E1318" t="s">
        <v>27</v>
      </c>
      <c r="F1318">
        <v>49294</v>
      </c>
      <c r="G1318" t="s">
        <v>16</v>
      </c>
      <c r="H1318">
        <v>5558.56</v>
      </c>
      <c r="I1318" t="s">
        <v>28</v>
      </c>
      <c r="J1318" t="s">
        <v>18</v>
      </c>
      <c r="K1318" t="s">
        <v>50</v>
      </c>
      <c r="L1318">
        <v>24</v>
      </c>
      <c r="M1318">
        <v>0.11</v>
      </c>
      <c r="N1318" t="s">
        <v>20</v>
      </c>
    </row>
    <row r="1319" spans="1:14" x14ac:dyDescent="0.25">
      <c r="A1319">
        <v>1318</v>
      </c>
      <c r="B1319" t="s">
        <v>29</v>
      </c>
      <c r="C1319">
        <v>2007</v>
      </c>
      <c r="D1319">
        <v>3.8</v>
      </c>
      <c r="E1319" t="s">
        <v>27</v>
      </c>
      <c r="F1319">
        <v>283590</v>
      </c>
      <c r="G1319" t="s">
        <v>16</v>
      </c>
      <c r="H1319">
        <v>41869.160000000003</v>
      </c>
      <c r="I1319" t="s">
        <v>40</v>
      </c>
      <c r="J1319" t="s">
        <v>32</v>
      </c>
      <c r="K1319" t="s">
        <v>26</v>
      </c>
      <c r="L1319">
        <v>19</v>
      </c>
      <c r="M1319">
        <v>0.15</v>
      </c>
      <c r="N1319" t="s">
        <v>33</v>
      </c>
    </row>
    <row r="1320" spans="1:14" x14ac:dyDescent="0.25">
      <c r="A1320">
        <v>1319</v>
      </c>
      <c r="B1320" t="s">
        <v>36</v>
      </c>
      <c r="C1320">
        <v>2013</v>
      </c>
      <c r="D1320">
        <v>5.8</v>
      </c>
      <c r="E1320" t="s">
        <v>27</v>
      </c>
      <c r="F1320">
        <v>216461</v>
      </c>
      <c r="G1320" t="s">
        <v>16</v>
      </c>
      <c r="H1320">
        <v>31373.19</v>
      </c>
      <c r="I1320" t="s">
        <v>37</v>
      </c>
      <c r="J1320" t="s">
        <v>46</v>
      </c>
      <c r="K1320" t="s">
        <v>26</v>
      </c>
      <c r="L1320">
        <v>13</v>
      </c>
      <c r="M1320">
        <v>0.14000000000000001</v>
      </c>
      <c r="N1320" t="s">
        <v>33</v>
      </c>
    </row>
    <row r="1321" spans="1:14" x14ac:dyDescent="0.25">
      <c r="A1321">
        <v>1320</v>
      </c>
      <c r="B1321" t="s">
        <v>21</v>
      </c>
      <c r="C1321">
        <v>2002</v>
      </c>
      <c r="D1321">
        <v>1.2</v>
      </c>
      <c r="E1321" t="s">
        <v>15</v>
      </c>
      <c r="F1321">
        <v>85615</v>
      </c>
      <c r="G1321" t="s">
        <v>30</v>
      </c>
      <c r="H1321">
        <v>59185.74</v>
      </c>
      <c r="I1321" t="s">
        <v>47</v>
      </c>
      <c r="J1321" t="s">
        <v>32</v>
      </c>
      <c r="K1321" t="s">
        <v>19</v>
      </c>
      <c r="L1321">
        <v>24</v>
      </c>
      <c r="M1321">
        <v>0.69</v>
      </c>
      <c r="N1321" t="s">
        <v>20</v>
      </c>
    </row>
    <row r="1322" spans="1:14" x14ac:dyDescent="0.25">
      <c r="A1322">
        <v>1321</v>
      </c>
      <c r="B1322" t="s">
        <v>14</v>
      </c>
      <c r="C1322">
        <v>2015</v>
      </c>
      <c r="D1322">
        <v>1.5</v>
      </c>
      <c r="E1322" t="s">
        <v>15</v>
      </c>
      <c r="F1322">
        <v>17101</v>
      </c>
      <c r="G1322" t="s">
        <v>30</v>
      </c>
      <c r="H1322">
        <v>28798.3</v>
      </c>
      <c r="I1322" t="s">
        <v>39</v>
      </c>
      <c r="J1322" t="s">
        <v>18</v>
      </c>
      <c r="K1322" t="s">
        <v>50</v>
      </c>
      <c r="L1322">
        <v>11</v>
      </c>
      <c r="M1322">
        <v>1.68</v>
      </c>
      <c r="N1322" t="s">
        <v>20</v>
      </c>
    </row>
    <row r="1323" spans="1:14" x14ac:dyDescent="0.25">
      <c r="A1323">
        <v>1322</v>
      </c>
      <c r="B1323" t="s">
        <v>14</v>
      </c>
      <c r="C1323">
        <v>2012</v>
      </c>
      <c r="D1323">
        <v>1.2</v>
      </c>
      <c r="E1323" t="s">
        <v>15</v>
      </c>
      <c r="F1323">
        <v>290160</v>
      </c>
      <c r="G1323" t="s">
        <v>16</v>
      </c>
      <c r="H1323">
        <v>34564.51</v>
      </c>
      <c r="I1323" t="s">
        <v>39</v>
      </c>
      <c r="J1323" t="s">
        <v>18</v>
      </c>
      <c r="K1323" t="s">
        <v>26</v>
      </c>
      <c r="L1323">
        <v>14</v>
      </c>
      <c r="M1323">
        <v>0.12</v>
      </c>
      <c r="N1323" t="s">
        <v>20</v>
      </c>
    </row>
    <row r="1324" spans="1:14" x14ac:dyDescent="0.25">
      <c r="A1324">
        <v>1323</v>
      </c>
      <c r="B1324" t="s">
        <v>24</v>
      </c>
      <c r="C1324">
        <v>2019</v>
      </c>
      <c r="D1324">
        <v>1.9</v>
      </c>
      <c r="E1324" t="s">
        <v>15</v>
      </c>
      <c r="F1324">
        <v>150004</v>
      </c>
      <c r="G1324" t="s">
        <v>30</v>
      </c>
      <c r="H1324">
        <v>85753.79</v>
      </c>
      <c r="I1324" t="s">
        <v>45</v>
      </c>
      <c r="J1324" t="s">
        <v>46</v>
      </c>
      <c r="K1324" t="s">
        <v>26</v>
      </c>
      <c r="L1324">
        <v>7</v>
      </c>
      <c r="M1324">
        <v>0.56999999999999995</v>
      </c>
      <c r="N1324" t="s">
        <v>20</v>
      </c>
    </row>
    <row r="1325" spans="1:14" x14ac:dyDescent="0.25">
      <c r="A1325">
        <v>1324</v>
      </c>
      <c r="B1325" t="s">
        <v>52</v>
      </c>
      <c r="C1325">
        <v>2023</v>
      </c>
      <c r="D1325">
        <v>3.7</v>
      </c>
      <c r="E1325" t="s">
        <v>15</v>
      </c>
      <c r="F1325">
        <v>90481</v>
      </c>
      <c r="G1325" t="s">
        <v>16</v>
      </c>
      <c r="H1325">
        <v>62302.94</v>
      </c>
      <c r="I1325" t="s">
        <v>53</v>
      </c>
      <c r="J1325" t="s">
        <v>41</v>
      </c>
      <c r="K1325" t="s">
        <v>19</v>
      </c>
      <c r="L1325">
        <v>3</v>
      </c>
      <c r="M1325">
        <v>0.69</v>
      </c>
      <c r="N1325" t="s">
        <v>33</v>
      </c>
    </row>
    <row r="1326" spans="1:14" x14ac:dyDescent="0.25">
      <c r="A1326">
        <v>1325</v>
      </c>
      <c r="B1326" t="s">
        <v>21</v>
      </c>
      <c r="C1326">
        <v>2016</v>
      </c>
      <c r="D1326">
        <v>4.2</v>
      </c>
      <c r="E1326" t="s">
        <v>27</v>
      </c>
      <c r="F1326">
        <v>52802</v>
      </c>
      <c r="G1326" t="s">
        <v>30</v>
      </c>
      <c r="H1326">
        <v>18839.84</v>
      </c>
      <c r="I1326" t="s">
        <v>60</v>
      </c>
      <c r="J1326" t="s">
        <v>18</v>
      </c>
      <c r="K1326" t="s">
        <v>19</v>
      </c>
      <c r="L1326">
        <v>10</v>
      </c>
      <c r="M1326">
        <v>0.36</v>
      </c>
      <c r="N1326" t="s">
        <v>20</v>
      </c>
    </row>
    <row r="1327" spans="1:14" x14ac:dyDescent="0.25">
      <c r="A1327">
        <v>1326</v>
      </c>
      <c r="B1327" t="s">
        <v>43</v>
      </c>
      <c r="C1327">
        <v>2012</v>
      </c>
      <c r="D1327">
        <v>1.2</v>
      </c>
      <c r="E1327" t="s">
        <v>27</v>
      </c>
      <c r="F1327">
        <v>269693</v>
      </c>
      <c r="G1327" t="s">
        <v>22</v>
      </c>
      <c r="H1327">
        <v>74014.8</v>
      </c>
      <c r="I1327" t="s">
        <v>44</v>
      </c>
      <c r="J1327" t="s">
        <v>32</v>
      </c>
      <c r="K1327" t="s">
        <v>26</v>
      </c>
      <c r="L1327">
        <v>14</v>
      </c>
      <c r="M1327">
        <v>0.27</v>
      </c>
      <c r="N1327" t="s">
        <v>20</v>
      </c>
    </row>
    <row r="1328" spans="1:14" x14ac:dyDescent="0.25">
      <c r="A1328">
        <v>1327</v>
      </c>
      <c r="B1328" t="s">
        <v>14</v>
      </c>
      <c r="C1328">
        <v>2005</v>
      </c>
      <c r="D1328">
        <v>5.7</v>
      </c>
      <c r="E1328" t="s">
        <v>27</v>
      </c>
      <c r="F1328">
        <v>210005</v>
      </c>
      <c r="G1328" t="s">
        <v>16</v>
      </c>
      <c r="H1328">
        <v>24708.62</v>
      </c>
      <c r="I1328" t="s">
        <v>28</v>
      </c>
      <c r="J1328" t="s">
        <v>18</v>
      </c>
      <c r="K1328" t="s">
        <v>26</v>
      </c>
      <c r="L1328">
        <v>21</v>
      </c>
      <c r="M1328">
        <v>0.12</v>
      </c>
      <c r="N1328" t="s">
        <v>20</v>
      </c>
    </row>
    <row r="1329" spans="1:14" x14ac:dyDescent="0.25">
      <c r="A1329">
        <v>1328</v>
      </c>
      <c r="B1329" t="s">
        <v>29</v>
      </c>
      <c r="C1329">
        <v>2016</v>
      </c>
      <c r="D1329">
        <v>5.2</v>
      </c>
      <c r="E1329" t="s">
        <v>15</v>
      </c>
      <c r="F1329">
        <v>156434</v>
      </c>
      <c r="G1329" t="s">
        <v>22</v>
      </c>
      <c r="H1329">
        <v>46135.47</v>
      </c>
      <c r="I1329" t="s">
        <v>31</v>
      </c>
      <c r="J1329" t="s">
        <v>41</v>
      </c>
      <c r="K1329" t="s">
        <v>26</v>
      </c>
      <c r="L1329">
        <v>10</v>
      </c>
      <c r="M1329">
        <v>0.28999999999999998</v>
      </c>
      <c r="N1329" t="s">
        <v>33</v>
      </c>
    </row>
    <row r="1330" spans="1:14" x14ac:dyDescent="0.25">
      <c r="A1330">
        <v>1329</v>
      </c>
      <c r="B1330" t="s">
        <v>21</v>
      </c>
      <c r="C1330">
        <v>2013</v>
      </c>
      <c r="D1330">
        <v>2.5</v>
      </c>
      <c r="E1330" t="s">
        <v>27</v>
      </c>
      <c r="F1330">
        <v>47842</v>
      </c>
      <c r="G1330" t="s">
        <v>16</v>
      </c>
      <c r="H1330">
        <v>66427.69</v>
      </c>
      <c r="I1330" t="s">
        <v>42</v>
      </c>
      <c r="J1330" t="s">
        <v>18</v>
      </c>
      <c r="K1330" t="s">
        <v>50</v>
      </c>
      <c r="L1330">
        <v>13</v>
      </c>
      <c r="M1330">
        <v>1.39</v>
      </c>
      <c r="N1330" t="s">
        <v>20</v>
      </c>
    </row>
    <row r="1331" spans="1:14" x14ac:dyDescent="0.25">
      <c r="A1331">
        <v>1330</v>
      </c>
      <c r="B1331" t="s">
        <v>24</v>
      </c>
      <c r="C1331">
        <v>2016</v>
      </c>
      <c r="D1331">
        <v>1.4</v>
      </c>
      <c r="E1331" t="s">
        <v>15</v>
      </c>
      <c r="F1331">
        <v>46539</v>
      </c>
      <c r="G1331" t="s">
        <v>16</v>
      </c>
      <c r="H1331">
        <v>30833.31</v>
      </c>
      <c r="I1331" t="s">
        <v>34</v>
      </c>
      <c r="J1331" t="s">
        <v>46</v>
      </c>
      <c r="K1331" t="s">
        <v>50</v>
      </c>
      <c r="L1331">
        <v>10</v>
      </c>
      <c r="M1331">
        <v>0.66</v>
      </c>
      <c r="N1331" t="s">
        <v>20</v>
      </c>
    </row>
    <row r="1332" spans="1:14" x14ac:dyDescent="0.25">
      <c r="A1332">
        <v>1331</v>
      </c>
      <c r="B1332" t="s">
        <v>43</v>
      </c>
      <c r="C1332">
        <v>2007</v>
      </c>
      <c r="D1332">
        <v>1.8</v>
      </c>
      <c r="E1332" t="s">
        <v>15</v>
      </c>
      <c r="F1332">
        <v>33717</v>
      </c>
      <c r="G1332" t="s">
        <v>22</v>
      </c>
      <c r="H1332">
        <v>41490.15</v>
      </c>
      <c r="I1332" t="s">
        <v>44</v>
      </c>
      <c r="J1332" t="s">
        <v>18</v>
      </c>
      <c r="K1332" t="s">
        <v>50</v>
      </c>
      <c r="L1332">
        <v>19</v>
      </c>
      <c r="M1332">
        <v>1.23</v>
      </c>
      <c r="N1332" t="s">
        <v>20</v>
      </c>
    </row>
    <row r="1333" spans="1:14" x14ac:dyDescent="0.25">
      <c r="A1333">
        <v>1332</v>
      </c>
      <c r="B1333" t="s">
        <v>52</v>
      </c>
      <c r="C1333">
        <v>2010</v>
      </c>
      <c r="D1333">
        <v>1.6</v>
      </c>
      <c r="E1333" t="s">
        <v>15</v>
      </c>
      <c r="F1333">
        <v>246281</v>
      </c>
      <c r="G1333" t="s">
        <v>22</v>
      </c>
      <c r="H1333">
        <v>74744.210000000006</v>
      </c>
      <c r="I1333" t="s">
        <v>61</v>
      </c>
      <c r="J1333" t="s">
        <v>18</v>
      </c>
      <c r="K1333" t="s">
        <v>26</v>
      </c>
      <c r="L1333">
        <v>16</v>
      </c>
      <c r="M1333">
        <v>0.3</v>
      </c>
      <c r="N1333" t="s">
        <v>33</v>
      </c>
    </row>
    <row r="1334" spans="1:14" x14ac:dyDescent="0.25">
      <c r="A1334">
        <v>1333</v>
      </c>
      <c r="B1334" t="s">
        <v>52</v>
      </c>
      <c r="C1334">
        <v>2019</v>
      </c>
      <c r="D1334">
        <v>1.6</v>
      </c>
      <c r="E1334" t="s">
        <v>27</v>
      </c>
      <c r="F1334">
        <v>186272</v>
      </c>
      <c r="G1334" t="s">
        <v>22</v>
      </c>
      <c r="H1334">
        <v>94101.54</v>
      </c>
      <c r="I1334" t="s">
        <v>56</v>
      </c>
      <c r="J1334" t="s">
        <v>32</v>
      </c>
      <c r="K1334" t="s">
        <v>26</v>
      </c>
      <c r="L1334">
        <v>7</v>
      </c>
      <c r="M1334">
        <v>0.51</v>
      </c>
      <c r="N1334" t="s">
        <v>33</v>
      </c>
    </row>
    <row r="1335" spans="1:14" x14ac:dyDescent="0.25">
      <c r="A1335">
        <v>1334</v>
      </c>
      <c r="B1335" t="s">
        <v>24</v>
      </c>
      <c r="C1335">
        <v>2000</v>
      </c>
      <c r="D1335">
        <v>3.6</v>
      </c>
      <c r="E1335" t="s">
        <v>15</v>
      </c>
      <c r="F1335">
        <v>115042</v>
      </c>
      <c r="G1335" t="s">
        <v>16</v>
      </c>
      <c r="H1335">
        <v>55278.28</v>
      </c>
      <c r="I1335" t="s">
        <v>35</v>
      </c>
      <c r="J1335" t="s">
        <v>32</v>
      </c>
      <c r="K1335" t="s">
        <v>19</v>
      </c>
      <c r="L1335">
        <v>26</v>
      </c>
      <c r="M1335">
        <v>0.48</v>
      </c>
      <c r="N1335" t="s">
        <v>20</v>
      </c>
    </row>
    <row r="1336" spans="1:14" x14ac:dyDescent="0.25">
      <c r="A1336">
        <v>1335</v>
      </c>
      <c r="B1336" t="s">
        <v>24</v>
      </c>
      <c r="C1336">
        <v>2006</v>
      </c>
      <c r="D1336">
        <v>2.2000000000000002</v>
      </c>
      <c r="E1336" t="s">
        <v>15</v>
      </c>
      <c r="F1336">
        <v>127922</v>
      </c>
      <c r="G1336" t="s">
        <v>22</v>
      </c>
      <c r="H1336">
        <v>5947.24</v>
      </c>
      <c r="I1336" t="s">
        <v>25</v>
      </c>
      <c r="J1336" t="s">
        <v>46</v>
      </c>
      <c r="K1336" t="s">
        <v>19</v>
      </c>
      <c r="L1336">
        <v>20</v>
      </c>
      <c r="M1336">
        <v>0.05</v>
      </c>
      <c r="N1336" t="s">
        <v>20</v>
      </c>
    </row>
    <row r="1337" spans="1:14" x14ac:dyDescent="0.25">
      <c r="A1337">
        <v>1336</v>
      </c>
      <c r="B1337" t="s">
        <v>29</v>
      </c>
      <c r="C1337">
        <v>2020</v>
      </c>
      <c r="D1337">
        <v>2.8</v>
      </c>
      <c r="E1337" t="s">
        <v>27</v>
      </c>
      <c r="F1337">
        <v>92447</v>
      </c>
      <c r="G1337" t="s">
        <v>22</v>
      </c>
      <c r="H1337">
        <v>37154.06</v>
      </c>
      <c r="I1337" t="s">
        <v>62</v>
      </c>
      <c r="J1337" t="s">
        <v>18</v>
      </c>
      <c r="K1337" t="s">
        <v>19</v>
      </c>
      <c r="L1337">
        <v>6</v>
      </c>
      <c r="M1337">
        <v>0.4</v>
      </c>
      <c r="N1337" t="s">
        <v>33</v>
      </c>
    </row>
    <row r="1338" spans="1:14" x14ac:dyDescent="0.25">
      <c r="A1338">
        <v>1337</v>
      </c>
      <c r="B1338" t="s">
        <v>14</v>
      </c>
      <c r="C1338">
        <v>2020</v>
      </c>
      <c r="D1338">
        <v>5.9</v>
      </c>
      <c r="E1338" t="s">
        <v>15</v>
      </c>
      <c r="F1338">
        <v>158693</v>
      </c>
      <c r="G1338" t="s">
        <v>30</v>
      </c>
      <c r="H1338">
        <v>42870.26</v>
      </c>
      <c r="I1338" t="s">
        <v>17</v>
      </c>
      <c r="J1338" t="s">
        <v>18</v>
      </c>
      <c r="K1338" t="s">
        <v>26</v>
      </c>
      <c r="L1338">
        <v>6</v>
      </c>
      <c r="M1338">
        <v>0.27</v>
      </c>
      <c r="N1338" t="s">
        <v>20</v>
      </c>
    </row>
    <row r="1339" spans="1:14" x14ac:dyDescent="0.25">
      <c r="A1339">
        <v>1338</v>
      </c>
      <c r="B1339" t="s">
        <v>52</v>
      </c>
      <c r="C1339">
        <v>2016</v>
      </c>
      <c r="D1339">
        <v>4.4000000000000004</v>
      </c>
      <c r="E1339" t="s">
        <v>27</v>
      </c>
      <c r="F1339">
        <v>12823</v>
      </c>
      <c r="G1339" t="s">
        <v>30</v>
      </c>
      <c r="H1339">
        <v>37221.49</v>
      </c>
      <c r="I1339" t="s">
        <v>61</v>
      </c>
      <c r="J1339" t="s">
        <v>46</v>
      </c>
      <c r="K1339" t="s">
        <v>50</v>
      </c>
      <c r="L1339">
        <v>10</v>
      </c>
      <c r="M1339">
        <v>2.9</v>
      </c>
      <c r="N1339" t="s">
        <v>33</v>
      </c>
    </row>
    <row r="1340" spans="1:14" x14ac:dyDescent="0.25">
      <c r="A1340">
        <v>1339</v>
      </c>
      <c r="B1340" t="s">
        <v>43</v>
      </c>
      <c r="C1340">
        <v>2009</v>
      </c>
      <c r="D1340">
        <v>5.7</v>
      </c>
      <c r="E1340" t="s">
        <v>15</v>
      </c>
      <c r="F1340">
        <v>29986</v>
      </c>
      <c r="G1340" t="s">
        <v>22</v>
      </c>
      <c r="H1340">
        <v>46445.54</v>
      </c>
      <c r="I1340" t="s">
        <v>49</v>
      </c>
      <c r="J1340" t="s">
        <v>18</v>
      </c>
      <c r="K1340" t="s">
        <v>50</v>
      </c>
      <c r="L1340">
        <v>17</v>
      </c>
      <c r="M1340">
        <v>1.55</v>
      </c>
      <c r="N1340" t="s">
        <v>20</v>
      </c>
    </row>
    <row r="1341" spans="1:14" x14ac:dyDescent="0.25">
      <c r="A1341">
        <v>1340</v>
      </c>
      <c r="B1341" t="s">
        <v>21</v>
      </c>
      <c r="C1341">
        <v>2010</v>
      </c>
      <c r="D1341">
        <v>1.7</v>
      </c>
      <c r="E1341" t="s">
        <v>27</v>
      </c>
      <c r="F1341">
        <v>121682</v>
      </c>
      <c r="G1341" t="s">
        <v>22</v>
      </c>
      <c r="H1341">
        <v>65103.29</v>
      </c>
      <c r="I1341" t="s">
        <v>23</v>
      </c>
      <c r="J1341" t="s">
        <v>46</v>
      </c>
      <c r="K1341" t="s">
        <v>19</v>
      </c>
      <c r="L1341">
        <v>16</v>
      </c>
      <c r="M1341">
        <v>0.54</v>
      </c>
      <c r="N1341" t="s">
        <v>20</v>
      </c>
    </row>
    <row r="1342" spans="1:14" x14ac:dyDescent="0.25">
      <c r="A1342">
        <v>1341</v>
      </c>
      <c r="B1342" t="s">
        <v>43</v>
      </c>
      <c r="C1342">
        <v>2021</v>
      </c>
      <c r="D1342">
        <v>2.9</v>
      </c>
      <c r="E1342" t="s">
        <v>15</v>
      </c>
      <c r="F1342">
        <v>64325</v>
      </c>
      <c r="G1342" t="s">
        <v>22</v>
      </c>
      <c r="H1342">
        <v>16507.16</v>
      </c>
      <c r="I1342" t="s">
        <v>49</v>
      </c>
      <c r="J1342" t="s">
        <v>18</v>
      </c>
      <c r="K1342" t="s">
        <v>19</v>
      </c>
      <c r="L1342">
        <v>5</v>
      </c>
      <c r="M1342">
        <v>0.26</v>
      </c>
      <c r="N1342" t="s">
        <v>20</v>
      </c>
    </row>
    <row r="1343" spans="1:14" x14ac:dyDescent="0.25">
      <c r="A1343">
        <v>1342</v>
      </c>
      <c r="B1343" t="s">
        <v>36</v>
      </c>
      <c r="C1343">
        <v>2008</v>
      </c>
      <c r="D1343">
        <v>3.8</v>
      </c>
      <c r="E1343" t="s">
        <v>15</v>
      </c>
      <c r="F1343">
        <v>250476</v>
      </c>
      <c r="G1343" t="s">
        <v>22</v>
      </c>
      <c r="H1343">
        <v>30899.9</v>
      </c>
      <c r="I1343" t="s">
        <v>57</v>
      </c>
      <c r="J1343" t="s">
        <v>18</v>
      </c>
      <c r="K1343" t="s">
        <v>26</v>
      </c>
      <c r="L1343">
        <v>18</v>
      </c>
      <c r="M1343">
        <v>0.12</v>
      </c>
      <c r="N1343" t="s">
        <v>33</v>
      </c>
    </row>
    <row r="1344" spans="1:14" x14ac:dyDescent="0.25">
      <c r="A1344">
        <v>1343</v>
      </c>
      <c r="B1344" t="s">
        <v>36</v>
      </c>
      <c r="C1344">
        <v>2008</v>
      </c>
      <c r="D1344">
        <v>1.4</v>
      </c>
      <c r="E1344" t="s">
        <v>27</v>
      </c>
      <c r="F1344">
        <v>57771</v>
      </c>
      <c r="G1344" t="s">
        <v>30</v>
      </c>
      <c r="H1344">
        <v>53226.57</v>
      </c>
      <c r="I1344" t="s">
        <v>37</v>
      </c>
      <c r="J1344" t="s">
        <v>18</v>
      </c>
      <c r="K1344" t="s">
        <v>19</v>
      </c>
      <c r="L1344">
        <v>18</v>
      </c>
      <c r="M1344">
        <v>0.92</v>
      </c>
      <c r="N1344" t="s">
        <v>33</v>
      </c>
    </row>
    <row r="1345" spans="1:14" x14ac:dyDescent="0.25">
      <c r="A1345">
        <v>1344</v>
      </c>
      <c r="B1345" t="s">
        <v>24</v>
      </c>
      <c r="C1345">
        <v>2023</v>
      </c>
      <c r="D1345">
        <v>1</v>
      </c>
      <c r="E1345" t="s">
        <v>15</v>
      </c>
      <c r="F1345">
        <v>54973</v>
      </c>
      <c r="G1345" t="s">
        <v>16</v>
      </c>
      <c r="H1345">
        <v>34979.46</v>
      </c>
      <c r="I1345" t="s">
        <v>45</v>
      </c>
      <c r="J1345" t="s">
        <v>18</v>
      </c>
      <c r="K1345" t="s">
        <v>19</v>
      </c>
      <c r="L1345">
        <v>3</v>
      </c>
      <c r="M1345">
        <v>0.64</v>
      </c>
      <c r="N1345" t="s">
        <v>20</v>
      </c>
    </row>
    <row r="1346" spans="1:14" x14ac:dyDescent="0.25">
      <c r="A1346">
        <v>1345</v>
      </c>
      <c r="B1346" t="s">
        <v>29</v>
      </c>
      <c r="C1346">
        <v>2004</v>
      </c>
      <c r="D1346">
        <v>4.4000000000000004</v>
      </c>
      <c r="E1346" t="s">
        <v>27</v>
      </c>
      <c r="F1346">
        <v>145762</v>
      </c>
      <c r="G1346" t="s">
        <v>22</v>
      </c>
      <c r="H1346">
        <v>99153.11</v>
      </c>
      <c r="I1346" t="s">
        <v>40</v>
      </c>
      <c r="J1346" t="s">
        <v>41</v>
      </c>
      <c r="K1346" t="s">
        <v>19</v>
      </c>
      <c r="L1346">
        <v>22</v>
      </c>
      <c r="M1346">
        <v>0.68</v>
      </c>
      <c r="N1346" t="s">
        <v>33</v>
      </c>
    </row>
    <row r="1347" spans="1:14" x14ac:dyDescent="0.25">
      <c r="A1347">
        <v>1346</v>
      </c>
      <c r="B1347" t="s">
        <v>36</v>
      </c>
      <c r="C1347">
        <v>2016</v>
      </c>
      <c r="D1347">
        <v>4.2</v>
      </c>
      <c r="E1347" t="s">
        <v>15</v>
      </c>
      <c r="F1347">
        <v>57888</v>
      </c>
      <c r="G1347" t="s">
        <v>22</v>
      </c>
      <c r="H1347">
        <v>45985.99</v>
      </c>
      <c r="I1347" t="s">
        <v>51</v>
      </c>
      <c r="J1347" t="s">
        <v>18</v>
      </c>
      <c r="K1347" t="s">
        <v>19</v>
      </c>
      <c r="L1347">
        <v>10</v>
      </c>
      <c r="M1347">
        <v>0.79</v>
      </c>
      <c r="N1347" t="s">
        <v>33</v>
      </c>
    </row>
    <row r="1348" spans="1:14" x14ac:dyDescent="0.25">
      <c r="A1348">
        <v>1347</v>
      </c>
      <c r="B1348" t="s">
        <v>52</v>
      </c>
      <c r="C1348">
        <v>2008</v>
      </c>
      <c r="D1348">
        <v>3.1</v>
      </c>
      <c r="E1348" t="s">
        <v>27</v>
      </c>
      <c r="F1348">
        <v>10956</v>
      </c>
      <c r="G1348" t="s">
        <v>30</v>
      </c>
      <c r="H1348">
        <v>87630.92</v>
      </c>
      <c r="I1348" t="s">
        <v>53</v>
      </c>
      <c r="J1348" t="s">
        <v>32</v>
      </c>
      <c r="K1348" t="s">
        <v>50</v>
      </c>
      <c r="L1348">
        <v>18</v>
      </c>
      <c r="M1348">
        <v>8</v>
      </c>
      <c r="N1348" t="s">
        <v>33</v>
      </c>
    </row>
    <row r="1349" spans="1:14" x14ac:dyDescent="0.25">
      <c r="A1349">
        <v>1348</v>
      </c>
      <c r="B1349" t="s">
        <v>43</v>
      </c>
      <c r="C1349">
        <v>2016</v>
      </c>
      <c r="D1349">
        <v>3.4</v>
      </c>
      <c r="E1349" t="s">
        <v>15</v>
      </c>
      <c r="F1349">
        <v>86839</v>
      </c>
      <c r="G1349" t="s">
        <v>22</v>
      </c>
      <c r="H1349">
        <v>90168.43</v>
      </c>
      <c r="I1349" t="s">
        <v>49</v>
      </c>
      <c r="J1349" t="s">
        <v>32</v>
      </c>
      <c r="K1349" t="s">
        <v>19</v>
      </c>
      <c r="L1349">
        <v>10</v>
      </c>
      <c r="M1349">
        <v>1.04</v>
      </c>
      <c r="N1349" t="s">
        <v>20</v>
      </c>
    </row>
    <row r="1350" spans="1:14" x14ac:dyDescent="0.25">
      <c r="A1350">
        <v>1349</v>
      </c>
      <c r="B1350" t="s">
        <v>43</v>
      </c>
      <c r="C1350">
        <v>2023</v>
      </c>
      <c r="D1350">
        <v>3.1</v>
      </c>
      <c r="E1350" t="s">
        <v>15</v>
      </c>
      <c r="F1350">
        <v>167605</v>
      </c>
      <c r="G1350" t="s">
        <v>22</v>
      </c>
      <c r="H1350">
        <v>84420.66</v>
      </c>
      <c r="I1350" t="s">
        <v>44</v>
      </c>
      <c r="J1350" t="s">
        <v>32</v>
      </c>
      <c r="K1350" t="s">
        <v>26</v>
      </c>
      <c r="L1350">
        <v>3</v>
      </c>
      <c r="M1350">
        <v>0.5</v>
      </c>
      <c r="N1350" t="s">
        <v>20</v>
      </c>
    </row>
    <row r="1351" spans="1:14" x14ac:dyDescent="0.25">
      <c r="A1351">
        <v>1350</v>
      </c>
      <c r="B1351" t="s">
        <v>24</v>
      </c>
      <c r="C1351">
        <v>2020</v>
      </c>
      <c r="D1351">
        <v>1.1000000000000001</v>
      </c>
      <c r="E1351" t="s">
        <v>15</v>
      </c>
      <c r="F1351">
        <v>101131</v>
      </c>
      <c r="G1351" t="s">
        <v>30</v>
      </c>
      <c r="H1351">
        <v>9455.33</v>
      </c>
      <c r="I1351" t="s">
        <v>34</v>
      </c>
      <c r="J1351" t="s">
        <v>18</v>
      </c>
      <c r="K1351" t="s">
        <v>19</v>
      </c>
      <c r="L1351">
        <v>6</v>
      </c>
      <c r="M1351">
        <v>0.09</v>
      </c>
      <c r="N1351" t="s">
        <v>20</v>
      </c>
    </row>
    <row r="1352" spans="1:14" x14ac:dyDescent="0.25">
      <c r="A1352">
        <v>1351</v>
      </c>
      <c r="B1352" t="s">
        <v>14</v>
      </c>
      <c r="C1352">
        <v>2018</v>
      </c>
      <c r="D1352">
        <v>2.7</v>
      </c>
      <c r="E1352" t="s">
        <v>27</v>
      </c>
      <c r="F1352">
        <v>187973</v>
      </c>
      <c r="G1352" t="s">
        <v>22</v>
      </c>
      <c r="H1352">
        <v>95035.94</v>
      </c>
      <c r="I1352" t="s">
        <v>28</v>
      </c>
      <c r="J1352" t="s">
        <v>18</v>
      </c>
      <c r="K1352" t="s">
        <v>26</v>
      </c>
      <c r="L1352">
        <v>8</v>
      </c>
      <c r="M1352">
        <v>0.51</v>
      </c>
      <c r="N1352" t="s">
        <v>20</v>
      </c>
    </row>
    <row r="1353" spans="1:14" x14ac:dyDescent="0.25">
      <c r="A1353">
        <v>1352</v>
      </c>
      <c r="B1353" t="s">
        <v>14</v>
      </c>
      <c r="C1353">
        <v>2006</v>
      </c>
      <c r="D1353">
        <v>1.9</v>
      </c>
      <c r="E1353" t="s">
        <v>27</v>
      </c>
      <c r="F1353">
        <v>11519</v>
      </c>
      <c r="G1353" t="s">
        <v>22</v>
      </c>
      <c r="H1353">
        <v>17230.54</v>
      </c>
      <c r="I1353" t="s">
        <v>28</v>
      </c>
      <c r="J1353" t="s">
        <v>18</v>
      </c>
      <c r="K1353" t="s">
        <v>50</v>
      </c>
      <c r="L1353">
        <v>20</v>
      </c>
      <c r="M1353">
        <v>1.5</v>
      </c>
      <c r="N1353" t="s">
        <v>20</v>
      </c>
    </row>
    <row r="1354" spans="1:14" x14ac:dyDescent="0.25">
      <c r="A1354">
        <v>1353</v>
      </c>
      <c r="B1354" t="s">
        <v>21</v>
      </c>
      <c r="C1354">
        <v>2022</v>
      </c>
      <c r="D1354">
        <v>1.5</v>
      </c>
      <c r="E1354" t="s">
        <v>27</v>
      </c>
      <c r="F1354">
        <v>162187</v>
      </c>
      <c r="G1354" t="s">
        <v>30</v>
      </c>
      <c r="H1354">
        <v>8268.34</v>
      </c>
      <c r="I1354" t="s">
        <v>47</v>
      </c>
      <c r="J1354" t="s">
        <v>46</v>
      </c>
      <c r="K1354" t="s">
        <v>26</v>
      </c>
      <c r="L1354">
        <v>4</v>
      </c>
      <c r="M1354">
        <v>0.05</v>
      </c>
      <c r="N1354" t="s">
        <v>20</v>
      </c>
    </row>
    <row r="1355" spans="1:14" x14ac:dyDescent="0.25">
      <c r="A1355">
        <v>1354</v>
      </c>
      <c r="B1355" t="s">
        <v>24</v>
      </c>
      <c r="C1355">
        <v>2008</v>
      </c>
      <c r="D1355">
        <v>5.8</v>
      </c>
      <c r="E1355" t="s">
        <v>27</v>
      </c>
      <c r="F1355">
        <v>1832</v>
      </c>
      <c r="G1355" t="s">
        <v>16</v>
      </c>
      <c r="H1355">
        <v>44365.11</v>
      </c>
      <c r="I1355" t="s">
        <v>34</v>
      </c>
      <c r="J1355" t="s">
        <v>18</v>
      </c>
      <c r="K1355" t="s">
        <v>50</v>
      </c>
      <c r="L1355">
        <v>18</v>
      </c>
      <c r="M1355">
        <v>24.22</v>
      </c>
      <c r="N1355" t="s">
        <v>20</v>
      </c>
    </row>
    <row r="1356" spans="1:14" x14ac:dyDescent="0.25">
      <c r="A1356">
        <v>1355</v>
      </c>
      <c r="B1356" t="s">
        <v>21</v>
      </c>
      <c r="C1356">
        <v>2006</v>
      </c>
      <c r="D1356">
        <v>4</v>
      </c>
      <c r="E1356" t="s">
        <v>27</v>
      </c>
      <c r="F1356">
        <v>113922</v>
      </c>
      <c r="G1356" t="s">
        <v>22</v>
      </c>
      <c r="H1356">
        <v>23490.23</v>
      </c>
      <c r="I1356" t="s">
        <v>47</v>
      </c>
      <c r="J1356" t="s">
        <v>32</v>
      </c>
      <c r="K1356" t="s">
        <v>19</v>
      </c>
      <c r="L1356">
        <v>20</v>
      </c>
      <c r="M1356">
        <v>0.21</v>
      </c>
      <c r="N1356" t="s">
        <v>20</v>
      </c>
    </row>
    <row r="1357" spans="1:14" x14ac:dyDescent="0.25">
      <c r="A1357">
        <v>1356</v>
      </c>
      <c r="B1357" t="s">
        <v>14</v>
      </c>
      <c r="C1357">
        <v>2012</v>
      </c>
      <c r="D1357">
        <v>4.5999999999999996</v>
      </c>
      <c r="E1357" t="s">
        <v>15</v>
      </c>
      <c r="F1357">
        <v>105474</v>
      </c>
      <c r="G1357" t="s">
        <v>22</v>
      </c>
      <c r="H1357">
        <v>22498.67</v>
      </c>
      <c r="I1357" t="s">
        <v>58</v>
      </c>
      <c r="J1357" t="s">
        <v>18</v>
      </c>
      <c r="K1357" t="s">
        <v>19</v>
      </c>
      <c r="L1357">
        <v>14</v>
      </c>
      <c r="M1357">
        <v>0.21</v>
      </c>
      <c r="N1357" t="s">
        <v>20</v>
      </c>
    </row>
    <row r="1358" spans="1:14" x14ac:dyDescent="0.25">
      <c r="A1358">
        <v>1357</v>
      </c>
      <c r="B1358" t="s">
        <v>24</v>
      </c>
      <c r="C1358">
        <v>2010</v>
      </c>
      <c r="D1358">
        <v>2.6</v>
      </c>
      <c r="E1358" t="s">
        <v>15</v>
      </c>
      <c r="F1358">
        <v>69715</v>
      </c>
      <c r="G1358" t="s">
        <v>16</v>
      </c>
      <c r="H1358">
        <v>32342.86</v>
      </c>
      <c r="I1358" t="s">
        <v>34</v>
      </c>
      <c r="J1358" t="s">
        <v>46</v>
      </c>
      <c r="K1358" t="s">
        <v>19</v>
      </c>
      <c r="L1358">
        <v>16</v>
      </c>
      <c r="M1358">
        <v>0.46</v>
      </c>
      <c r="N1358" t="s">
        <v>20</v>
      </c>
    </row>
    <row r="1359" spans="1:14" x14ac:dyDescent="0.25">
      <c r="A1359">
        <v>1358</v>
      </c>
      <c r="B1359" t="s">
        <v>24</v>
      </c>
      <c r="C1359">
        <v>2013</v>
      </c>
      <c r="D1359">
        <v>3</v>
      </c>
      <c r="E1359" t="s">
        <v>15</v>
      </c>
      <c r="F1359">
        <v>73366</v>
      </c>
      <c r="G1359" t="s">
        <v>30</v>
      </c>
      <c r="H1359">
        <v>28598.53</v>
      </c>
      <c r="I1359" t="s">
        <v>34</v>
      </c>
      <c r="J1359" t="s">
        <v>41</v>
      </c>
      <c r="K1359" t="s">
        <v>19</v>
      </c>
      <c r="L1359">
        <v>13</v>
      </c>
      <c r="M1359">
        <v>0.39</v>
      </c>
      <c r="N1359" t="s">
        <v>20</v>
      </c>
    </row>
    <row r="1360" spans="1:14" x14ac:dyDescent="0.25">
      <c r="A1360">
        <v>1359</v>
      </c>
      <c r="B1360" t="s">
        <v>24</v>
      </c>
      <c r="C1360">
        <v>2018</v>
      </c>
      <c r="D1360">
        <v>2.2000000000000002</v>
      </c>
      <c r="E1360" t="s">
        <v>15</v>
      </c>
      <c r="F1360">
        <v>37570</v>
      </c>
      <c r="G1360" t="s">
        <v>16</v>
      </c>
      <c r="H1360">
        <v>70055.56</v>
      </c>
      <c r="I1360" t="s">
        <v>34</v>
      </c>
      <c r="J1360" t="s">
        <v>32</v>
      </c>
      <c r="K1360" t="s">
        <v>50</v>
      </c>
      <c r="L1360">
        <v>8</v>
      </c>
      <c r="M1360">
        <v>1.86</v>
      </c>
      <c r="N1360" t="s">
        <v>20</v>
      </c>
    </row>
    <row r="1361" spans="1:14" x14ac:dyDescent="0.25">
      <c r="A1361">
        <v>1360</v>
      </c>
      <c r="B1361" t="s">
        <v>14</v>
      </c>
      <c r="C1361">
        <v>2010</v>
      </c>
      <c r="D1361">
        <v>1.5</v>
      </c>
      <c r="E1361" t="s">
        <v>15</v>
      </c>
      <c r="F1361">
        <v>137687</v>
      </c>
      <c r="G1361" t="s">
        <v>22</v>
      </c>
      <c r="H1361">
        <v>22743.84</v>
      </c>
      <c r="I1361" t="s">
        <v>58</v>
      </c>
      <c r="J1361" t="s">
        <v>18</v>
      </c>
      <c r="K1361" t="s">
        <v>19</v>
      </c>
      <c r="L1361">
        <v>16</v>
      </c>
      <c r="M1361">
        <v>0.17</v>
      </c>
      <c r="N1361" t="s">
        <v>20</v>
      </c>
    </row>
    <row r="1362" spans="1:14" x14ac:dyDescent="0.25">
      <c r="A1362">
        <v>1361</v>
      </c>
      <c r="B1362" t="s">
        <v>21</v>
      </c>
      <c r="C1362">
        <v>2012</v>
      </c>
      <c r="D1362">
        <v>1.9</v>
      </c>
      <c r="E1362" t="s">
        <v>27</v>
      </c>
      <c r="F1362">
        <v>38311</v>
      </c>
      <c r="G1362" t="s">
        <v>16</v>
      </c>
      <c r="H1362">
        <v>56596.24</v>
      </c>
      <c r="I1362" t="s">
        <v>60</v>
      </c>
      <c r="J1362" t="s">
        <v>46</v>
      </c>
      <c r="K1362" t="s">
        <v>50</v>
      </c>
      <c r="L1362">
        <v>14</v>
      </c>
      <c r="M1362">
        <v>1.48</v>
      </c>
      <c r="N1362" t="s">
        <v>20</v>
      </c>
    </row>
    <row r="1363" spans="1:14" x14ac:dyDescent="0.25">
      <c r="A1363">
        <v>1362</v>
      </c>
      <c r="B1363" t="s">
        <v>21</v>
      </c>
      <c r="C1363">
        <v>2013</v>
      </c>
      <c r="D1363">
        <v>5</v>
      </c>
      <c r="E1363" t="s">
        <v>15</v>
      </c>
      <c r="F1363">
        <v>103187</v>
      </c>
      <c r="G1363" t="s">
        <v>30</v>
      </c>
      <c r="H1363">
        <v>98710.52</v>
      </c>
      <c r="I1363" t="s">
        <v>47</v>
      </c>
      <c r="J1363" t="s">
        <v>32</v>
      </c>
      <c r="K1363" t="s">
        <v>19</v>
      </c>
      <c r="L1363">
        <v>13</v>
      </c>
      <c r="M1363">
        <v>0.96</v>
      </c>
      <c r="N1363" t="s">
        <v>20</v>
      </c>
    </row>
    <row r="1364" spans="1:14" x14ac:dyDescent="0.25">
      <c r="A1364">
        <v>1363</v>
      </c>
      <c r="B1364" t="s">
        <v>24</v>
      </c>
      <c r="C1364">
        <v>2012</v>
      </c>
      <c r="D1364">
        <v>4.4000000000000004</v>
      </c>
      <c r="E1364" t="s">
        <v>27</v>
      </c>
      <c r="F1364">
        <v>285578</v>
      </c>
      <c r="G1364" t="s">
        <v>22</v>
      </c>
      <c r="H1364">
        <v>46076.33</v>
      </c>
      <c r="I1364" t="s">
        <v>35</v>
      </c>
      <c r="J1364" t="s">
        <v>46</v>
      </c>
      <c r="K1364" t="s">
        <v>26</v>
      </c>
      <c r="L1364">
        <v>14</v>
      </c>
      <c r="M1364">
        <v>0.16</v>
      </c>
      <c r="N1364" t="s">
        <v>20</v>
      </c>
    </row>
    <row r="1365" spans="1:14" x14ac:dyDescent="0.25">
      <c r="A1365">
        <v>1364</v>
      </c>
      <c r="B1365" t="s">
        <v>36</v>
      </c>
      <c r="C1365">
        <v>2000</v>
      </c>
      <c r="D1365">
        <v>3.7</v>
      </c>
      <c r="E1365" t="s">
        <v>15</v>
      </c>
      <c r="F1365">
        <v>86879</v>
      </c>
      <c r="G1365" t="s">
        <v>30</v>
      </c>
      <c r="H1365">
        <v>65977.95</v>
      </c>
      <c r="I1365" t="s">
        <v>57</v>
      </c>
      <c r="J1365" t="s">
        <v>41</v>
      </c>
      <c r="K1365" t="s">
        <v>19</v>
      </c>
      <c r="L1365">
        <v>26</v>
      </c>
      <c r="M1365">
        <v>0.76</v>
      </c>
      <c r="N1365" t="s">
        <v>33</v>
      </c>
    </row>
    <row r="1366" spans="1:14" x14ac:dyDescent="0.25">
      <c r="A1366">
        <v>1365</v>
      </c>
      <c r="B1366" t="s">
        <v>29</v>
      </c>
      <c r="C1366">
        <v>2007</v>
      </c>
      <c r="D1366">
        <v>3.4</v>
      </c>
      <c r="E1366" t="s">
        <v>27</v>
      </c>
      <c r="F1366">
        <v>15739</v>
      </c>
      <c r="G1366" t="s">
        <v>30</v>
      </c>
      <c r="H1366">
        <v>97090.31</v>
      </c>
      <c r="I1366" t="s">
        <v>62</v>
      </c>
      <c r="J1366" t="s">
        <v>18</v>
      </c>
      <c r="K1366" t="s">
        <v>50</v>
      </c>
      <c r="L1366">
        <v>19</v>
      </c>
      <c r="M1366">
        <v>6.17</v>
      </c>
      <c r="N1366" t="s">
        <v>33</v>
      </c>
    </row>
    <row r="1367" spans="1:14" x14ac:dyDescent="0.25">
      <c r="A1367">
        <v>1366</v>
      </c>
      <c r="B1367" t="s">
        <v>14</v>
      </c>
      <c r="C1367">
        <v>2011</v>
      </c>
      <c r="D1367">
        <v>5.6</v>
      </c>
      <c r="E1367" t="s">
        <v>27</v>
      </c>
      <c r="F1367">
        <v>66202</v>
      </c>
      <c r="G1367" t="s">
        <v>16</v>
      </c>
      <c r="H1367">
        <v>18075.7</v>
      </c>
      <c r="I1367" t="s">
        <v>28</v>
      </c>
      <c r="J1367" t="s">
        <v>18</v>
      </c>
      <c r="K1367" t="s">
        <v>19</v>
      </c>
      <c r="L1367">
        <v>15</v>
      </c>
      <c r="M1367">
        <v>0.27</v>
      </c>
      <c r="N1367" t="s">
        <v>20</v>
      </c>
    </row>
    <row r="1368" spans="1:14" x14ac:dyDescent="0.25">
      <c r="A1368">
        <v>1367</v>
      </c>
      <c r="B1368" t="s">
        <v>29</v>
      </c>
      <c r="C1368">
        <v>2018</v>
      </c>
      <c r="D1368">
        <v>1.4</v>
      </c>
      <c r="E1368" t="s">
        <v>27</v>
      </c>
      <c r="F1368">
        <v>98580</v>
      </c>
      <c r="G1368" t="s">
        <v>16</v>
      </c>
      <c r="H1368">
        <v>44767.67</v>
      </c>
      <c r="I1368" t="s">
        <v>31</v>
      </c>
      <c r="J1368" t="s">
        <v>18</v>
      </c>
      <c r="K1368" t="s">
        <v>19</v>
      </c>
      <c r="L1368">
        <v>8</v>
      </c>
      <c r="M1368">
        <v>0.45</v>
      </c>
      <c r="N1368" t="s">
        <v>33</v>
      </c>
    </row>
    <row r="1369" spans="1:14" x14ac:dyDescent="0.25">
      <c r="A1369">
        <v>1368</v>
      </c>
      <c r="B1369" t="s">
        <v>29</v>
      </c>
      <c r="C1369">
        <v>2011</v>
      </c>
      <c r="D1369">
        <v>2.4</v>
      </c>
      <c r="E1369" t="s">
        <v>15</v>
      </c>
      <c r="F1369">
        <v>224491</v>
      </c>
      <c r="G1369" t="s">
        <v>30</v>
      </c>
      <c r="H1369">
        <v>85768.28</v>
      </c>
      <c r="I1369" t="s">
        <v>31</v>
      </c>
      <c r="J1369" t="s">
        <v>18</v>
      </c>
      <c r="K1369" t="s">
        <v>26</v>
      </c>
      <c r="L1369">
        <v>15</v>
      </c>
      <c r="M1369">
        <v>0.38</v>
      </c>
      <c r="N1369" t="s">
        <v>33</v>
      </c>
    </row>
    <row r="1370" spans="1:14" x14ac:dyDescent="0.25">
      <c r="A1370">
        <v>1369</v>
      </c>
      <c r="B1370" t="s">
        <v>21</v>
      </c>
      <c r="C1370">
        <v>2007</v>
      </c>
      <c r="D1370">
        <v>2.7</v>
      </c>
      <c r="E1370" t="s">
        <v>15</v>
      </c>
      <c r="F1370">
        <v>79599</v>
      </c>
      <c r="G1370" t="s">
        <v>30</v>
      </c>
      <c r="H1370">
        <v>93569.04</v>
      </c>
      <c r="I1370" t="s">
        <v>47</v>
      </c>
      <c r="J1370" t="s">
        <v>46</v>
      </c>
      <c r="K1370" t="s">
        <v>19</v>
      </c>
      <c r="L1370">
        <v>19</v>
      </c>
      <c r="M1370">
        <v>1.18</v>
      </c>
      <c r="N1370" t="s">
        <v>20</v>
      </c>
    </row>
    <row r="1371" spans="1:14" x14ac:dyDescent="0.25">
      <c r="A1371">
        <v>1370</v>
      </c>
      <c r="B1371" t="s">
        <v>21</v>
      </c>
      <c r="C1371">
        <v>2007</v>
      </c>
      <c r="D1371">
        <v>4.9000000000000004</v>
      </c>
      <c r="E1371" t="s">
        <v>15</v>
      </c>
      <c r="F1371">
        <v>164721</v>
      </c>
      <c r="G1371" t="s">
        <v>22</v>
      </c>
      <c r="H1371">
        <v>62117.43</v>
      </c>
      <c r="I1371" t="s">
        <v>47</v>
      </c>
      <c r="J1371" t="s">
        <v>18</v>
      </c>
      <c r="K1371" t="s">
        <v>26</v>
      </c>
      <c r="L1371">
        <v>19</v>
      </c>
      <c r="M1371">
        <v>0.38</v>
      </c>
      <c r="N1371" t="s">
        <v>20</v>
      </c>
    </row>
    <row r="1372" spans="1:14" x14ac:dyDescent="0.25">
      <c r="A1372">
        <v>1371</v>
      </c>
      <c r="B1372" t="s">
        <v>36</v>
      </c>
      <c r="C1372">
        <v>2020</v>
      </c>
      <c r="D1372">
        <v>6</v>
      </c>
      <c r="E1372" t="s">
        <v>15</v>
      </c>
      <c r="F1372">
        <v>231436</v>
      </c>
      <c r="G1372" t="s">
        <v>30</v>
      </c>
      <c r="H1372">
        <v>18624.96</v>
      </c>
      <c r="I1372" t="s">
        <v>54</v>
      </c>
      <c r="J1372" t="s">
        <v>46</v>
      </c>
      <c r="K1372" t="s">
        <v>26</v>
      </c>
      <c r="L1372">
        <v>6</v>
      </c>
      <c r="M1372">
        <v>0.08</v>
      </c>
      <c r="N1372" t="s">
        <v>33</v>
      </c>
    </row>
    <row r="1373" spans="1:14" x14ac:dyDescent="0.25">
      <c r="A1373">
        <v>1372</v>
      </c>
      <c r="B1373" t="s">
        <v>29</v>
      </c>
      <c r="C1373">
        <v>2012</v>
      </c>
      <c r="D1373">
        <v>2.2000000000000002</v>
      </c>
      <c r="E1373" t="s">
        <v>27</v>
      </c>
      <c r="F1373">
        <v>116770</v>
      </c>
      <c r="G1373" t="s">
        <v>30</v>
      </c>
      <c r="H1373">
        <v>90639.8</v>
      </c>
      <c r="I1373" t="s">
        <v>62</v>
      </c>
      <c r="J1373" t="s">
        <v>32</v>
      </c>
      <c r="K1373" t="s">
        <v>19</v>
      </c>
      <c r="L1373">
        <v>14</v>
      </c>
      <c r="M1373">
        <v>0.78</v>
      </c>
      <c r="N1373" t="s">
        <v>33</v>
      </c>
    </row>
    <row r="1374" spans="1:14" x14ac:dyDescent="0.25">
      <c r="A1374">
        <v>1373</v>
      </c>
      <c r="B1374" t="s">
        <v>29</v>
      </c>
      <c r="C1374">
        <v>2011</v>
      </c>
      <c r="D1374">
        <v>5.4</v>
      </c>
      <c r="E1374" t="s">
        <v>27</v>
      </c>
      <c r="F1374">
        <v>179693</v>
      </c>
      <c r="G1374" t="s">
        <v>16</v>
      </c>
      <c r="H1374">
        <v>21572.42</v>
      </c>
      <c r="I1374" t="s">
        <v>40</v>
      </c>
      <c r="J1374" t="s">
        <v>18</v>
      </c>
      <c r="K1374" t="s">
        <v>26</v>
      </c>
      <c r="L1374">
        <v>15</v>
      </c>
      <c r="M1374">
        <v>0.12</v>
      </c>
      <c r="N1374" t="s">
        <v>33</v>
      </c>
    </row>
    <row r="1375" spans="1:14" x14ac:dyDescent="0.25">
      <c r="A1375">
        <v>1374</v>
      </c>
      <c r="B1375" t="s">
        <v>24</v>
      </c>
      <c r="C1375">
        <v>2015</v>
      </c>
      <c r="D1375">
        <v>5.2</v>
      </c>
      <c r="E1375" t="s">
        <v>27</v>
      </c>
      <c r="F1375">
        <v>261051</v>
      </c>
      <c r="G1375" t="s">
        <v>30</v>
      </c>
      <c r="H1375">
        <v>38523.4</v>
      </c>
      <c r="I1375" t="s">
        <v>45</v>
      </c>
      <c r="J1375" t="s">
        <v>46</v>
      </c>
      <c r="K1375" t="s">
        <v>26</v>
      </c>
      <c r="L1375">
        <v>11</v>
      </c>
      <c r="M1375">
        <v>0.15</v>
      </c>
      <c r="N1375" t="s">
        <v>20</v>
      </c>
    </row>
    <row r="1376" spans="1:14" x14ac:dyDescent="0.25">
      <c r="A1376">
        <v>1375</v>
      </c>
      <c r="B1376" t="s">
        <v>21</v>
      </c>
      <c r="C1376">
        <v>2000</v>
      </c>
      <c r="D1376">
        <v>2.1</v>
      </c>
      <c r="E1376" t="s">
        <v>27</v>
      </c>
      <c r="F1376">
        <v>114300</v>
      </c>
      <c r="G1376" t="s">
        <v>30</v>
      </c>
      <c r="H1376">
        <v>40673.26</v>
      </c>
      <c r="I1376" t="s">
        <v>23</v>
      </c>
      <c r="J1376" t="s">
        <v>18</v>
      </c>
      <c r="K1376" t="s">
        <v>19</v>
      </c>
      <c r="L1376">
        <v>26</v>
      </c>
      <c r="M1376">
        <v>0.36</v>
      </c>
      <c r="N1376" t="s">
        <v>20</v>
      </c>
    </row>
    <row r="1377" spans="1:14" x14ac:dyDescent="0.25">
      <c r="A1377">
        <v>1376</v>
      </c>
      <c r="B1377" t="s">
        <v>29</v>
      </c>
      <c r="C1377">
        <v>2012</v>
      </c>
      <c r="D1377">
        <v>3</v>
      </c>
      <c r="E1377" t="s">
        <v>15</v>
      </c>
      <c r="F1377">
        <v>191012</v>
      </c>
      <c r="G1377" t="s">
        <v>16</v>
      </c>
      <c r="H1377">
        <v>47492.7</v>
      </c>
      <c r="I1377" t="s">
        <v>31</v>
      </c>
      <c r="J1377" t="s">
        <v>18</v>
      </c>
      <c r="K1377" t="s">
        <v>26</v>
      </c>
      <c r="L1377">
        <v>14</v>
      </c>
      <c r="M1377">
        <v>0.25</v>
      </c>
      <c r="N1377" t="s">
        <v>33</v>
      </c>
    </row>
    <row r="1378" spans="1:14" x14ac:dyDescent="0.25">
      <c r="A1378">
        <v>1377</v>
      </c>
      <c r="B1378" t="s">
        <v>43</v>
      </c>
      <c r="C1378">
        <v>2006</v>
      </c>
      <c r="D1378">
        <v>3</v>
      </c>
      <c r="E1378" t="s">
        <v>27</v>
      </c>
      <c r="F1378">
        <v>171796</v>
      </c>
      <c r="G1378" t="s">
        <v>22</v>
      </c>
      <c r="H1378">
        <v>80065.75</v>
      </c>
      <c r="I1378" t="s">
        <v>55</v>
      </c>
      <c r="J1378" t="s">
        <v>18</v>
      </c>
      <c r="K1378" t="s">
        <v>26</v>
      </c>
      <c r="L1378">
        <v>20</v>
      </c>
      <c r="M1378">
        <v>0.47</v>
      </c>
      <c r="N1378" t="s">
        <v>20</v>
      </c>
    </row>
    <row r="1379" spans="1:14" x14ac:dyDescent="0.25">
      <c r="A1379">
        <v>1378</v>
      </c>
      <c r="B1379" t="s">
        <v>36</v>
      </c>
      <c r="C1379">
        <v>2004</v>
      </c>
      <c r="D1379">
        <v>5.9</v>
      </c>
      <c r="E1379" t="s">
        <v>15</v>
      </c>
      <c r="F1379">
        <v>162776</v>
      </c>
      <c r="G1379" t="s">
        <v>16</v>
      </c>
      <c r="H1379">
        <v>81203.72</v>
      </c>
      <c r="I1379" t="s">
        <v>57</v>
      </c>
      <c r="J1379" t="s">
        <v>46</v>
      </c>
      <c r="K1379" t="s">
        <v>26</v>
      </c>
      <c r="L1379">
        <v>22</v>
      </c>
      <c r="M1379">
        <v>0.5</v>
      </c>
      <c r="N1379" t="s">
        <v>33</v>
      </c>
    </row>
    <row r="1380" spans="1:14" x14ac:dyDescent="0.25">
      <c r="A1380">
        <v>1379</v>
      </c>
      <c r="B1380" t="s">
        <v>43</v>
      </c>
      <c r="C1380">
        <v>2007</v>
      </c>
      <c r="D1380">
        <v>1.9</v>
      </c>
      <c r="E1380" t="s">
        <v>27</v>
      </c>
      <c r="F1380">
        <v>241942</v>
      </c>
      <c r="G1380" t="s">
        <v>16</v>
      </c>
      <c r="H1380">
        <v>73367.23</v>
      </c>
      <c r="I1380" t="s">
        <v>44</v>
      </c>
      <c r="J1380" t="s">
        <v>41</v>
      </c>
      <c r="K1380" t="s">
        <v>26</v>
      </c>
      <c r="L1380">
        <v>19</v>
      </c>
      <c r="M1380">
        <v>0.3</v>
      </c>
      <c r="N1380" t="s">
        <v>20</v>
      </c>
    </row>
    <row r="1381" spans="1:14" x14ac:dyDescent="0.25">
      <c r="A1381">
        <v>1380</v>
      </c>
      <c r="B1381" t="s">
        <v>43</v>
      </c>
      <c r="C1381">
        <v>2013</v>
      </c>
      <c r="D1381">
        <v>5</v>
      </c>
      <c r="E1381" t="s">
        <v>27</v>
      </c>
      <c r="F1381">
        <v>2526</v>
      </c>
      <c r="G1381" t="s">
        <v>30</v>
      </c>
      <c r="H1381">
        <v>7102.22</v>
      </c>
      <c r="I1381" t="s">
        <v>44</v>
      </c>
      <c r="J1381" t="s">
        <v>18</v>
      </c>
      <c r="K1381" t="s">
        <v>50</v>
      </c>
      <c r="L1381">
        <v>13</v>
      </c>
      <c r="M1381">
        <v>2.81</v>
      </c>
      <c r="N1381" t="s">
        <v>20</v>
      </c>
    </row>
    <row r="1382" spans="1:14" x14ac:dyDescent="0.25">
      <c r="A1382">
        <v>1381</v>
      </c>
      <c r="B1382" t="s">
        <v>14</v>
      </c>
      <c r="C1382">
        <v>2022</v>
      </c>
      <c r="D1382">
        <v>2.7</v>
      </c>
      <c r="E1382" t="s">
        <v>27</v>
      </c>
      <c r="F1382">
        <v>268718</v>
      </c>
      <c r="G1382" t="s">
        <v>30</v>
      </c>
      <c r="H1382">
        <v>58660.28</v>
      </c>
      <c r="I1382" t="s">
        <v>39</v>
      </c>
      <c r="J1382" t="s">
        <v>18</v>
      </c>
      <c r="K1382" t="s">
        <v>26</v>
      </c>
      <c r="L1382">
        <v>4</v>
      </c>
      <c r="M1382">
        <v>0.22</v>
      </c>
      <c r="N1382" t="s">
        <v>20</v>
      </c>
    </row>
    <row r="1383" spans="1:14" x14ac:dyDescent="0.25">
      <c r="A1383">
        <v>1382</v>
      </c>
      <c r="B1383" t="s">
        <v>14</v>
      </c>
      <c r="C1383">
        <v>2012</v>
      </c>
      <c r="D1383">
        <v>4.7</v>
      </c>
      <c r="E1383" t="s">
        <v>15</v>
      </c>
      <c r="F1383">
        <v>270877</v>
      </c>
      <c r="G1383" t="s">
        <v>22</v>
      </c>
      <c r="H1383">
        <v>76011.83</v>
      </c>
      <c r="I1383" t="s">
        <v>28</v>
      </c>
      <c r="J1383" t="s">
        <v>18</v>
      </c>
      <c r="K1383" t="s">
        <v>26</v>
      </c>
      <c r="L1383">
        <v>14</v>
      </c>
      <c r="M1383">
        <v>0.28000000000000003</v>
      </c>
      <c r="N1383" t="s">
        <v>20</v>
      </c>
    </row>
    <row r="1384" spans="1:14" x14ac:dyDescent="0.25">
      <c r="A1384">
        <v>1383</v>
      </c>
      <c r="B1384" t="s">
        <v>36</v>
      </c>
      <c r="C1384">
        <v>2014</v>
      </c>
      <c r="D1384">
        <v>3.1</v>
      </c>
      <c r="E1384" t="s">
        <v>15</v>
      </c>
      <c r="F1384">
        <v>36051</v>
      </c>
      <c r="G1384" t="s">
        <v>30</v>
      </c>
      <c r="H1384">
        <v>47239.4</v>
      </c>
      <c r="I1384" t="s">
        <v>51</v>
      </c>
      <c r="J1384" t="s">
        <v>41</v>
      </c>
      <c r="K1384" t="s">
        <v>50</v>
      </c>
      <c r="L1384">
        <v>12</v>
      </c>
      <c r="M1384">
        <v>1.31</v>
      </c>
      <c r="N1384" t="s">
        <v>33</v>
      </c>
    </row>
    <row r="1385" spans="1:14" x14ac:dyDescent="0.25">
      <c r="A1385">
        <v>1384</v>
      </c>
      <c r="B1385" t="s">
        <v>43</v>
      </c>
      <c r="C1385">
        <v>2022</v>
      </c>
      <c r="D1385">
        <v>3.9</v>
      </c>
      <c r="E1385" t="s">
        <v>27</v>
      </c>
      <c r="F1385">
        <v>15909</v>
      </c>
      <c r="G1385" t="s">
        <v>22</v>
      </c>
      <c r="H1385">
        <v>94768.92</v>
      </c>
      <c r="I1385" t="s">
        <v>44</v>
      </c>
      <c r="J1385" t="s">
        <v>46</v>
      </c>
      <c r="K1385" t="s">
        <v>50</v>
      </c>
      <c r="L1385">
        <v>4</v>
      </c>
      <c r="M1385">
        <v>5.96</v>
      </c>
      <c r="N1385" t="s">
        <v>20</v>
      </c>
    </row>
    <row r="1386" spans="1:14" x14ac:dyDescent="0.25">
      <c r="A1386">
        <v>1385</v>
      </c>
      <c r="B1386" t="s">
        <v>29</v>
      </c>
      <c r="C1386">
        <v>2016</v>
      </c>
      <c r="D1386">
        <v>5.2</v>
      </c>
      <c r="E1386" t="s">
        <v>27</v>
      </c>
      <c r="F1386">
        <v>77338</v>
      </c>
      <c r="G1386" t="s">
        <v>22</v>
      </c>
      <c r="H1386">
        <v>83262</v>
      </c>
      <c r="I1386" t="s">
        <v>62</v>
      </c>
      <c r="J1386" t="s">
        <v>32</v>
      </c>
      <c r="K1386" t="s">
        <v>19</v>
      </c>
      <c r="L1386">
        <v>10</v>
      </c>
      <c r="M1386">
        <v>1.08</v>
      </c>
      <c r="N1386" t="s">
        <v>33</v>
      </c>
    </row>
    <row r="1387" spans="1:14" x14ac:dyDescent="0.25">
      <c r="A1387">
        <v>1386</v>
      </c>
      <c r="B1387" t="s">
        <v>21</v>
      </c>
      <c r="C1387">
        <v>2014</v>
      </c>
      <c r="D1387">
        <v>5</v>
      </c>
      <c r="E1387" t="s">
        <v>27</v>
      </c>
      <c r="F1387">
        <v>290277</v>
      </c>
      <c r="G1387" t="s">
        <v>22</v>
      </c>
      <c r="H1387">
        <v>65624.73</v>
      </c>
      <c r="I1387" t="s">
        <v>60</v>
      </c>
      <c r="J1387" t="s">
        <v>18</v>
      </c>
      <c r="K1387" t="s">
        <v>26</v>
      </c>
      <c r="L1387">
        <v>12</v>
      </c>
      <c r="M1387">
        <v>0.23</v>
      </c>
      <c r="N1387" t="s">
        <v>20</v>
      </c>
    </row>
    <row r="1388" spans="1:14" x14ac:dyDescent="0.25">
      <c r="A1388">
        <v>1387</v>
      </c>
      <c r="B1388" t="s">
        <v>36</v>
      </c>
      <c r="C1388">
        <v>2019</v>
      </c>
      <c r="D1388">
        <v>5.3</v>
      </c>
      <c r="E1388" t="s">
        <v>15</v>
      </c>
      <c r="F1388">
        <v>182643</v>
      </c>
      <c r="G1388" t="s">
        <v>22</v>
      </c>
      <c r="H1388">
        <v>10930.39</v>
      </c>
      <c r="I1388" t="s">
        <v>51</v>
      </c>
      <c r="J1388" t="s">
        <v>32</v>
      </c>
      <c r="K1388" t="s">
        <v>26</v>
      </c>
      <c r="L1388">
        <v>7</v>
      </c>
      <c r="M1388">
        <v>0.06</v>
      </c>
      <c r="N1388" t="s">
        <v>33</v>
      </c>
    </row>
    <row r="1389" spans="1:14" x14ac:dyDescent="0.25">
      <c r="A1389">
        <v>1388</v>
      </c>
      <c r="B1389" t="s">
        <v>24</v>
      </c>
      <c r="C1389">
        <v>2017</v>
      </c>
      <c r="D1389">
        <v>1.3</v>
      </c>
      <c r="E1389" t="s">
        <v>15</v>
      </c>
      <c r="F1389">
        <v>79062</v>
      </c>
      <c r="G1389" t="s">
        <v>30</v>
      </c>
      <c r="H1389">
        <v>66972.89</v>
      </c>
      <c r="I1389" t="s">
        <v>35</v>
      </c>
      <c r="J1389" t="s">
        <v>32</v>
      </c>
      <c r="K1389" t="s">
        <v>19</v>
      </c>
      <c r="L1389">
        <v>9</v>
      </c>
      <c r="M1389">
        <v>0.85</v>
      </c>
      <c r="N1389" t="s">
        <v>20</v>
      </c>
    </row>
    <row r="1390" spans="1:14" x14ac:dyDescent="0.25">
      <c r="A1390">
        <v>1389</v>
      </c>
      <c r="B1390" t="s">
        <v>43</v>
      </c>
      <c r="C1390">
        <v>2017</v>
      </c>
      <c r="D1390">
        <v>4.5</v>
      </c>
      <c r="E1390" t="s">
        <v>15</v>
      </c>
      <c r="F1390">
        <v>181980</v>
      </c>
      <c r="G1390" t="s">
        <v>16</v>
      </c>
      <c r="H1390">
        <v>91600.06</v>
      </c>
      <c r="I1390" t="s">
        <v>48</v>
      </c>
      <c r="J1390" t="s">
        <v>18</v>
      </c>
      <c r="K1390" t="s">
        <v>26</v>
      </c>
      <c r="L1390">
        <v>9</v>
      </c>
      <c r="M1390">
        <v>0.5</v>
      </c>
      <c r="N1390" t="s">
        <v>20</v>
      </c>
    </row>
    <row r="1391" spans="1:14" x14ac:dyDescent="0.25">
      <c r="A1391">
        <v>1390</v>
      </c>
      <c r="B1391" t="s">
        <v>36</v>
      </c>
      <c r="C1391">
        <v>2001</v>
      </c>
      <c r="D1391">
        <v>1.7</v>
      </c>
      <c r="E1391" t="s">
        <v>27</v>
      </c>
      <c r="F1391">
        <v>51458</v>
      </c>
      <c r="G1391" t="s">
        <v>16</v>
      </c>
      <c r="H1391">
        <v>41047.31</v>
      </c>
      <c r="I1391" t="s">
        <v>37</v>
      </c>
      <c r="J1391" t="s">
        <v>41</v>
      </c>
      <c r="K1391" t="s">
        <v>19</v>
      </c>
      <c r="L1391">
        <v>25</v>
      </c>
      <c r="M1391">
        <v>0.8</v>
      </c>
      <c r="N1391" t="s">
        <v>33</v>
      </c>
    </row>
    <row r="1392" spans="1:14" x14ac:dyDescent="0.25">
      <c r="A1392">
        <v>1391</v>
      </c>
      <c r="B1392" t="s">
        <v>52</v>
      </c>
      <c r="C1392">
        <v>2003</v>
      </c>
      <c r="D1392">
        <v>3.1</v>
      </c>
      <c r="E1392" t="s">
        <v>15</v>
      </c>
      <c r="F1392">
        <v>222159</v>
      </c>
      <c r="G1392" t="s">
        <v>30</v>
      </c>
      <c r="H1392">
        <v>84622.59</v>
      </c>
      <c r="I1392" t="s">
        <v>59</v>
      </c>
      <c r="J1392" t="s">
        <v>41</v>
      </c>
      <c r="K1392" t="s">
        <v>26</v>
      </c>
      <c r="L1392">
        <v>23</v>
      </c>
      <c r="M1392">
        <v>0.38</v>
      </c>
      <c r="N1392" t="s">
        <v>33</v>
      </c>
    </row>
    <row r="1393" spans="1:14" x14ac:dyDescent="0.25">
      <c r="A1393">
        <v>1392</v>
      </c>
      <c r="B1393" t="s">
        <v>52</v>
      </c>
      <c r="C1393">
        <v>2000</v>
      </c>
      <c r="D1393">
        <v>3.7</v>
      </c>
      <c r="E1393" t="s">
        <v>27</v>
      </c>
      <c r="F1393">
        <v>287442</v>
      </c>
      <c r="G1393" t="s">
        <v>30</v>
      </c>
      <c r="H1393">
        <v>34750.31</v>
      </c>
      <c r="I1393" t="s">
        <v>56</v>
      </c>
      <c r="J1393" t="s">
        <v>32</v>
      </c>
      <c r="K1393" t="s">
        <v>26</v>
      </c>
      <c r="L1393">
        <v>26</v>
      </c>
      <c r="M1393">
        <v>0.12</v>
      </c>
      <c r="N1393" t="s">
        <v>33</v>
      </c>
    </row>
    <row r="1394" spans="1:14" x14ac:dyDescent="0.25">
      <c r="A1394">
        <v>1393</v>
      </c>
      <c r="B1394" t="s">
        <v>14</v>
      </c>
      <c r="C1394">
        <v>2003</v>
      </c>
      <c r="D1394">
        <v>3</v>
      </c>
      <c r="E1394" t="s">
        <v>15</v>
      </c>
      <c r="F1394">
        <v>231946</v>
      </c>
      <c r="G1394" t="s">
        <v>22</v>
      </c>
      <c r="H1394">
        <v>59159.81</v>
      </c>
      <c r="I1394" t="s">
        <v>17</v>
      </c>
      <c r="J1394" t="s">
        <v>18</v>
      </c>
      <c r="K1394" t="s">
        <v>26</v>
      </c>
      <c r="L1394">
        <v>23</v>
      </c>
      <c r="M1394">
        <v>0.26</v>
      </c>
      <c r="N1394" t="s">
        <v>20</v>
      </c>
    </row>
    <row r="1395" spans="1:14" x14ac:dyDescent="0.25">
      <c r="A1395">
        <v>1394</v>
      </c>
      <c r="B1395" t="s">
        <v>21</v>
      </c>
      <c r="C1395">
        <v>2017</v>
      </c>
      <c r="D1395">
        <v>3.6</v>
      </c>
      <c r="E1395" t="s">
        <v>27</v>
      </c>
      <c r="F1395">
        <v>153263</v>
      </c>
      <c r="G1395" t="s">
        <v>30</v>
      </c>
      <c r="H1395">
        <v>66600.320000000007</v>
      </c>
      <c r="I1395" t="s">
        <v>42</v>
      </c>
      <c r="J1395" t="s">
        <v>46</v>
      </c>
      <c r="K1395" t="s">
        <v>26</v>
      </c>
      <c r="L1395">
        <v>9</v>
      </c>
      <c r="M1395">
        <v>0.43</v>
      </c>
      <c r="N1395" t="s">
        <v>20</v>
      </c>
    </row>
    <row r="1396" spans="1:14" x14ac:dyDescent="0.25">
      <c r="A1396">
        <v>1395</v>
      </c>
      <c r="B1396" t="s">
        <v>29</v>
      </c>
      <c r="C1396">
        <v>2004</v>
      </c>
      <c r="D1396">
        <v>6</v>
      </c>
      <c r="E1396" t="s">
        <v>27</v>
      </c>
      <c r="F1396">
        <v>164164</v>
      </c>
      <c r="G1396" t="s">
        <v>16</v>
      </c>
      <c r="H1396">
        <v>69409.53</v>
      </c>
      <c r="I1396" t="s">
        <v>62</v>
      </c>
      <c r="J1396" t="s">
        <v>32</v>
      </c>
      <c r="K1396" t="s">
        <v>26</v>
      </c>
      <c r="L1396">
        <v>22</v>
      </c>
      <c r="M1396">
        <v>0.42</v>
      </c>
      <c r="N1396" t="s">
        <v>33</v>
      </c>
    </row>
    <row r="1397" spans="1:14" x14ac:dyDescent="0.25">
      <c r="A1397">
        <v>1396</v>
      </c>
      <c r="B1397" t="s">
        <v>21</v>
      </c>
      <c r="C1397">
        <v>2018</v>
      </c>
      <c r="D1397">
        <v>1.7</v>
      </c>
      <c r="E1397" t="s">
        <v>15</v>
      </c>
      <c r="F1397">
        <v>89407</v>
      </c>
      <c r="G1397" t="s">
        <v>30</v>
      </c>
      <c r="H1397">
        <v>88842.18</v>
      </c>
      <c r="I1397" t="s">
        <v>60</v>
      </c>
      <c r="J1397" t="s">
        <v>46</v>
      </c>
      <c r="K1397" t="s">
        <v>19</v>
      </c>
      <c r="L1397">
        <v>8</v>
      </c>
      <c r="M1397">
        <v>0.99</v>
      </c>
      <c r="N1397" t="s">
        <v>20</v>
      </c>
    </row>
    <row r="1398" spans="1:14" x14ac:dyDescent="0.25">
      <c r="A1398">
        <v>1397</v>
      </c>
      <c r="B1398" t="s">
        <v>21</v>
      </c>
      <c r="C1398">
        <v>2014</v>
      </c>
      <c r="D1398">
        <v>4.4000000000000004</v>
      </c>
      <c r="E1398" t="s">
        <v>27</v>
      </c>
      <c r="F1398">
        <v>206329</v>
      </c>
      <c r="G1398" t="s">
        <v>30</v>
      </c>
      <c r="H1398">
        <v>27289.119999999999</v>
      </c>
      <c r="I1398" t="s">
        <v>42</v>
      </c>
      <c r="J1398" t="s">
        <v>32</v>
      </c>
      <c r="K1398" t="s">
        <v>26</v>
      </c>
      <c r="L1398">
        <v>12</v>
      </c>
      <c r="M1398">
        <v>0.13</v>
      </c>
      <c r="N1398" t="s">
        <v>20</v>
      </c>
    </row>
    <row r="1399" spans="1:14" x14ac:dyDescent="0.25">
      <c r="A1399">
        <v>1398</v>
      </c>
      <c r="B1399" t="s">
        <v>21</v>
      </c>
      <c r="C1399">
        <v>2007</v>
      </c>
      <c r="D1399">
        <v>3</v>
      </c>
      <c r="E1399" t="s">
        <v>27</v>
      </c>
      <c r="F1399">
        <v>62513</v>
      </c>
      <c r="G1399" t="s">
        <v>22</v>
      </c>
      <c r="H1399">
        <v>29925.11</v>
      </c>
      <c r="I1399" t="s">
        <v>47</v>
      </c>
      <c r="J1399" t="s">
        <v>32</v>
      </c>
      <c r="K1399" t="s">
        <v>19</v>
      </c>
      <c r="L1399">
        <v>19</v>
      </c>
      <c r="M1399">
        <v>0.48</v>
      </c>
      <c r="N1399" t="s">
        <v>20</v>
      </c>
    </row>
    <row r="1400" spans="1:14" x14ac:dyDescent="0.25">
      <c r="A1400">
        <v>1399</v>
      </c>
      <c r="B1400" t="s">
        <v>21</v>
      </c>
      <c r="C1400">
        <v>2019</v>
      </c>
      <c r="D1400">
        <v>1.7</v>
      </c>
      <c r="E1400" t="s">
        <v>27</v>
      </c>
      <c r="F1400">
        <v>145476</v>
      </c>
      <c r="G1400" t="s">
        <v>22</v>
      </c>
      <c r="H1400">
        <v>71883.89</v>
      </c>
      <c r="I1400" t="s">
        <v>23</v>
      </c>
      <c r="J1400" t="s">
        <v>18</v>
      </c>
      <c r="K1400" t="s">
        <v>19</v>
      </c>
      <c r="L1400">
        <v>7</v>
      </c>
      <c r="M1400">
        <v>0.49</v>
      </c>
      <c r="N1400" t="s">
        <v>20</v>
      </c>
    </row>
    <row r="1401" spans="1:14" x14ac:dyDescent="0.25">
      <c r="A1401">
        <v>1400</v>
      </c>
      <c r="B1401" t="s">
        <v>24</v>
      </c>
      <c r="C1401">
        <v>2016</v>
      </c>
      <c r="D1401">
        <v>1.8</v>
      </c>
      <c r="E1401" t="s">
        <v>15</v>
      </c>
      <c r="F1401">
        <v>35198</v>
      </c>
      <c r="G1401" t="s">
        <v>22</v>
      </c>
      <c r="H1401">
        <v>21833.41</v>
      </c>
      <c r="I1401" t="s">
        <v>34</v>
      </c>
      <c r="J1401" t="s">
        <v>18</v>
      </c>
      <c r="K1401" t="s">
        <v>50</v>
      </c>
      <c r="L1401">
        <v>10</v>
      </c>
      <c r="M1401">
        <v>0.62</v>
      </c>
      <c r="N1401" t="s">
        <v>20</v>
      </c>
    </row>
    <row r="1402" spans="1:14" x14ac:dyDescent="0.25">
      <c r="A1402">
        <v>1401</v>
      </c>
      <c r="B1402" t="s">
        <v>24</v>
      </c>
      <c r="C1402">
        <v>2000</v>
      </c>
      <c r="D1402">
        <v>5.7</v>
      </c>
      <c r="E1402" t="s">
        <v>27</v>
      </c>
      <c r="F1402">
        <v>225295</v>
      </c>
      <c r="G1402" t="s">
        <v>22</v>
      </c>
      <c r="H1402">
        <v>49105.69</v>
      </c>
      <c r="I1402" t="s">
        <v>35</v>
      </c>
      <c r="J1402" t="s">
        <v>46</v>
      </c>
      <c r="K1402" t="s">
        <v>26</v>
      </c>
      <c r="L1402">
        <v>26</v>
      </c>
      <c r="M1402">
        <v>0.22</v>
      </c>
      <c r="N1402" t="s">
        <v>20</v>
      </c>
    </row>
    <row r="1403" spans="1:14" x14ac:dyDescent="0.25">
      <c r="A1403">
        <v>1402</v>
      </c>
      <c r="B1403" t="s">
        <v>14</v>
      </c>
      <c r="C1403">
        <v>2011</v>
      </c>
      <c r="D1403">
        <v>5.4</v>
      </c>
      <c r="E1403" t="s">
        <v>15</v>
      </c>
      <c r="F1403">
        <v>264323</v>
      </c>
      <c r="G1403" t="s">
        <v>16</v>
      </c>
      <c r="H1403">
        <v>6903.27</v>
      </c>
      <c r="I1403" t="s">
        <v>28</v>
      </c>
      <c r="J1403" t="s">
        <v>18</v>
      </c>
      <c r="K1403" t="s">
        <v>26</v>
      </c>
      <c r="L1403">
        <v>15</v>
      </c>
      <c r="M1403">
        <v>0.03</v>
      </c>
      <c r="N1403" t="s">
        <v>20</v>
      </c>
    </row>
    <row r="1404" spans="1:14" x14ac:dyDescent="0.25">
      <c r="A1404">
        <v>1403</v>
      </c>
      <c r="B1404" t="s">
        <v>36</v>
      </c>
      <c r="C1404">
        <v>2018</v>
      </c>
      <c r="D1404">
        <v>5.5</v>
      </c>
      <c r="E1404" t="s">
        <v>15</v>
      </c>
      <c r="F1404">
        <v>2019</v>
      </c>
      <c r="G1404" t="s">
        <v>30</v>
      </c>
      <c r="H1404">
        <v>18393.04</v>
      </c>
      <c r="I1404" t="s">
        <v>37</v>
      </c>
      <c r="J1404" t="s">
        <v>41</v>
      </c>
      <c r="K1404" t="s">
        <v>50</v>
      </c>
      <c r="L1404">
        <v>8</v>
      </c>
      <c r="M1404">
        <v>9.11</v>
      </c>
      <c r="N1404" t="s">
        <v>33</v>
      </c>
    </row>
    <row r="1405" spans="1:14" x14ac:dyDescent="0.25">
      <c r="A1405">
        <v>1404</v>
      </c>
      <c r="B1405" t="s">
        <v>52</v>
      </c>
      <c r="C1405">
        <v>2014</v>
      </c>
      <c r="D1405">
        <v>6</v>
      </c>
      <c r="E1405" t="s">
        <v>27</v>
      </c>
      <c r="F1405">
        <v>81455</v>
      </c>
      <c r="G1405" t="s">
        <v>30</v>
      </c>
      <c r="H1405">
        <v>69490.41</v>
      </c>
      <c r="I1405" t="s">
        <v>56</v>
      </c>
      <c r="J1405" t="s">
        <v>18</v>
      </c>
      <c r="K1405" t="s">
        <v>19</v>
      </c>
      <c r="L1405">
        <v>12</v>
      </c>
      <c r="M1405">
        <v>0.85</v>
      </c>
      <c r="N1405" t="s">
        <v>33</v>
      </c>
    </row>
    <row r="1406" spans="1:14" x14ac:dyDescent="0.25">
      <c r="A1406">
        <v>1405</v>
      </c>
      <c r="B1406" t="s">
        <v>21</v>
      </c>
      <c r="C1406">
        <v>2008</v>
      </c>
      <c r="D1406">
        <v>2</v>
      </c>
      <c r="E1406" t="s">
        <v>15</v>
      </c>
      <c r="F1406">
        <v>216311</v>
      </c>
      <c r="G1406" t="s">
        <v>22</v>
      </c>
      <c r="H1406">
        <v>76008.850000000006</v>
      </c>
      <c r="I1406" t="s">
        <v>60</v>
      </c>
      <c r="J1406" t="s">
        <v>32</v>
      </c>
      <c r="K1406" t="s">
        <v>26</v>
      </c>
      <c r="L1406">
        <v>18</v>
      </c>
      <c r="M1406">
        <v>0.35</v>
      </c>
      <c r="N1406" t="s">
        <v>20</v>
      </c>
    </row>
    <row r="1407" spans="1:14" x14ac:dyDescent="0.25">
      <c r="A1407">
        <v>1406</v>
      </c>
      <c r="B1407" t="s">
        <v>14</v>
      </c>
      <c r="C1407">
        <v>2006</v>
      </c>
      <c r="D1407">
        <v>2.8</v>
      </c>
      <c r="E1407" t="s">
        <v>27</v>
      </c>
      <c r="F1407">
        <v>149776</v>
      </c>
      <c r="G1407" t="s">
        <v>16</v>
      </c>
      <c r="H1407">
        <v>15955.31</v>
      </c>
      <c r="I1407" t="s">
        <v>58</v>
      </c>
      <c r="J1407" t="s">
        <v>18</v>
      </c>
      <c r="K1407" t="s">
        <v>19</v>
      </c>
      <c r="L1407">
        <v>20</v>
      </c>
      <c r="M1407">
        <v>0.11</v>
      </c>
      <c r="N1407" t="s">
        <v>20</v>
      </c>
    </row>
    <row r="1408" spans="1:14" x14ac:dyDescent="0.25">
      <c r="A1408">
        <v>1407</v>
      </c>
      <c r="B1408" t="s">
        <v>36</v>
      </c>
      <c r="C1408">
        <v>2001</v>
      </c>
      <c r="D1408">
        <v>4.3</v>
      </c>
      <c r="E1408" t="s">
        <v>15</v>
      </c>
      <c r="F1408">
        <v>149102</v>
      </c>
      <c r="G1408" t="s">
        <v>16</v>
      </c>
      <c r="H1408">
        <v>26632.41</v>
      </c>
      <c r="I1408" t="s">
        <v>54</v>
      </c>
      <c r="J1408" t="s">
        <v>41</v>
      </c>
      <c r="K1408" t="s">
        <v>19</v>
      </c>
      <c r="L1408">
        <v>25</v>
      </c>
      <c r="M1408">
        <v>0.18</v>
      </c>
      <c r="N1408" t="s">
        <v>33</v>
      </c>
    </row>
    <row r="1409" spans="1:14" x14ac:dyDescent="0.25">
      <c r="A1409">
        <v>1408</v>
      </c>
      <c r="B1409" t="s">
        <v>52</v>
      </c>
      <c r="C1409">
        <v>2008</v>
      </c>
      <c r="D1409">
        <v>3.4</v>
      </c>
      <c r="E1409" t="s">
        <v>27</v>
      </c>
      <c r="F1409">
        <v>3420</v>
      </c>
      <c r="G1409" t="s">
        <v>30</v>
      </c>
      <c r="H1409">
        <v>14395.92</v>
      </c>
      <c r="I1409" t="s">
        <v>56</v>
      </c>
      <c r="J1409" t="s">
        <v>18</v>
      </c>
      <c r="K1409" t="s">
        <v>50</v>
      </c>
      <c r="L1409">
        <v>18</v>
      </c>
      <c r="M1409">
        <v>4.21</v>
      </c>
      <c r="N1409" t="s">
        <v>33</v>
      </c>
    </row>
    <row r="1410" spans="1:14" x14ac:dyDescent="0.25">
      <c r="A1410">
        <v>1409</v>
      </c>
      <c r="B1410" t="s">
        <v>43</v>
      </c>
      <c r="C1410">
        <v>2009</v>
      </c>
      <c r="D1410">
        <v>3.1</v>
      </c>
      <c r="E1410" t="s">
        <v>15</v>
      </c>
      <c r="F1410">
        <v>178725</v>
      </c>
      <c r="G1410" t="s">
        <v>22</v>
      </c>
      <c r="H1410">
        <v>46174.22</v>
      </c>
      <c r="I1410" t="s">
        <v>48</v>
      </c>
      <c r="J1410" t="s">
        <v>32</v>
      </c>
      <c r="K1410" t="s">
        <v>26</v>
      </c>
      <c r="L1410">
        <v>17</v>
      </c>
      <c r="M1410">
        <v>0.26</v>
      </c>
      <c r="N1410" t="s">
        <v>20</v>
      </c>
    </row>
    <row r="1411" spans="1:14" x14ac:dyDescent="0.25">
      <c r="A1411">
        <v>1410</v>
      </c>
      <c r="B1411" t="s">
        <v>29</v>
      </c>
      <c r="C1411">
        <v>2001</v>
      </c>
      <c r="D1411">
        <v>2.8</v>
      </c>
      <c r="E1411" t="s">
        <v>27</v>
      </c>
      <c r="F1411">
        <v>16740</v>
      </c>
      <c r="G1411" t="s">
        <v>30</v>
      </c>
      <c r="H1411">
        <v>16981.03</v>
      </c>
      <c r="I1411" t="s">
        <v>31</v>
      </c>
      <c r="J1411" t="s">
        <v>41</v>
      </c>
      <c r="K1411" t="s">
        <v>50</v>
      </c>
      <c r="L1411">
        <v>25</v>
      </c>
      <c r="M1411">
        <v>1.01</v>
      </c>
      <c r="N1411" t="s">
        <v>33</v>
      </c>
    </row>
    <row r="1412" spans="1:14" x14ac:dyDescent="0.25">
      <c r="A1412">
        <v>1411</v>
      </c>
      <c r="B1412" t="s">
        <v>24</v>
      </c>
      <c r="C1412">
        <v>2018</v>
      </c>
      <c r="D1412">
        <v>4</v>
      </c>
      <c r="E1412" t="s">
        <v>27</v>
      </c>
      <c r="F1412">
        <v>105789</v>
      </c>
      <c r="G1412" t="s">
        <v>30</v>
      </c>
      <c r="H1412">
        <v>46543.12</v>
      </c>
      <c r="I1412" t="s">
        <v>34</v>
      </c>
      <c r="J1412" t="s">
        <v>41</v>
      </c>
      <c r="K1412" t="s">
        <v>19</v>
      </c>
      <c r="L1412">
        <v>8</v>
      </c>
      <c r="M1412">
        <v>0.44</v>
      </c>
      <c r="N1412" t="s">
        <v>20</v>
      </c>
    </row>
    <row r="1413" spans="1:14" x14ac:dyDescent="0.25">
      <c r="A1413">
        <v>1412</v>
      </c>
      <c r="B1413" t="s">
        <v>43</v>
      </c>
      <c r="C1413">
        <v>2010</v>
      </c>
      <c r="D1413">
        <v>3.9</v>
      </c>
      <c r="E1413" t="s">
        <v>27</v>
      </c>
      <c r="F1413">
        <v>19465</v>
      </c>
      <c r="G1413" t="s">
        <v>16</v>
      </c>
      <c r="H1413">
        <v>74549.33</v>
      </c>
      <c r="I1413" t="s">
        <v>49</v>
      </c>
      <c r="J1413" t="s">
        <v>32</v>
      </c>
      <c r="K1413" t="s">
        <v>50</v>
      </c>
      <c r="L1413">
        <v>16</v>
      </c>
      <c r="M1413">
        <v>3.83</v>
      </c>
      <c r="N1413" t="s">
        <v>20</v>
      </c>
    </row>
    <row r="1414" spans="1:14" x14ac:dyDescent="0.25">
      <c r="A1414">
        <v>1413</v>
      </c>
      <c r="B1414" t="s">
        <v>52</v>
      </c>
      <c r="C1414">
        <v>2012</v>
      </c>
      <c r="D1414">
        <v>1.8</v>
      </c>
      <c r="E1414" t="s">
        <v>27</v>
      </c>
      <c r="F1414">
        <v>4131</v>
      </c>
      <c r="G1414" t="s">
        <v>16</v>
      </c>
      <c r="H1414">
        <v>69921.919999999998</v>
      </c>
      <c r="I1414" t="s">
        <v>56</v>
      </c>
      <c r="J1414" t="s">
        <v>32</v>
      </c>
      <c r="K1414" t="s">
        <v>50</v>
      </c>
      <c r="L1414">
        <v>14</v>
      </c>
      <c r="M1414">
        <v>16.93</v>
      </c>
      <c r="N1414" t="s">
        <v>33</v>
      </c>
    </row>
    <row r="1415" spans="1:14" x14ac:dyDescent="0.25">
      <c r="A1415">
        <v>1414</v>
      </c>
      <c r="B1415" t="s">
        <v>43</v>
      </c>
      <c r="C1415">
        <v>2009</v>
      </c>
      <c r="D1415">
        <v>3.4</v>
      </c>
      <c r="E1415" t="s">
        <v>15</v>
      </c>
      <c r="F1415">
        <v>10652</v>
      </c>
      <c r="G1415" t="s">
        <v>30</v>
      </c>
      <c r="H1415">
        <v>31643.75</v>
      </c>
      <c r="I1415" t="s">
        <v>49</v>
      </c>
      <c r="J1415" t="s">
        <v>46</v>
      </c>
      <c r="K1415" t="s">
        <v>50</v>
      </c>
      <c r="L1415">
        <v>17</v>
      </c>
      <c r="M1415">
        <v>2.97</v>
      </c>
      <c r="N1415" t="s">
        <v>20</v>
      </c>
    </row>
    <row r="1416" spans="1:14" x14ac:dyDescent="0.25">
      <c r="A1416">
        <v>1415</v>
      </c>
      <c r="B1416" t="s">
        <v>29</v>
      </c>
      <c r="C1416">
        <v>2013</v>
      </c>
      <c r="D1416">
        <v>3.8</v>
      </c>
      <c r="E1416" t="s">
        <v>15</v>
      </c>
      <c r="F1416">
        <v>218115</v>
      </c>
      <c r="G1416" t="s">
        <v>22</v>
      </c>
      <c r="H1416">
        <v>69007.44</v>
      </c>
      <c r="I1416" t="s">
        <v>40</v>
      </c>
      <c r="J1416" t="s">
        <v>18</v>
      </c>
      <c r="K1416" t="s">
        <v>26</v>
      </c>
      <c r="L1416">
        <v>13</v>
      </c>
      <c r="M1416">
        <v>0.32</v>
      </c>
      <c r="N1416" t="s">
        <v>33</v>
      </c>
    </row>
    <row r="1417" spans="1:14" x14ac:dyDescent="0.25">
      <c r="A1417">
        <v>1416</v>
      </c>
      <c r="B1417" t="s">
        <v>14</v>
      </c>
      <c r="C1417">
        <v>2017</v>
      </c>
      <c r="D1417">
        <v>3.9</v>
      </c>
      <c r="E1417" t="s">
        <v>27</v>
      </c>
      <c r="F1417">
        <v>245289</v>
      </c>
      <c r="G1417" t="s">
        <v>22</v>
      </c>
      <c r="H1417">
        <v>93132.65</v>
      </c>
      <c r="I1417" t="s">
        <v>28</v>
      </c>
      <c r="J1417" t="s">
        <v>18</v>
      </c>
      <c r="K1417" t="s">
        <v>26</v>
      </c>
      <c r="L1417">
        <v>9</v>
      </c>
      <c r="M1417">
        <v>0.38</v>
      </c>
      <c r="N1417" t="s">
        <v>20</v>
      </c>
    </row>
    <row r="1418" spans="1:14" x14ac:dyDescent="0.25">
      <c r="A1418">
        <v>1417</v>
      </c>
      <c r="B1418" t="s">
        <v>52</v>
      </c>
      <c r="C1418">
        <v>2018</v>
      </c>
      <c r="D1418">
        <v>2.1</v>
      </c>
      <c r="E1418" t="s">
        <v>15</v>
      </c>
      <c r="F1418">
        <v>89342</v>
      </c>
      <c r="G1418" t="s">
        <v>30</v>
      </c>
      <c r="H1418">
        <v>38014.82</v>
      </c>
      <c r="I1418" t="s">
        <v>56</v>
      </c>
      <c r="J1418" t="s">
        <v>41</v>
      </c>
      <c r="K1418" t="s">
        <v>19</v>
      </c>
      <c r="L1418">
        <v>8</v>
      </c>
      <c r="M1418">
        <v>0.43</v>
      </c>
      <c r="N1418" t="s">
        <v>33</v>
      </c>
    </row>
    <row r="1419" spans="1:14" x14ac:dyDescent="0.25">
      <c r="A1419">
        <v>1418</v>
      </c>
      <c r="B1419" t="s">
        <v>43</v>
      </c>
      <c r="C1419">
        <v>2021</v>
      </c>
      <c r="D1419">
        <v>4.7</v>
      </c>
      <c r="E1419" t="s">
        <v>27</v>
      </c>
      <c r="F1419">
        <v>281315</v>
      </c>
      <c r="G1419" t="s">
        <v>30</v>
      </c>
      <c r="H1419">
        <v>36266.32</v>
      </c>
      <c r="I1419" t="s">
        <v>48</v>
      </c>
      <c r="J1419" t="s">
        <v>32</v>
      </c>
      <c r="K1419" t="s">
        <v>26</v>
      </c>
      <c r="L1419">
        <v>5</v>
      </c>
      <c r="M1419">
        <v>0.13</v>
      </c>
      <c r="N1419" t="s">
        <v>20</v>
      </c>
    </row>
    <row r="1420" spans="1:14" x14ac:dyDescent="0.25">
      <c r="A1420">
        <v>1419</v>
      </c>
      <c r="B1420" t="s">
        <v>24</v>
      </c>
      <c r="C1420">
        <v>2008</v>
      </c>
      <c r="D1420">
        <v>1.1000000000000001</v>
      </c>
      <c r="E1420" t="s">
        <v>27</v>
      </c>
      <c r="F1420">
        <v>217201</v>
      </c>
      <c r="G1420" t="s">
        <v>22</v>
      </c>
      <c r="H1420">
        <v>59286.67</v>
      </c>
      <c r="I1420" t="s">
        <v>45</v>
      </c>
      <c r="J1420" t="s">
        <v>46</v>
      </c>
      <c r="K1420" t="s">
        <v>26</v>
      </c>
      <c r="L1420">
        <v>18</v>
      </c>
      <c r="M1420">
        <v>0.27</v>
      </c>
      <c r="N1420" t="s">
        <v>20</v>
      </c>
    </row>
    <row r="1421" spans="1:14" x14ac:dyDescent="0.25">
      <c r="A1421">
        <v>1420</v>
      </c>
      <c r="B1421" t="s">
        <v>24</v>
      </c>
      <c r="C1421">
        <v>2006</v>
      </c>
      <c r="D1421">
        <v>2.8</v>
      </c>
      <c r="E1421" t="s">
        <v>15</v>
      </c>
      <c r="F1421">
        <v>259820</v>
      </c>
      <c r="G1421" t="s">
        <v>22</v>
      </c>
      <c r="H1421">
        <v>28322.67</v>
      </c>
      <c r="I1421" t="s">
        <v>25</v>
      </c>
      <c r="J1421" t="s">
        <v>41</v>
      </c>
      <c r="K1421" t="s">
        <v>26</v>
      </c>
      <c r="L1421">
        <v>20</v>
      </c>
      <c r="M1421">
        <v>0.11</v>
      </c>
      <c r="N1421" t="s">
        <v>20</v>
      </c>
    </row>
    <row r="1422" spans="1:14" x14ac:dyDescent="0.25">
      <c r="A1422">
        <v>1421</v>
      </c>
      <c r="B1422" t="s">
        <v>36</v>
      </c>
      <c r="C1422">
        <v>2002</v>
      </c>
      <c r="D1422">
        <v>4.9000000000000004</v>
      </c>
      <c r="E1422" t="s">
        <v>15</v>
      </c>
      <c r="F1422">
        <v>186764</v>
      </c>
      <c r="G1422" t="s">
        <v>22</v>
      </c>
      <c r="H1422">
        <v>66900</v>
      </c>
      <c r="I1422" t="s">
        <v>54</v>
      </c>
      <c r="J1422" t="s">
        <v>18</v>
      </c>
      <c r="K1422" t="s">
        <v>26</v>
      </c>
      <c r="L1422">
        <v>24</v>
      </c>
      <c r="M1422">
        <v>0.36</v>
      </c>
      <c r="N1422" t="s">
        <v>33</v>
      </c>
    </row>
    <row r="1423" spans="1:14" x14ac:dyDescent="0.25">
      <c r="A1423">
        <v>1422</v>
      </c>
      <c r="B1423" t="s">
        <v>43</v>
      </c>
      <c r="C1423">
        <v>2019</v>
      </c>
      <c r="D1423">
        <v>3.8</v>
      </c>
      <c r="E1423" t="s">
        <v>27</v>
      </c>
      <c r="F1423">
        <v>58541</v>
      </c>
      <c r="G1423" t="s">
        <v>30</v>
      </c>
      <c r="H1423">
        <v>84064.87</v>
      </c>
      <c r="I1423" t="s">
        <v>48</v>
      </c>
      <c r="J1423" t="s">
        <v>32</v>
      </c>
      <c r="K1423" t="s">
        <v>19</v>
      </c>
      <c r="L1423">
        <v>7</v>
      </c>
      <c r="M1423">
        <v>1.44</v>
      </c>
      <c r="N1423" t="s">
        <v>20</v>
      </c>
    </row>
    <row r="1424" spans="1:14" x14ac:dyDescent="0.25">
      <c r="A1424">
        <v>1423</v>
      </c>
      <c r="B1424" t="s">
        <v>21</v>
      </c>
      <c r="C1424">
        <v>2005</v>
      </c>
      <c r="D1424">
        <v>2.2999999999999998</v>
      </c>
      <c r="E1424" t="s">
        <v>15</v>
      </c>
      <c r="F1424">
        <v>9470</v>
      </c>
      <c r="G1424" t="s">
        <v>16</v>
      </c>
      <c r="H1424">
        <v>48635.26</v>
      </c>
      <c r="I1424" t="s">
        <v>42</v>
      </c>
      <c r="J1424" t="s">
        <v>46</v>
      </c>
      <c r="K1424" t="s">
        <v>50</v>
      </c>
      <c r="L1424">
        <v>21</v>
      </c>
      <c r="M1424">
        <v>5.14</v>
      </c>
      <c r="N1424" t="s">
        <v>20</v>
      </c>
    </row>
    <row r="1425" spans="1:14" x14ac:dyDescent="0.25">
      <c r="A1425">
        <v>1424</v>
      </c>
      <c r="B1425" t="s">
        <v>43</v>
      </c>
      <c r="C1425">
        <v>2020</v>
      </c>
      <c r="D1425">
        <v>4.5</v>
      </c>
      <c r="E1425" t="s">
        <v>27</v>
      </c>
      <c r="F1425">
        <v>192416</v>
      </c>
      <c r="G1425" t="s">
        <v>22</v>
      </c>
      <c r="H1425">
        <v>69553.2</v>
      </c>
      <c r="I1425" t="s">
        <v>49</v>
      </c>
      <c r="J1425" t="s">
        <v>18</v>
      </c>
      <c r="K1425" t="s">
        <v>26</v>
      </c>
      <c r="L1425">
        <v>6</v>
      </c>
      <c r="M1425">
        <v>0.36</v>
      </c>
      <c r="N1425" t="s">
        <v>20</v>
      </c>
    </row>
    <row r="1426" spans="1:14" x14ac:dyDescent="0.25">
      <c r="A1426">
        <v>1425</v>
      </c>
      <c r="B1426" t="s">
        <v>14</v>
      </c>
      <c r="C1426">
        <v>2001</v>
      </c>
      <c r="D1426">
        <v>3.8</v>
      </c>
      <c r="E1426" t="s">
        <v>15</v>
      </c>
      <c r="F1426">
        <v>44308</v>
      </c>
      <c r="G1426" t="s">
        <v>22</v>
      </c>
      <c r="H1426">
        <v>66929.119999999995</v>
      </c>
      <c r="I1426" t="s">
        <v>39</v>
      </c>
      <c r="J1426" t="s">
        <v>18</v>
      </c>
      <c r="K1426" t="s">
        <v>50</v>
      </c>
      <c r="L1426">
        <v>25</v>
      </c>
      <c r="M1426">
        <v>1.51</v>
      </c>
      <c r="N1426" t="s">
        <v>20</v>
      </c>
    </row>
    <row r="1427" spans="1:14" x14ac:dyDescent="0.25">
      <c r="A1427">
        <v>1426</v>
      </c>
      <c r="B1427" t="s">
        <v>52</v>
      </c>
      <c r="C1427">
        <v>2005</v>
      </c>
      <c r="D1427">
        <v>5</v>
      </c>
      <c r="E1427" t="s">
        <v>15</v>
      </c>
      <c r="F1427">
        <v>135669</v>
      </c>
      <c r="G1427" t="s">
        <v>22</v>
      </c>
      <c r="H1427">
        <v>8673.23</v>
      </c>
      <c r="I1427" t="s">
        <v>53</v>
      </c>
      <c r="J1427" t="s">
        <v>41</v>
      </c>
      <c r="K1427" t="s">
        <v>19</v>
      </c>
      <c r="L1427">
        <v>21</v>
      </c>
      <c r="M1427">
        <v>0.06</v>
      </c>
      <c r="N1427" t="s">
        <v>33</v>
      </c>
    </row>
    <row r="1428" spans="1:14" x14ac:dyDescent="0.25">
      <c r="A1428">
        <v>1427</v>
      </c>
      <c r="B1428" t="s">
        <v>52</v>
      </c>
      <c r="C1428">
        <v>2002</v>
      </c>
      <c r="D1428">
        <v>4.7</v>
      </c>
      <c r="E1428" t="s">
        <v>15</v>
      </c>
      <c r="F1428">
        <v>102840</v>
      </c>
      <c r="G1428" t="s">
        <v>30</v>
      </c>
      <c r="H1428">
        <v>22424.55</v>
      </c>
      <c r="I1428" t="s">
        <v>56</v>
      </c>
      <c r="J1428" t="s">
        <v>18</v>
      </c>
      <c r="K1428" t="s">
        <v>19</v>
      </c>
      <c r="L1428">
        <v>24</v>
      </c>
      <c r="M1428">
        <v>0.22</v>
      </c>
      <c r="N1428" t="s">
        <v>33</v>
      </c>
    </row>
    <row r="1429" spans="1:14" x14ac:dyDescent="0.25">
      <c r="A1429">
        <v>1428</v>
      </c>
      <c r="B1429" t="s">
        <v>14</v>
      </c>
      <c r="C1429">
        <v>2015</v>
      </c>
      <c r="D1429">
        <v>4.0999999999999996</v>
      </c>
      <c r="E1429" t="s">
        <v>15</v>
      </c>
      <c r="F1429">
        <v>161860</v>
      </c>
      <c r="G1429" t="s">
        <v>16</v>
      </c>
      <c r="H1429">
        <v>89885.35</v>
      </c>
      <c r="I1429" t="s">
        <v>58</v>
      </c>
      <c r="J1429" t="s">
        <v>18</v>
      </c>
      <c r="K1429" t="s">
        <v>26</v>
      </c>
      <c r="L1429">
        <v>11</v>
      </c>
      <c r="M1429">
        <v>0.56000000000000005</v>
      </c>
      <c r="N1429" t="s">
        <v>20</v>
      </c>
    </row>
    <row r="1430" spans="1:14" x14ac:dyDescent="0.25">
      <c r="A1430">
        <v>1429</v>
      </c>
      <c r="B1430" t="s">
        <v>43</v>
      </c>
      <c r="C1430">
        <v>2007</v>
      </c>
      <c r="D1430">
        <v>3.4</v>
      </c>
      <c r="E1430" t="s">
        <v>15</v>
      </c>
      <c r="F1430">
        <v>49477</v>
      </c>
      <c r="G1430" t="s">
        <v>16</v>
      </c>
      <c r="H1430">
        <v>94194.75</v>
      </c>
      <c r="I1430" t="s">
        <v>55</v>
      </c>
      <c r="J1430" t="s">
        <v>18</v>
      </c>
      <c r="K1430" t="s">
        <v>50</v>
      </c>
      <c r="L1430">
        <v>19</v>
      </c>
      <c r="M1430">
        <v>1.9</v>
      </c>
      <c r="N1430" t="s">
        <v>20</v>
      </c>
    </row>
    <row r="1431" spans="1:14" x14ac:dyDescent="0.25">
      <c r="A1431">
        <v>1430</v>
      </c>
      <c r="B1431" t="s">
        <v>14</v>
      </c>
      <c r="C1431">
        <v>2001</v>
      </c>
      <c r="D1431">
        <v>1.7</v>
      </c>
      <c r="E1431" t="s">
        <v>27</v>
      </c>
      <c r="F1431">
        <v>108261</v>
      </c>
      <c r="G1431" t="s">
        <v>22</v>
      </c>
      <c r="H1431">
        <v>79141.77</v>
      </c>
      <c r="I1431" t="s">
        <v>28</v>
      </c>
      <c r="J1431" t="s">
        <v>18</v>
      </c>
      <c r="K1431" t="s">
        <v>19</v>
      </c>
      <c r="L1431">
        <v>25</v>
      </c>
      <c r="M1431">
        <v>0.73</v>
      </c>
      <c r="N1431" t="s">
        <v>20</v>
      </c>
    </row>
    <row r="1432" spans="1:14" x14ac:dyDescent="0.25">
      <c r="A1432">
        <v>1431</v>
      </c>
      <c r="B1432" t="s">
        <v>29</v>
      </c>
      <c r="C1432">
        <v>2016</v>
      </c>
      <c r="D1432">
        <v>2.2999999999999998</v>
      </c>
      <c r="E1432" t="s">
        <v>15</v>
      </c>
      <c r="F1432">
        <v>102466</v>
      </c>
      <c r="G1432" t="s">
        <v>30</v>
      </c>
      <c r="H1432">
        <v>92518.57</v>
      </c>
      <c r="I1432" t="s">
        <v>62</v>
      </c>
      <c r="J1432" t="s">
        <v>18</v>
      </c>
      <c r="K1432" t="s">
        <v>19</v>
      </c>
      <c r="L1432">
        <v>10</v>
      </c>
      <c r="M1432">
        <v>0.9</v>
      </c>
      <c r="N1432" t="s">
        <v>33</v>
      </c>
    </row>
    <row r="1433" spans="1:14" x14ac:dyDescent="0.25">
      <c r="A1433">
        <v>1432</v>
      </c>
      <c r="B1433" t="s">
        <v>14</v>
      </c>
      <c r="C1433">
        <v>2008</v>
      </c>
      <c r="D1433">
        <v>3.1</v>
      </c>
      <c r="E1433" t="s">
        <v>15</v>
      </c>
      <c r="F1433">
        <v>295215</v>
      </c>
      <c r="G1433" t="s">
        <v>16</v>
      </c>
      <c r="H1433">
        <v>34084.120000000003</v>
      </c>
      <c r="I1433" t="s">
        <v>58</v>
      </c>
      <c r="J1433" t="s">
        <v>18</v>
      </c>
      <c r="K1433" t="s">
        <v>26</v>
      </c>
      <c r="L1433">
        <v>18</v>
      </c>
      <c r="M1433">
        <v>0.12</v>
      </c>
      <c r="N1433" t="s">
        <v>20</v>
      </c>
    </row>
    <row r="1434" spans="1:14" x14ac:dyDescent="0.25">
      <c r="A1434">
        <v>1433</v>
      </c>
      <c r="B1434" t="s">
        <v>24</v>
      </c>
      <c r="C1434">
        <v>2011</v>
      </c>
      <c r="D1434">
        <v>4</v>
      </c>
      <c r="E1434" t="s">
        <v>27</v>
      </c>
      <c r="F1434">
        <v>70560</v>
      </c>
      <c r="G1434" t="s">
        <v>30</v>
      </c>
      <c r="H1434">
        <v>28532.54</v>
      </c>
      <c r="I1434" t="s">
        <v>25</v>
      </c>
      <c r="J1434" t="s">
        <v>41</v>
      </c>
      <c r="K1434" t="s">
        <v>19</v>
      </c>
      <c r="L1434">
        <v>15</v>
      </c>
      <c r="M1434">
        <v>0.4</v>
      </c>
      <c r="N1434" t="s">
        <v>20</v>
      </c>
    </row>
    <row r="1435" spans="1:14" x14ac:dyDescent="0.25">
      <c r="A1435">
        <v>1434</v>
      </c>
      <c r="B1435" t="s">
        <v>14</v>
      </c>
      <c r="C1435">
        <v>2002</v>
      </c>
      <c r="D1435">
        <v>3.6</v>
      </c>
      <c r="E1435" t="s">
        <v>27</v>
      </c>
      <c r="F1435">
        <v>255392</v>
      </c>
      <c r="G1435" t="s">
        <v>16</v>
      </c>
      <c r="H1435">
        <v>41508.519999999997</v>
      </c>
      <c r="I1435" t="s">
        <v>28</v>
      </c>
      <c r="J1435" t="s">
        <v>18</v>
      </c>
      <c r="K1435" t="s">
        <v>26</v>
      </c>
      <c r="L1435">
        <v>24</v>
      </c>
      <c r="M1435">
        <v>0.16</v>
      </c>
      <c r="N1435" t="s">
        <v>20</v>
      </c>
    </row>
    <row r="1436" spans="1:14" x14ac:dyDescent="0.25">
      <c r="A1436">
        <v>1435</v>
      </c>
      <c r="B1436" t="s">
        <v>52</v>
      </c>
      <c r="C1436">
        <v>2010</v>
      </c>
      <c r="D1436">
        <v>2.4</v>
      </c>
      <c r="E1436" t="s">
        <v>27</v>
      </c>
      <c r="F1436">
        <v>261278</v>
      </c>
      <c r="G1436" t="s">
        <v>22</v>
      </c>
      <c r="H1436">
        <v>10257.49</v>
      </c>
      <c r="I1436" t="s">
        <v>59</v>
      </c>
      <c r="J1436" t="s">
        <v>46</v>
      </c>
      <c r="K1436" t="s">
        <v>26</v>
      </c>
      <c r="L1436">
        <v>16</v>
      </c>
      <c r="M1436">
        <v>0.04</v>
      </c>
      <c r="N1436" t="s">
        <v>33</v>
      </c>
    </row>
    <row r="1437" spans="1:14" x14ac:dyDescent="0.25">
      <c r="A1437">
        <v>1436</v>
      </c>
      <c r="B1437" t="s">
        <v>24</v>
      </c>
      <c r="C1437">
        <v>2000</v>
      </c>
      <c r="D1437">
        <v>1</v>
      </c>
      <c r="E1437" t="s">
        <v>15</v>
      </c>
      <c r="F1437">
        <v>166471</v>
      </c>
      <c r="G1437" t="s">
        <v>30</v>
      </c>
      <c r="H1437">
        <v>81937.8</v>
      </c>
      <c r="I1437" t="s">
        <v>45</v>
      </c>
      <c r="J1437" t="s">
        <v>46</v>
      </c>
      <c r="K1437" t="s">
        <v>26</v>
      </c>
      <c r="L1437">
        <v>26</v>
      </c>
      <c r="M1437">
        <v>0.49</v>
      </c>
      <c r="N1437" t="s">
        <v>20</v>
      </c>
    </row>
    <row r="1438" spans="1:14" x14ac:dyDescent="0.25">
      <c r="A1438">
        <v>1437</v>
      </c>
      <c r="B1438" t="s">
        <v>52</v>
      </c>
      <c r="C1438">
        <v>2022</v>
      </c>
      <c r="D1438">
        <v>3.5</v>
      </c>
      <c r="E1438" t="s">
        <v>15</v>
      </c>
      <c r="F1438">
        <v>244413</v>
      </c>
      <c r="G1438" t="s">
        <v>22</v>
      </c>
      <c r="H1438">
        <v>98496.67</v>
      </c>
      <c r="I1438" t="s">
        <v>61</v>
      </c>
      <c r="J1438" t="s">
        <v>41</v>
      </c>
      <c r="K1438" t="s">
        <v>26</v>
      </c>
      <c r="L1438">
        <v>4</v>
      </c>
      <c r="M1438">
        <v>0.4</v>
      </c>
      <c r="N1438" t="s">
        <v>33</v>
      </c>
    </row>
    <row r="1439" spans="1:14" x14ac:dyDescent="0.25">
      <c r="A1439">
        <v>1438</v>
      </c>
      <c r="B1439" t="s">
        <v>36</v>
      </c>
      <c r="C1439">
        <v>2012</v>
      </c>
      <c r="D1439">
        <v>2.4</v>
      </c>
      <c r="E1439" t="s">
        <v>27</v>
      </c>
      <c r="F1439">
        <v>188511</v>
      </c>
      <c r="G1439" t="s">
        <v>16</v>
      </c>
      <c r="H1439">
        <v>83282.78</v>
      </c>
      <c r="I1439" t="s">
        <v>54</v>
      </c>
      <c r="J1439" t="s">
        <v>41</v>
      </c>
      <c r="K1439" t="s">
        <v>26</v>
      </c>
      <c r="L1439">
        <v>14</v>
      </c>
      <c r="M1439">
        <v>0.44</v>
      </c>
      <c r="N1439" t="s">
        <v>33</v>
      </c>
    </row>
    <row r="1440" spans="1:14" x14ac:dyDescent="0.25">
      <c r="A1440">
        <v>1439</v>
      </c>
      <c r="B1440" t="s">
        <v>21</v>
      </c>
      <c r="C1440">
        <v>2014</v>
      </c>
      <c r="D1440">
        <v>4.7</v>
      </c>
      <c r="E1440" t="s">
        <v>27</v>
      </c>
      <c r="F1440">
        <v>2369</v>
      </c>
      <c r="G1440" t="s">
        <v>16</v>
      </c>
      <c r="H1440">
        <v>57722.66</v>
      </c>
      <c r="I1440" t="s">
        <v>47</v>
      </c>
      <c r="J1440" t="s">
        <v>32</v>
      </c>
      <c r="K1440" t="s">
        <v>50</v>
      </c>
      <c r="L1440">
        <v>12</v>
      </c>
      <c r="M1440">
        <v>24.37</v>
      </c>
      <c r="N1440" t="s">
        <v>20</v>
      </c>
    </row>
    <row r="1441" spans="1:14" x14ac:dyDescent="0.25">
      <c r="A1441">
        <v>1440</v>
      </c>
      <c r="B1441" t="s">
        <v>52</v>
      </c>
      <c r="C1441">
        <v>2004</v>
      </c>
      <c r="D1441">
        <v>1.1000000000000001</v>
      </c>
      <c r="E1441" t="s">
        <v>27</v>
      </c>
      <c r="F1441">
        <v>228629</v>
      </c>
      <c r="G1441" t="s">
        <v>22</v>
      </c>
      <c r="H1441">
        <v>33051.79</v>
      </c>
      <c r="I1441" t="s">
        <v>59</v>
      </c>
      <c r="J1441" t="s">
        <v>46</v>
      </c>
      <c r="K1441" t="s">
        <v>26</v>
      </c>
      <c r="L1441">
        <v>22</v>
      </c>
      <c r="M1441">
        <v>0.14000000000000001</v>
      </c>
      <c r="N1441" t="s">
        <v>33</v>
      </c>
    </row>
    <row r="1442" spans="1:14" x14ac:dyDescent="0.25">
      <c r="A1442">
        <v>1441</v>
      </c>
      <c r="B1442" t="s">
        <v>24</v>
      </c>
      <c r="C1442">
        <v>2020</v>
      </c>
      <c r="D1442">
        <v>3.9</v>
      </c>
      <c r="E1442" t="s">
        <v>27</v>
      </c>
      <c r="F1442">
        <v>262672</v>
      </c>
      <c r="G1442" t="s">
        <v>16</v>
      </c>
      <c r="H1442">
        <v>23781.3</v>
      </c>
      <c r="I1442" t="s">
        <v>35</v>
      </c>
      <c r="J1442" t="s">
        <v>41</v>
      </c>
      <c r="K1442" t="s">
        <v>26</v>
      </c>
      <c r="L1442">
        <v>6</v>
      </c>
      <c r="M1442">
        <v>0.09</v>
      </c>
      <c r="N1442" t="s">
        <v>20</v>
      </c>
    </row>
    <row r="1443" spans="1:14" x14ac:dyDescent="0.25">
      <c r="A1443">
        <v>1442</v>
      </c>
      <c r="B1443" t="s">
        <v>36</v>
      </c>
      <c r="C1443">
        <v>2016</v>
      </c>
      <c r="D1443">
        <v>5.7</v>
      </c>
      <c r="E1443" t="s">
        <v>15</v>
      </c>
      <c r="F1443">
        <v>108806</v>
      </c>
      <c r="G1443" t="s">
        <v>22</v>
      </c>
      <c r="H1443">
        <v>39585.97</v>
      </c>
      <c r="I1443" t="s">
        <v>51</v>
      </c>
      <c r="J1443" t="s">
        <v>32</v>
      </c>
      <c r="K1443" t="s">
        <v>19</v>
      </c>
      <c r="L1443">
        <v>10</v>
      </c>
      <c r="M1443">
        <v>0.36</v>
      </c>
      <c r="N1443" t="s">
        <v>33</v>
      </c>
    </row>
    <row r="1444" spans="1:14" x14ac:dyDescent="0.25">
      <c r="A1444">
        <v>1443</v>
      </c>
      <c r="B1444" t="s">
        <v>52</v>
      </c>
      <c r="C1444">
        <v>2022</v>
      </c>
      <c r="D1444">
        <v>1.9</v>
      </c>
      <c r="E1444" t="s">
        <v>15</v>
      </c>
      <c r="F1444">
        <v>161386</v>
      </c>
      <c r="G1444" t="s">
        <v>22</v>
      </c>
      <c r="H1444">
        <v>68362.11</v>
      </c>
      <c r="I1444" t="s">
        <v>53</v>
      </c>
      <c r="J1444" t="s">
        <v>32</v>
      </c>
      <c r="K1444" t="s">
        <v>26</v>
      </c>
      <c r="L1444">
        <v>4</v>
      </c>
      <c r="M1444">
        <v>0.42</v>
      </c>
      <c r="N1444" t="s">
        <v>33</v>
      </c>
    </row>
    <row r="1445" spans="1:14" x14ac:dyDescent="0.25">
      <c r="A1445">
        <v>1444</v>
      </c>
      <c r="B1445" t="s">
        <v>29</v>
      </c>
      <c r="C1445">
        <v>2023</v>
      </c>
      <c r="D1445">
        <v>3.4</v>
      </c>
      <c r="E1445" t="s">
        <v>15</v>
      </c>
      <c r="F1445">
        <v>102979</v>
      </c>
      <c r="G1445" t="s">
        <v>22</v>
      </c>
      <c r="H1445">
        <v>47470.85</v>
      </c>
      <c r="I1445" t="s">
        <v>38</v>
      </c>
      <c r="J1445" t="s">
        <v>41</v>
      </c>
      <c r="K1445" t="s">
        <v>19</v>
      </c>
      <c r="L1445">
        <v>3</v>
      </c>
      <c r="M1445">
        <v>0.46</v>
      </c>
      <c r="N1445" t="s">
        <v>33</v>
      </c>
    </row>
    <row r="1446" spans="1:14" x14ac:dyDescent="0.25">
      <c r="A1446">
        <v>1445</v>
      </c>
      <c r="B1446" t="s">
        <v>14</v>
      </c>
      <c r="C1446">
        <v>2005</v>
      </c>
      <c r="D1446">
        <v>1.5</v>
      </c>
      <c r="E1446" t="s">
        <v>15</v>
      </c>
      <c r="F1446">
        <v>281892</v>
      </c>
      <c r="G1446" t="s">
        <v>16</v>
      </c>
      <c r="H1446">
        <v>93735.679999999993</v>
      </c>
      <c r="I1446" t="s">
        <v>28</v>
      </c>
      <c r="J1446" t="s">
        <v>18</v>
      </c>
      <c r="K1446" t="s">
        <v>26</v>
      </c>
      <c r="L1446">
        <v>21</v>
      </c>
      <c r="M1446">
        <v>0.33</v>
      </c>
      <c r="N1446" t="s">
        <v>20</v>
      </c>
    </row>
    <row r="1447" spans="1:14" x14ac:dyDescent="0.25">
      <c r="A1447">
        <v>1446</v>
      </c>
      <c r="B1447" t="s">
        <v>21</v>
      </c>
      <c r="C1447">
        <v>2020</v>
      </c>
      <c r="D1447">
        <v>4.0999999999999996</v>
      </c>
      <c r="E1447" t="s">
        <v>15</v>
      </c>
      <c r="F1447">
        <v>35109</v>
      </c>
      <c r="G1447" t="s">
        <v>30</v>
      </c>
      <c r="H1447">
        <v>86150.93</v>
      </c>
      <c r="I1447" t="s">
        <v>60</v>
      </c>
      <c r="J1447" t="s">
        <v>18</v>
      </c>
      <c r="K1447" t="s">
        <v>50</v>
      </c>
      <c r="L1447">
        <v>6</v>
      </c>
      <c r="M1447">
        <v>2.4500000000000002</v>
      </c>
      <c r="N1447" t="s">
        <v>20</v>
      </c>
    </row>
    <row r="1448" spans="1:14" x14ac:dyDescent="0.25">
      <c r="A1448">
        <v>1447</v>
      </c>
      <c r="B1448" t="s">
        <v>52</v>
      </c>
      <c r="C1448">
        <v>2021</v>
      </c>
      <c r="D1448">
        <v>3.8</v>
      </c>
      <c r="E1448" t="s">
        <v>27</v>
      </c>
      <c r="F1448">
        <v>13919</v>
      </c>
      <c r="G1448" t="s">
        <v>22</v>
      </c>
      <c r="H1448">
        <v>14728.06</v>
      </c>
      <c r="I1448" t="s">
        <v>53</v>
      </c>
      <c r="J1448" t="s">
        <v>18</v>
      </c>
      <c r="K1448" t="s">
        <v>50</v>
      </c>
      <c r="L1448">
        <v>5</v>
      </c>
      <c r="M1448">
        <v>1.06</v>
      </c>
      <c r="N1448" t="s">
        <v>33</v>
      </c>
    </row>
    <row r="1449" spans="1:14" x14ac:dyDescent="0.25">
      <c r="A1449">
        <v>1448</v>
      </c>
      <c r="B1449" t="s">
        <v>36</v>
      </c>
      <c r="C1449">
        <v>2010</v>
      </c>
      <c r="D1449">
        <v>3</v>
      </c>
      <c r="E1449" t="s">
        <v>15</v>
      </c>
      <c r="F1449">
        <v>211864</v>
      </c>
      <c r="G1449" t="s">
        <v>30</v>
      </c>
      <c r="H1449">
        <v>17494.900000000001</v>
      </c>
      <c r="I1449" t="s">
        <v>57</v>
      </c>
      <c r="J1449" t="s">
        <v>32</v>
      </c>
      <c r="K1449" t="s">
        <v>26</v>
      </c>
      <c r="L1449">
        <v>16</v>
      </c>
      <c r="M1449">
        <v>0.08</v>
      </c>
      <c r="N1449" t="s">
        <v>33</v>
      </c>
    </row>
    <row r="1450" spans="1:14" x14ac:dyDescent="0.25">
      <c r="A1450">
        <v>1449</v>
      </c>
      <c r="B1450" t="s">
        <v>29</v>
      </c>
      <c r="C1450">
        <v>2017</v>
      </c>
      <c r="D1450">
        <v>3.6</v>
      </c>
      <c r="E1450" t="s">
        <v>27</v>
      </c>
      <c r="F1450">
        <v>70441</v>
      </c>
      <c r="G1450" t="s">
        <v>16</v>
      </c>
      <c r="H1450">
        <v>69242.720000000001</v>
      </c>
      <c r="I1450" t="s">
        <v>62</v>
      </c>
      <c r="J1450" t="s">
        <v>18</v>
      </c>
      <c r="K1450" t="s">
        <v>19</v>
      </c>
      <c r="L1450">
        <v>9</v>
      </c>
      <c r="M1450">
        <v>0.98</v>
      </c>
      <c r="N1450" t="s">
        <v>33</v>
      </c>
    </row>
    <row r="1451" spans="1:14" x14ac:dyDescent="0.25">
      <c r="A1451">
        <v>1450</v>
      </c>
      <c r="B1451" t="s">
        <v>43</v>
      </c>
      <c r="C1451">
        <v>2003</v>
      </c>
      <c r="D1451">
        <v>5.5</v>
      </c>
      <c r="E1451" t="s">
        <v>27</v>
      </c>
      <c r="F1451">
        <v>66896</v>
      </c>
      <c r="G1451" t="s">
        <v>16</v>
      </c>
      <c r="H1451">
        <v>26923</v>
      </c>
      <c r="I1451" t="s">
        <v>49</v>
      </c>
      <c r="J1451" t="s">
        <v>18</v>
      </c>
      <c r="K1451" t="s">
        <v>19</v>
      </c>
      <c r="L1451">
        <v>23</v>
      </c>
      <c r="M1451">
        <v>0.4</v>
      </c>
      <c r="N1451" t="s">
        <v>20</v>
      </c>
    </row>
    <row r="1452" spans="1:14" x14ac:dyDescent="0.25">
      <c r="A1452">
        <v>1451</v>
      </c>
      <c r="B1452" t="s">
        <v>36</v>
      </c>
      <c r="C1452">
        <v>2002</v>
      </c>
      <c r="D1452">
        <v>2</v>
      </c>
      <c r="E1452" t="s">
        <v>27</v>
      </c>
      <c r="F1452">
        <v>103431</v>
      </c>
      <c r="G1452" t="s">
        <v>30</v>
      </c>
      <c r="H1452">
        <v>80147.839999999997</v>
      </c>
      <c r="I1452" t="s">
        <v>54</v>
      </c>
      <c r="J1452" t="s">
        <v>41</v>
      </c>
      <c r="K1452" t="s">
        <v>19</v>
      </c>
      <c r="L1452">
        <v>24</v>
      </c>
      <c r="M1452">
        <v>0.77</v>
      </c>
      <c r="N1452" t="s">
        <v>33</v>
      </c>
    </row>
    <row r="1453" spans="1:14" x14ac:dyDescent="0.25">
      <c r="A1453">
        <v>1452</v>
      </c>
      <c r="B1453" t="s">
        <v>14</v>
      </c>
      <c r="C1453">
        <v>2012</v>
      </c>
      <c r="D1453">
        <v>1.1000000000000001</v>
      </c>
      <c r="E1453" t="s">
        <v>15</v>
      </c>
      <c r="F1453">
        <v>47020</v>
      </c>
      <c r="G1453" t="s">
        <v>22</v>
      </c>
      <c r="H1453">
        <v>61179.02</v>
      </c>
      <c r="I1453" t="s">
        <v>28</v>
      </c>
      <c r="J1453" t="s">
        <v>18</v>
      </c>
      <c r="K1453" t="s">
        <v>50</v>
      </c>
      <c r="L1453">
        <v>14</v>
      </c>
      <c r="M1453">
        <v>1.3</v>
      </c>
      <c r="N1453" t="s">
        <v>20</v>
      </c>
    </row>
    <row r="1454" spans="1:14" x14ac:dyDescent="0.25">
      <c r="A1454">
        <v>1453</v>
      </c>
      <c r="B1454" t="s">
        <v>36</v>
      </c>
      <c r="C1454">
        <v>2022</v>
      </c>
      <c r="D1454">
        <v>5.3</v>
      </c>
      <c r="E1454" t="s">
        <v>27</v>
      </c>
      <c r="F1454">
        <v>205338</v>
      </c>
      <c r="G1454" t="s">
        <v>16</v>
      </c>
      <c r="H1454">
        <v>26833.9</v>
      </c>
      <c r="I1454" t="s">
        <v>51</v>
      </c>
      <c r="J1454" t="s">
        <v>46</v>
      </c>
      <c r="K1454" t="s">
        <v>26</v>
      </c>
      <c r="L1454">
        <v>4</v>
      </c>
      <c r="M1454">
        <v>0.13</v>
      </c>
      <c r="N1454" t="s">
        <v>33</v>
      </c>
    </row>
    <row r="1455" spans="1:14" x14ac:dyDescent="0.25">
      <c r="A1455">
        <v>1454</v>
      </c>
      <c r="B1455" t="s">
        <v>29</v>
      </c>
      <c r="C1455">
        <v>2008</v>
      </c>
      <c r="D1455">
        <v>3.9</v>
      </c>
      <c r="E1455" t="s">
        <v>15</v>
      </c>
      <c r="F1455">
        <v>284305</v>
      </c>
      <c r="G1455" t="s">
        <v>22</v>
      </c>
      <c r="H1455">
        <v>50475.25</v>
      </c>
      <c r="I1455" t="s">
        <v>62</v>
      </c>
      <c r="J1455" t="s">
        <v>32</v>
      </c>
      <c r="K1455" t="s">
        <v>26</v>
      </c>
      <c r="L1455">
        <v>18</v>
      </c>
      <c r="M1455">
        <v>0.18</v>
      </c>
      <c r="N1455" t="s">
        <v>33</v>
      </c>
    </row>
    <row r="1456" spans="1:14" x14ac:dyDescent="0.25">
      <c r="A1456">
        <v>1455</v>
      </c>
      <c r="B1456" t="s">
        <v>36</v>
      </c>
      <c r="C1456">
        <v>2020</v>
      </c>
      <c r="D1456">
        <v>5.5</v>
      </c>
      <c r="E1456" t="s">
        <v>27</v>
      </c>
      <c r="F1456">
        <v>27738</v>
      </c>
      <c r="G1456" t="s">
        <v>22</v>
      </c>
      <c r="H1456">
        <v>43577.25</v>
      </c>
      <c r="I1456" t="s">
        <v>51</v>
      </c>
      <c r="J1456" t="s">
        <v>41</v>
      </c>
      <c r="K1456" t="s">
        <v>50</v>
      </c>
      <c r="L1456">
        <v>6</v>
      </c>
      <c r="M1456">
        <v>1.57</v>
      </c>
      <c r="N1456" t="s">
        <v>33</v>
      </c>
    </row>
    <row r="1457" spans="1:14" x14ac:dyDescent="0.25">
      <c r="A1457">
        <v>1456</v>
      </c>
      <c r="B1457" t="s">
        <v>29</v>
      </c>
      <c r="C1457">
        <v>2005</v>
      </c>
      <c r="D1457">
        <v>4</v>
      </c>
      <c r="E1457" t="s">
        <v>15</v>
      </c>
      <c r="F1457">
        <v>134997</v>
      </c>
      <c r="G1457" t="s">
        <v>30</v>
      </c>
      <c r="H1457">
        <v>87950.14</v>
      </c>
      <c r="I1457" t="s">
        <v>40</v>
      </c>
      <c r="J1457" t="s">
        <v>18</v>
      </c>
      <c r="K1457" t="s">
        <v>19</v>
      </c>
      <c r="L1457">
        <v>21</v>
      </c>
      <c r="M1457">
        <v>0.65</v>
      </c>
      <c r="N1457" t="s">
        <v>33</v>
      </c>
    </row>
    <row r="1458" spans="1:14" x14ac:dyDescent="0.25">
      <c r="A1458">
        <v>1457</v>
      </c>
      <c r="B1458" t="s">
        <v>52</v>
      </c>
      <c r="C1458">
        <v>2011</v>
      </c>
      <c r="D1458">
        <v>5.0999999999999996</v>
      </c>
      <c r="E1458" t="s">
        <v>27</v>
      </c>
      <c r="F1458">
        <v>57153</v>
      </c>
      <c r="G1458" t="s">
        <v>16</v>
      </c>
      <c r="H1458">
        <v>8055.44</v>
      </c>
      <c r="I1458" t="s">
        <v>56</v>
      </c>
      <c r="J1458" t="s">
        <v>46</v>
      </c>
      <c r="K1458" t="s">
        <v>19</v>
      </c>
      <c r="L1458">
        <v>15</v>
      </c>
      <c r="M1458">
        <v>0.14000000000000001</v>
      </c>
      <c r="N1458" t="s">
        <v>33</v>
      </c>
    </row>
    <row r="1459" spans="1:14" x14ac:dyDescent="0.25">
      <c r="A1459">
        <v>1458</v>
      </c>
      <c r="B1459" t="s">
        <v>29</v>
      </c>
      <c r="C1459">
        <v>2001</v>
      </c>
      <c r="D1459">
        <v>3.1</v>
      </c>
      <c r="E1459" t="s">
        <v>15</v>
      </c>
      <c r="F1459">
        <v>214020</v>
      </c>
      <c r="G1459" t="s">
        <v>30</v>
      </c>
      <c r="H1459">
        <v>90105.17</v>
      </c>
      <c r="I1459" t="s">
        <v>40</v>
      </c>
      <c r="J1459" t="s">
        <v>32</v>
      </c>
      <c r="K1459" t="s">
        <v>26</v>
      </c>
      <c r="L1459">
        <v>25</v>
      </c>
      <c r="M1459">
        <v>0.42</v>
      </c>
      <c r="N1459" t="s">
        <v>33</v>
      </c>
    </row>
    <row r="1460" spans="1:14" x14ac:dyDescent="0.25">
      <c r="A1460">
        <v>1459</v>
      </c>
      <c r="B1460" t="s">
        <v>29</v>
      </c>
      <c r="C1460">
        <v>2002</v>
      </c>
      <c r="D1460">
        <v>4.7</v>
      </c>
      <c r="E1460" t="s">
        <v>27</v>
      </c>
      <c r="F1460">
        <v>61009</v>
      </c>
      <c r="G1460" t="s">
        <v>16</v>
      </c>
      <c r="H1460">
        <v>66947.850000000006</v>
      </c>
      <c r="I1460" t="s">
        <v>31</v>
      </c>
      <c r="J1460" t="s">
        <v>18</v>
      </c>
      <c r="K1460" t="s">
        <v>19</v>
      </c>
      <c r="L1460">
        <v>24</v>
      </c>
      <c r="M1460">
        <v>1.1000000000000001</v>
      </c>
      <c r="N1460" t="s">
        <v>33</v>
      </c>
    </row>
    <row r="1461" spans="1:14" x14ac:dyDescent="0.25">
      <c r="A1461">
        <v>1460</v>
      </c>
      <c r="B1461" t="s">
        <v>21</v>
      </c>
      <c r="C1461">
        <v>2002</v>
      </c>
      <c r="D1461">
        <v>5.6</v>
      </c>
      <c r="E1461" t="s">
        <v>27</v>
      </c>
      <c r="F1461">
        <v>172624</v>
      </c>
      <c r="G1461" t="s">
        <v>30</v>
      </c>
      <c r="H1461">
        <v>75066.13</v>
      </c>
      <c r="I1461" t="s">
        <v>23</v>
      </c>
      <c r="J1461" t="s">
        <v>32</v>
      </c>
      <c r="K1461" t="s">
        <v>26</v>
      </c>
      <c r="L1461">
        <v>24</v>
      </c>
      <c r="M1461">
        <v>0.43</v>
      </c>
      <c r="N1461" t="s">
        <v>20</v>
      </c>
    </row>
    <row r="1462" spans="1:14" x14ac:dyDescent="0.25">
      <c r="A1462">
        <v>1461</v>
      </c>
      <c r="B1462" t="s">
        <v>29</v>
      </c>
      <c r="C1462">
        <v>2011</v>
      </c>
      <c r="D1462">
        <v>3.9</v>
      </c>
      <c r="E1462" t="s">
        <v>27</v>
      </c>
      <c r="F1462">
        <v>271941</v>
      </c>
      <c r="G1462" t="s">
        <v>16</v>
      </c>
      <c r="H1462">
        <v>5247.71</v>
      </c>
      <c r="I1462" t="s">
        <v>31</v>
      </c>
      <c r="J1462" t="s">
        <v>46</v>
      </c>
      <c r="K1462" t="s">
        <v>26</v>
      </c>
      <c r="L1462">
        <v>15</v>
      </c>
      <c r="M1462">
        <v>0.02</v>
      </c>
      <c r="N1462" t="s">
        <v>33</v>
      </c>
    </row>
    <row r="1463" spans="1:14" x14ac:dyDescent="0.25">
      <c r="A1463">
        <v>1462</v>
      </c>
      <c r="B1463" t="s">
        <v>29</v>
      </c>
      <c r="C1463">
        <v>2014</v>
      </c>
      <c r="D1463">
        <v>1.9</v>
      </c>
      <c r="E1463" t="s">
        <v>27</v>
      </c>
      <c r="F1463">
        <v>71942</v>
      </c>
      <c r="G1463" t="s">
        <v>16</v>
      </c>
      <c r="H1463">
        <v>64682.75</v>
      </c>
      <c r="I1463" t="s">
        <v>62</v>
      </c>
      <c r="J1463" t="s">
        <v>32</v>
      </c>
      <c r="K1463" t="s">
        <v>19</v>
      </c>
      <c r="L1463">
        <v>12</v>
      </c>
      <c r="M1463">
        <v>0.9</v>
      </c>
      <c r="N1463" t="s">
        <v>33</v>
      </c>
    </row>
    <row r="1464" spans="1:14" x14ac:dyDescent="0.25">
      <c r="A1464">
        <v>1463</v>
      </c>
      <c r="B1464" t="s">
        <v>43</v>
      </c>
      <c r="C1464">
        <v>2008</v>
      </c>
      <c r="D1464">
        <v>2.2999999999999998</v>
      </c>
      <c r="E1464" t="s">
        <v>15</v>
      </c>
      <c r="F1464">
        <v>118065</v>
      </c>
      <c r="G1464" t="s">
        <v>16</v>
      </c>
      <c r="H1464">
        <v>60906.19</v>
      </c>
      <c r="I1464" t="s">
        <v>49</v>
      </c>
      <c r="J1464" t="s">
        <v>32</v>
      </c>
      <c r="K1464" t="s">
        <v>19</v>
      </c>
      <c r="L1464">
        <v>18</v>
      </c>
      <c r="M1464">
        <v>0.52</v>
      </c>
      <c r="N1464" t="s">
        <v>20</v>
      </c>
    </row>
    <row r="1465" spans="1:14" x14ac:dyDescent="0.25">
      <c r="A1465">
        <v>1464</v>
      </c>
      <c r="B1465" t="s">
        <v>52</v>
      </c>
      <c r="C1465">
        <v>2022</v>
      </c>
      <c r="D1465">
        <v>2</v>
      </c>
      <c r="E1465" t="s">
        <v>15</v>
      </c>
      <c r="F1465">
        <v>276109</v>
      </c>
      <c r="G1465" t="s">
        <v>22</v>
      </c>
      <c r="H1465">
        <v>56034.53</v>
      </c>
      <c r="I1465" t="s">
        <v>59</v>
      </c>
      <c r="J1465" t="s">
        <v>32</v>
      </c>
      <c r="K1465" t="s">
        <v>26</v>
      </c>
      <c r="L1465">
        <v>4</v>
      </c>
      <c r="M1465">
        <v>0.2</v>
      </c>
      <c r="N1465" t="s">
        <v>33</v>
      </c>
    </row>
    <row r="1466" spans="1:14" x14ac:dyDescent="0.25">
      <c r="A1466">
        <v>1465</v>
      </c>
      <c r="B1466" t="s">
        <v>14</v>
      </c>
      <c r="C1466">
        <v>2007</v>
      </c>
      <c r="D1466">
        <v>2.2000000000000002</v>
      </c>
      <c r="E1466" t="s">
        <v>15</v>
      </c>
      <c r="F1466">
        <v>275877</v>
      </c>
      <c r="G1466" t="s">
        <v>22</v>
      </c>
      <c r="H1466">
        <v>79657.350000000006</v>
      </c>
      <c r="I1466" t="s">
        <v>58</v>
      </c>
      <c r="J1466" t="s">
        <v>18</v>
      </c>
      <c r="K1466" t="s">
        <v>26</v>
      </c>
      <c r="L1466">
        <v>19</v>
      </c>
      <c r="M1466">
        <v>0.28999999999999998</v>
      </c>
      <c r="N1466" t="s">
        <v>20</v>
      </c>
    </row>
    <row r="1467" spans="1:14" x14ac:dyDescent="0.25">
      <c r="A1467">
        <v>1466</v>
      </c>
      <c r="B1467" t="s">
        <v>21</v>
      </c>
      <c r="C1467">
        <v>2010</v>
      </c>
      <c r="D1467">
        <v>2.5</v>
      </c>
      <c r="E1467" t="s">
        <v>27</v>
      </c>
      <c r="F1467">
        <v>157998</v>
      </c>
      <c r="G1467" t="s">
        <v>30</v>
      </c>
      <c r="H1467">
        <v>57807.75</v>
      </c>
      <c r="I1467" t="s">
        <v>47</v>
      </c>
      <c r="J1467" t="s">
        <v>46</v>
      </c>
      <c r="K1467" t="s">
        <v>26</v>
      </c>
      <c r="L1467">
        <v>16</v>
      </c>
      <c r="M1467">
        <v>0.37</v>
      </c>
      <c r="N1467" t="s">
        <v>20</v>
      </c>
    </row>
    <row r="1468" spans="1:14" x14ac:dyDescent="0.25">
      <c r="A1468">
        <v>1467</v>
      </c>
      <c r="B1468" t="s">
        <v>43</v>
      </c>
      <c r="C1468">
        <v>2015</v>
      </c>
      <c r="D1468">
        <v>3.8</v>
      </c>
      <c r="E1468" t="s">
        <v>27</v>
      </c>
      <c r="F1468">
        <v>159855</v>
      </c>
      <c r="G1468" t="s">
        <v>30</v>
      </c>
      <c r="H1468">
        <v>86424.23</v>
      </c>
      <c r="I1468" t="s">
        <v>48</v>
      </c>
      <c r="J1468" t="s">
        <v>46</v>
      </c>
      <c r="K1468" t="s">
        <v>26</v>
      </c>
      <c r="L1468">
        <v>11</v>
      </c>
      <c r="M1468">
        <v>0.54</v>
      </c>
      <c r="N1468" t="s">
        <v>20</v>
      </c>
    </row>
    <row r="1469" spans="1:14" x14ac:dyDescent="0.25">
      <c r="A1469">
        <v>1468</v>
      </c>
      <c r="B1469" t="s">
        <v>24</v>
      </c>
      <c r="C1469">
        <v>2021</v>
      </c>
      <c r="D1469">
        <v>3.9</v>
      </c>
      <c r="E1469" t="s">
        <v>27</v>
      </c>
      <c r="F1469">
        <v>83360</v>
      </c>
      <c r="G1469" t="s">
        <v>16</v>
      </c>
      <c r="H1469">
        <v>27099.99</v>
      </c>
      <c r="I1469" t="s">
        <v>34</v>
      </c>
      <c r="J1469" t="s">
        <v>18</v>
      </c>
      <c r="K1469" t="s">
        <v>19</v>
      </c>
      <c r="L1469">
        <v>5</v>
      </c>
      <c r="M1469">
        <v>0.33</v>
      </c>
      <c r="N1469" t="s">
        <v>20</v>
      </c>
    </row>
    <row r="1470" spans="1:14" x14ac:dyDescent="0.25">
      <c r="A1470">
        <v>1469</v>
      </c>
      <c r="B1470" t="s">
        <v>52</v>
      </c>
      <c r="C1470">
        <v>2003</v>
      </c>
      <c r="D1470">
        <v>3.1</v>
      </c>
      <c r="E1470" t="s">
        <v>27</v>
      </c>
      <c r="F1470">
        <v>167466</v>
      </c>
      <c r="G1470" t="s">
        <v>16</v>
      </c>
      <c r="H1470">
        <v>81568.350000000006</v>
      </c>
      <c r="I1470" t="s">
        <v>59</v>
      </c>
      <c r="J1470" t="s">
        <v>18</v>
      </c>
      <c r="K1470" t="s">
        <v>26</v>
      </c>
      <c r="L1470">
        <v>23</v>
      </c>
      <c r="M1470">
        <v>0.49</v>
      </c>
      <c r="N1470" t="s">
        <v>33</v>
      </c>
    </row>
    <row r="1471" spans="1:14" x14ac:dyDescent="0.25">
      <c r="A1471">
        <v>1470</v>
      </c>
      <c r="B1471" t="s">
        <v>52</v>
      </c>
      <c r="C1471">
        <v>2000</v>
      </c>
      <c r="D1471">
        <v>4.0999999999999996</v>
      </c>
      <c r="E1471" t="s">
        <v>27</v>
      </c>
      <c r="F1471">
        <v>195868</v>
      </c>
      <c r="G1471" t="s">
        <v>22</v>
      </c>
      <c r="H1471">
        <v>22034.71</v>
      </c>
      <c r="I1471" t="s">
        <v>53</v>
      </c>
      <c r="J1471" t="s">
        <v>18</v>
      </c>
      <c r="K1471" t="s">
        <v>26</v>
      </c>
      <c r="L1471">
        <v>26</v>
      </c>
      <c r="M1471">
        <v>0.11</v>
      </c>
      <c r="N1471" t="s">
        <v>33</v>
      </c>
    </row>
    <row r="1472" spans="1:14" x14ac:dyDescent="0.25">
      <c r="A1472">
        <v>1471</v>
      </c>
      <c r="B1472" t="s">
        <v>24</v>
      </c>
      <c r="C1472">
        <v>2023</v>
      </c>
      <c r="D1472">
        <v>1.4</v>
      </c>
      <c r="E1472" t="s">
        <v>27</v>
      </c>
      <c r="F1472">
        <v>290431</v>
      </c>
      <c r="G1472" t="s">
        <v>22</v>
      </c>
      <c r="H1472">
        <v>82246.19</v>
      </c>
      <c r="I1472" t="s">
        <v>25</v>
      </c>
      <c r="J1472" t="s">
        <v>41</v>
      </c>
      <c r="K1472" t="s">
        <v>26</v>
      </c>
      <c r="L1472">
        <v>3</v>
      </c>
      <c r="M1472">
        <v>0.28000000000000003</v>
      </c>
      <c r="N1472" t="s">
        <v>20</v>
      </c>
    </row>
    <row r="1473" spans="1:14" x14ac:dyDescent="0.25">
      <c r="A1473">
        <v>1472</v>
      </c>
      <c r="B1473" t="s">
        <v>14</v>
      </c>
      <c r="C1473">
        <v>2006</v>
      </c>
      <c r="D1473">
        <v>1.4</v>
      </c>
      <c r="E1473" t="s">
        <v>15</v>
      </c>
      <c r="F1473">
        <v>82104</v>
      </c>
      <c r="G1473" t="s">
        <v>22</v>
      </c>
      <c r="H1473">
        <v>94344.03</v>
      </c>
      <c r="I1473" t="s">
        <v>39</v>
      </c>
      <c r="J1473" t="s">
        <v>18</v>
      </c>
      <c r="K1473" t="s">
        <v>19</v>
      </c>
      <c r="L1473">
        <v>20</v>
      </c>
      <c r="M1473">
        <v>1.1499999999999999</v>
      </c>
      <c r="N1473" t="s">
        <v>20</v>
      </c>
    </row>
    <row r="1474" spans="1:14" x14ac:dyDescent="0.25">
      <c r="A1474">
        <v>1473</v>
      </c>
      <c r="B1474" t="s">
        <v>29</v>
      </c>
      <c r="C1474">
        <v>2001</v>
      </c>
      <c r="D1474">
        <v>1.9</v>
      </c>
      <c r="E1474" t="s">
        <v>15</v>
      </c>
      <c r="F1474">
        <v>161508</v>
      </c>
      <c r="G1474" t="s">
        <v>30</v>
      </c>
      <c r="H1474">
        <v>36890.94</v>
      </c>
      <c r="I1474" t="s">
        <v>38</v>
      </c>
      <c r="J1474" t="s">
        <v>32</v>
      </c>
      <c r="K1474" t="s">
        <v>26</v>
      </c>
      <c r="L1474">
        <v>25</v>
      </c>
      <c r="M1474">
        <v>0.23</v>
      </c>
      <c r="N1474" t="s">
        <v>33</v>
      </c>
    </row>
    <row r="1475" spans="1:14" x14ac:dyDescent="0.25">
      <c r="A1475">
        <v>1474</v>
      </c>
      <c r="B1475" t="s">
        <v>43</v>
      </c>
      <c r="C1475">
        <v>2023</v>
      </c>
      <c r="D1475">
        <v>3.6</v>
      </c>
      <c r="E1475" t="s">
        <v>15</v>
      </c>
      <c r="F1475">
        <v>221404</v>
      </c>
      <c r="G1475" t="s">
        <v>22</v>
      </c>
      <c r="H1475">
        <v>55339.199999999997</v>
      </c>
      <c r="I1475" t="s">
        <v>55</v>
      </c>
      <c r="J1475" t="s">
        <v>46</v>
      </c>
      <c r="K1475" t="s">
        <v>26</v>
      </c>
      <c r="L1475">
        <v>3</v>
      </c>
      <c r="M1475">
        <v>0.25</v>
      </c>
      <c r="N1475" t="s">
        <v>20</v>
      </c>
    </row>
    <row r="1476" spans="1:14" x14ac:dyDescent="0.25">
      <c r="A1476">
        <v>1475</v>
      </c>
      <c r="B1476" t="s">
        <v>36</v>
      </c>
      <c r="C1476">
        <v>2004</v>
      </c>
      <c r="D1476">
        <v>2.1</v>
      </c>
      <c r="E1476" t="s">
        <v>15</v>
      </c>
      <c r="F1476">
        <v>265332</v>
      </c>
      <c r="G1476" t="s">
        <v>30</v>
      </c>
      <c r="H1476">
        <v>67541.259999999995</v>
      </c>
      <c r="I1476" t="s">
        <v>57</v>
      </c>
      <c r="J1476" t="s">
        <v>32</v>
      </c>
      <c r="K1476" t="s">
        <v>26</v>
      </c>
      <c r="L1476">
        <v>22</v>
      </c>
      <c r="M1476">
        <v>0.25</v>
      </c>
      <c r="N1476" t="s">
        <v>33</v>
      </c>
    </row>
    <row r="1477" spans="1:14" x14ac:dyDescent="0.25">
      <c r="A1477">
        <v>1476</v>
      </c>
      <c r="B1477" t="s">
        <v>21</v>
      </c>
      <c r="C1477">
        <v>2006</v>
      </c>
      <c r="D1477">
        <v>2.4</v>
      </c>
      <c r="E1477" t="s">
        <v>15</v>
      </c>
      <c r="F1477">
        <v>91205</v>
      </c>
      <c r="G1477" t="s">
        <v>22</v>
      </c>
      <c r="H1477">
        <v>12549.81</v>
      </c>
      <c r="I1477" t="s">
        <v>23</v>
      </c>
      <c r="J1477" t="s">
        <v>41</v>
      </c>
      <c r="K1477" t="s">
        <v>19</v>
      </c>
      <c r="L1477">
        <v>20</v>
      </c>
      <c r="M1477">
        <v>0.14000000000000001</v>
      </c>
      <c r="N1477" t="s">
        <v>20</v>
      </c>
    </row>
    <row r="1478" spans="1:14" x14ac:dyDescent="0.25">
      <c r="A1478">
        <v>1477</v>
      </c>
      <c r="B1478" t="s">
        <v>36</v>
      </c>
      <c r="C1478">
        <v>2003</v>
      </c>
      <c r="D1478">
        <v>3</v>
      </c>
      <c r="E1478" t="s">
        <v>15</v>
      </c>
      <c r="F1478">
        <v>232321</v>
      </c>
      <c r="G1478" t="s">
        <v>22</v>
      </c>
      <c r="H1478">
        <v>51937.67</v>
      </c>
      <c r="I1478" t="s">
        <v>37</v>
      </c>
      <c r="J1478" t="s">
        <v>18</v>
      </c>
      <c r="K1478" t="s">
        <v>26</v>
      </c>
      <c r="L1478">
        <v>23</v>
      </c>
      <c r="M1478">
        <v>0.22</v>
      </c>
      <c r="N1478" t="s">
        <v>33</v>
      </c>
    </row>
    <row r="1479" spans="1:14" x14ac:dyDescent="0.25">
      <c r="A1479">
        <v>1478</v>
      </c>
      <c r="B1479" t="s">
        <v>24</v>
      </c>
      <c r="C1479">
        <v>2004</v>
      </c>
      <c r="D1479">
        <v>5.0999999999999996</v>
      </c>
      <c r="E1479" t="s">
        <v>15</v>
      </c>
      <c r="F1479">
        <v>137837</v>
      </c>
      <c r="G1479" t="s">
        <v>16</v>
      </c>
      <c r="H1479">
        <v>39255.57</v>
      </c>
      <c r="I1479" t="s">
        <v>45</v>
      </c>
      <c r="J1479" t="s">
        <v>46</v>
      </c>
      <c r="K1479" t="s">
        <v>19</v>
      </c>
      <c r="L1479">
        <v>22</v>
      </c>
      <c r="M1479">
        <v>0.28000000000000003</v>
      </c>
      <c r="N1479" t="s">
        <v>20</v>
      </c>
    </row>
    <row r="1480" spans="1:14" x14ac:dyDescent="0.25">
      <c r="A1480">
        <v>1479</v>
      </c>
      <c r="B1480" t="s">
        <v>52</v>
      </c>
      <c r="C1480">
        <v>2023</v>
      </c>
      <c r="D1480">
        <v>1.1000000000000001</v>
      </c>
      <c r="E1480" t="s">
        <v>15</v>
      </c>
      <c r="F1480">
        <v>219779</v>
      </c>
      <c r="G1480" t="s">
        <v>30</v>
      </c>
      <c r="H1480">
        <v>87883.28</v>
      </c>
      <c r="I1480" t="s">
        <v>61</v>
      </c>
      <c r="J1480" t="s">
        <v>46</v>
      </c>
      <c r="K1480" t="s">
        <v>26</v>
      </c>
      <c r="L1480">
        <v>3</v>
      </c>
      <c r="M1480">
        <v>0.4</v>
      </c>
      <c r="N1480" t="s">
        <v>33</v>
      </c>
    </row>
    <row r="1481" spans="1:14" x14ac:dyDescent="0.25">
      <c r="A1481">
        <v>1480</v>
      </c>
      <c r="B1481" t="s">
        <v>14</v>
      </c>
      <c r="C1481">
        <v>2000</v>
      </c>
      <c r="D1481">
        <v>4.2</v>
      </c>
      <c r="E1481" t="s">
        <v>27</v>
      </c>
      <c r="F1481">
        <v>141879</v>
      </c>
      <c r="G1481" t="s">
        <v>22</v>
      </c>
      <c r="H1481">
        <v>88284.55</v>
      </c>
      <c r="I1481" t="s">
        <v>58</v>
      </c>
      <c r="J1481" t="s">
        <v>18</v>
      </c>
      <c r="K1481" t="s">
        <v>19</v>
      </c>
      <c r="L1481">
        <v>26</v>
      </c>
      <c r="M1481">
        <v>0.62</v>
      </c>
      <c r="N1481" t="s">
        <v>20</v>
      </c>
    </row>
    <row r="1482" spans="1:14" x14ac:dyDescent="0.25">
      <c r="A1482">
        <v>1481</v>
      </c>
      <c r="B1482" t="s">
        <v>52</v>
      </c>
      <c r="C1482">
        <v>2000</v>
      </c>
      <c r="D1482">
        <v>4.3</v>
      </c>
      <c r="E1482" t="s">
        <v>27</v>
      </c>
      <c r="F1482">
        <v>10204</v>
      </c>
      <c r="G1482" t="s">
        <v>16</v>
      </c>
      <c r="H1482">
        <v>71574.06</v>
      </c>
      <c r="I1482" t="s">
        <v>59</v>
      </c>
      <c r="J1482" t="s">
        <v>46</v>
      </c>
      <c r="K1482" t="s">
        <v>50</v>
      </c>
      <c r="L1482">
        <v>26</v>
      </c>
      <c r="M1482">
        <v>7.01</v>
      </c>
      <c r="N1482" t="s">
        <v>33</v>
      </c>
    </row>
    <row r="1483" spans="1:14" x14ac:dyDescent="0.25">
      <c r="A1483">
        <v>1482</v>
      </c>
      <c r="B1483" t="s">
        <v>21</v>
      </c>
      <c r="C1483">
        <v>2014</v>
      </c>
      <c r="D1483">
        <v>5</v>
      </c>
      <c r="E1483" t="s">
        <v>27</v>
      </c>
      <c r="F1483">
        <v>223674</v>
      </c>
      <c r="G1483" t="s">
        <v>30</v>
      </c>
      <c r="H1483">
        <v>67293.83</v>
      </c>
      <c r="I1483" t="s">
        <v>47</v>
      </c>
      <c r="J1483" t="s">
        <v>18</v>
      </c>
      <c r="K1483" t="s">
        <v>26</v>
      </c>
      <c r="L1483">
        <v>12</v>
      </c>
      <c r="M1483">
        <v>0.3</v>
      </c>
      <c r="N1483" t="s">
        <v>20</v>
      </c>
    </row>
    <row r="1484" spans="1:14" x14ac:dyDescent="0.25">
      <c r="A1484">
        <v>1483</v>
      </c>
      <c r="B1484" t="s">
        <v>52</v>
      </c>
      <c r="C1484">
        <v>2019</v>
      </c>
      <c r="D1484">
        <v>5.7</v>
      </c>
      <c r="E1484" t="s">
        <v>27</v>
      </c>
      <c r="F1484">
        <v>189016</v>
      </c>
      <c r="G1484" t="s">
        <v>30</v>
      </c>
      <c r="H1484">
        <v>74700.399999999994</v>
      </c>
      <c r="I1484" t="s">
        <v>56</v>
      </c>
      <c r="J1484" t="s">
        <v>46</v>
      </c>
      <c r="K1484" t="s">
        <v>26</v>
      </c>
      <c r="L1484">
        <v>7</v>
      </c>
      <c r="M1484">
        <v>0.4</v>
      </c>
      <c r="N1484" t="s">
        <v>33</v>
      </c>
    </row>
    <row r="1485" spans="1:14" x14ac:dyDescent="0.25">
      <c r="A1485">
        <v>1484</v>
      </c>
      <c r="B1485" t="s">
        <v>52</v>
      </c>
      <c r="C1485">
        <v>2018</v>
      </c>
      <c r="D1485">
        <v>1.1000000000000001</v>
      </c>
      <c r="E1485" t="s">
        <v>27</v>
      </c>
      <c r="F1485">
        <v>102903</v>
      </c>
      <c r="G1485" t="s">
        <v>22</v>
      </c>
      <c r="H1485">
        <v>39768.76</v>
      </c>
      <c r="I1485" t="s">
        <v>59</v>
      </c>
      <c r="J1485" t="s">
        <v>18</v>
      </c>
      <c r="K1485" t="s">
        <v>19</v>
      </c>
      <c r="L1485">
        <v>8</v>
      </c>
      <c r="M1485">
        <v>0.39</v>
      </c>
      <c r="N1485" t="s">
        <v>33</v>
      </c>
    </row>
    <row r="1486" spans="1:14" x14ac:dyDescent="0.25">
      <c r="A1486">
        <v>1485</v>
      </c>
      <c r="B1486" t="s">
        <v>21</v>
      </c>
      <c r="C1486">
        <v>2009</v>
      </c>
      <c r="D1486">
        <v>1.8</v>
      </c>
      <c r="E1486" t="s">
        <v>27</v>
      </c>
      <c r="F1486">
        <v>299225</v>
      </c>
      <c r="G1486" t="s">
        <v>30</v>
      </c>
      <c r="H1486">
        <v>43429.33</v>
      </c>
      <c r="I1486" t="s">
        <v>42</v>
      </c>
      <c r="J1486" t="s">
        <v>41</v>
      </c>
      <c r="K1486" t="s">
        <v>26</v>
      </c>
      <c r="L1486">
        <v>17</v>
      </c>
      <c r="M1486">
        <v>0.15</v>
      </c>
      <c r="N1486" t="s">
        <v>20</v>
      </c>
    </row>
    <row r="1487" spans="1:14" x14ac:dyDescent="0.25">
      <c r="A1487">
        <v>1486</v>
      </c>
      <c r="B1487" t="s">
        <v>43</v>
      </c>
      <c r="C1487">
        <v>2017</v>
      </c>
      <c r="D1487">
        <v>5.4</v>
      </c>
      <c r="E1487" t="s">
        <v>27</v>
      </c>
      <c r="F1487">
        <v>256687</v>
      </c>
      <c r="G1487" t="s">
        <v>16</v>
      </c>
      <c r="H1487">
        <v>57601.95</v>
      </c>
      <c r="I1487" t="s">
        <v>49</v>
      </c>
      <c r="J1487" t="s">
        <v>41</v>
      </c>
      <c r="K1487" t="s">
        <v>26</v>
      </c>
      <c r="L1487">
        <v>9</v>
      </c>
      <c r="M1487">
        <v>0.22</v>
      </c>
      <c r="N1487" t="s">
        <v>20</v>
      </c>
    </row>
    <row r="1488" spans="1:14" x14ac:dyDescent="0.25">
      <c r="A1488">
        <v>1487</v>
      </c>
      <c r="B1488" t="s">
        <v>43</v>
      </c>
      <c r="C1488">
        <v>2002</v>
      </c>
      <c r="D1488">
        <v>3.3</v>
      </c>
      <c r="E1488" t="s">
        <v>15</v>
      </c>
      <c r="F1488">
        <v>34986</v>
      </c>
      <c r="G1488" t="s">
        <v>16</v>
      </c>
      <c r="H1488">
        <v>94112.67</v>
      </c>
      <c r="I1488" t="s">
        <v>48</v>
      </c>
      <c r="J1488" t="s">
        <v>18</v>
      </c>
      <c r="K1488" t="s">
        <v>50</v>
      </c>
      <c r="L1488">
        <v>24</v>
      </c>
      <c r="M1488">
        <v>2.69</v>
      </c>
      <c r="N1488" t="s">
        <v>20</v>
      </c>
    </row>
    <row r="1489" spans="1:14" x14ac:dyDescent="0.25">
      <c r="A1489">
        <v>1488</v>
      </c>
      <c r="B1489" t="s">
        <v>21</v>
      </c>
      <c r="C1489">
        <v>2010</v>
      </c>
      <c r="D1489">
        <v>3.8</v>
      </c>
      <c r="E1489" t="s">
        <v>15</v>
      </c>
      <c r="F1489">
        <v>50304</v>
      </c>
      <c r="G1489" t="s">
        <v>30</v>
      </c>
      <c r="H1489">
        <v>73779.990000000005</v>
      </c>
      <c r="I1489" t="s">
        <v>60</v>
      </c>
      <c r="J1489" t="s">
        <v>32</v>
      </c>
      <c r="K1489" t="s">
        <v>19</v>
      </c>
      <c r="L1489">
        <v>16</v>
      </c>
      <c r="M1489">
        <v>1.47</v>
      </c>
      <c r="N1489" t="s">
        <v>20</v>
      </c>
    </row>
    <row r="1490" spans="1:14" x14ac:dyDescent="0.25">
      <c r="A1490">
        <v>1489</v>
      </c>
      <c r="B1490" t="s">
        <v>14</v>
      </c>
      <c r="C1490">
        <v>2014</v>
      </c>
      <c r="D1490">
        <v>4.3</v>
      </c>
      <c r="E1490" t="s">
        <v>27</v>
      </c>
      <c r="F1490">
        <v>39986</v>
      </c>
      <c r="G1490" t="s">
        <v>16</v>
      </c>
      <c r="H1490">
        <v>57343.98</v>
      </c>
      <c r="I1490" t="s">
        <v>58</v>
      </c>
      <c r="J1490" t="s">
        <v>18</v>
      </c>
      <c r="K1490" t="s">
        <v>50</v>
      </c>
      <c r="L1490">
        <v>12</v>
      </c>
      <c r="M1490">
        <v>1.43</v>
      </c>
      <c r="N1490" t="s">
        <v>20</v>
      </c>
    </row>
    <row r="1491" spans="1:14" x14ac:dyDescent="0.25">
      <c r="A1491">
        <v>1490</v>
      </c>
      <c r="B1491" t="s">
        <v>24</v>
      </c>
      <c r="C1491">
        <v>2010</v>
      </c>
      <c r="D1491">
        <v>4.4000000000000004</v>
      </c>
      <c r="E1491" t="s">
        <v>15</v>
      </c>
      <c r="F1491">
        <v>91594</v>
      </c>
      <c r="G1491" t="s">
        <v>30</v>
      </c>
      <c r="H1491">
        <v>78189.240000000005</v>
      </c>
      <c r="I1491" t="s">
        <v>45</v>
      </c>
      <c r="J1491" t="s">
        <v>32</v>
      </c>
      <c r="K1491" t="s">
        <v>19</v>
      </c>
      <c r="L1491">
        <v>16</v>
      </c>
      <c r="M1491">
        <v>0.85</v>
      </c>
      <c r="N1491" t="s">
        <v>20</v>
      </c>
    </row>
    <row r="1492" spans="1:14" x14ac:dyDescent="0.25">
      <c r="A1492">
        <v>1491</v>
      </c>
      <c r="B1492" t="s">
        <v>52</v>
      </c>
      <c r="C1492">
        <v>2016</v>
      </c>
      <c r="D1492">
        <v>5.7</v>
      </c>
      <c r="E1492" t="s">
        <v>15</v>
      </c>
      <c r="F1492">
        <v>66151</v>
      </c>
      <c r="G1492" t="s">
        <v>16</v>
      </c>
      <c r="H1492">
        <v>40234.58</v>
      </c>
      <c r="I1492" t="s">
        <v>53</v>
      </c>
      <c r="J1492" t="s">
        <v>46</v>
      </c>
      <c r="K1492" t="s">
        <v>19</v>
      </c>
      <c r="L1492">
        <v>10</v>
      </c>
      <c r="M1492">
        <v>0.61</v>
      </c>
      <c r="N1492" t="s">
        <v>33</v>
      </c>
    </row>
    <row r="1493" spans="1:14" x14ac:dyDescent="0.25">
      <c r="A1493">
        <v>1492</v>
      </c>
      <c r="B1493" t="s">
        <v>14</v>
      </c>
      <c r="C1493">
        <v>2016</v>
      </c>
      <c r="D1493">
        <v>6</v>
      </c>
      <c r="E1493" t="s">
        <v>15</v>
      </c>
      <c r="F1493">
        <v>290358</v>
      </c>
      <c r="G1493" t="s">
        <v>30</v>
      </c>
      <c r="H1493">
        <v>74394.34</v>
      </c>
      <c r="I1493" t="s">
        <v>58</v>
      </c>
      <c r="J1493" t="s">
        <v>18</v>
      </c>
      <c r="K1493" t="s">
        <v>26</v>
      </c>
      <c r="L1493">
        <v>10</v>
      </c>
      <c r="M1493">
        <v>0.26</v>
      </c>
      <c r="N1493" t="s">
        <v>20</v>
      </c>
    </row>
    <row r="1494" spans="1:14" x14ac:dyDescent="0.25">
      <c r="A1494">
        <v>1493</v>
      </c>
      <c r="B1494" t="s">
        <v>52</v>
      </c>
      <c r="C1494">
        <v>2005</v>
      </c>
      <c r="D1494">
        <v>4.5999999999999996</v>
      </c>
      <c r="E1494" t="s">
        <v>15</v>
      </c>
      <c r="F1494">
        <v>173620</v>
      </c>
      <c r="G1494" t="s">
        <v>30</v>
      </c>
      <c r="H1494">
        <v>44014.239999999998</v>
      </c>
      <c r="I1494" t="s">
        <v>59</v>
      </c>
      <c r="J1494" t="s">
        <v>41</v>
      </c>
      <c r="K1494" t="s">
        <v>26</v>
      </c>
      <c r="L1494">
        <v>21</v>
      </c>
      <c r="M1494">
        <v>0.25</v>
      </c>
      <c r="N1494" t="s">
        <v>33</v>
      </c>
    </row>
    <row r="1495" spans="1:14" x14ac:dyDescent="0.25">
      <c r="A1495">
        <v>1494</v>
      </c>
      <c r="B1495" t="s">
        <v>24</v>
      </c>
      <c r="C1495">
        <v>2004</v>
      </c>
      <c r="D1495">
        <v>2.4</v>
      </c>
      <c r="E1495" t="s">
        <v>15</v>
      </c>
      <c r="F1495">
        <v>141753</v>
      </c>
      <c r="G1495" t="s">
        <v>30</v>
      </c>
      <c r="H1495">
        <v>31567.83</v>
      </c>
      <c r="I1495" t="s">
        <v>34</v>
      </c>
      <c r="J1495" t="s">
        <v>41</v>
      </c>
      <c r="K1495" t="s">
        <v>19</v>
      </c>
      <c r="L1495">
        <v>22</v>
      </c>
      <c r="M1495">
        <v>0.22</v>
      </c>
      <c r="N1495" t="s">
        <v>20</v>
      </c>
    </row>
    <row r="1496" spans="1:14" x14ac:dyDescent="0.25">
      <c r="A1496">
        <v>1495</v>
      </c>
      <c r="B1496" t="s">
        <v>43</v>
      </c>
      <c r="C1496">
        <v>2007</v>
      </c>
      <c r="D1496">
        <v>5.4</v>
      </c>
      <c r="E1496" t="s">
        <v>27</v>
      </c>
      <c r="F1496">
        <v>138056</v>
      </c>
      <c r="G1496" t="s">
        <v>16</v>
      </c>
      <c r="H1496">
        <v>62923.78</v>
      </c>
      <c r="I1496" t="s">
        <v>48</v>
      </c>
      <c r="J1496" t="s">
        <v>46</v>
      </c>
      <c r="K1496" t="s">
        <v>19</v>
      </c>
      <c r="L1496">
        <v>19</v>
      </c>
      <c r="M1496">
        <v>0.46</v>
      </c>
      <c r="N1496" t="s">
        <v>20</v>
      </c>
    </row>
    <row r="1497" spans="1:14" x14ac:dyDescent="0.25">
      <c r="A1497">
        <v>1496</v>
      </c>
      <c r="B1497" t="s">
        <v>14</v>
      </c>
      <c r="C1497">
        <v>2001</v>
      </c>
      <c r="D1497">
        <v>1.2</v>
      </c>
      <c r="E1497" t="s">
        <v>15</v>
      </c>
      <c r="F1497">
        <v>158651</v>
      </c>
      <c r="G1497" t="s">
        <v>30</v>
      </c>
      <c r="H1497">
        <v>70253.37</v>
      </c>
      <c r="I1497" t="s">
        <v>17</v>
      </c>
      <c r="J1497" t="s">
        <v>18</v>
      </c>
      <c r="K1497" t="s">
        <v>26</v>
      </c>
      <c r="L1497">
        <v>25</v>
      </c>
      <c r="M1497">
        <v>0.44</v>
      </c>
      <c r="N1497" t="s">
        <v>20</v>
      </c>
    </row>
    <row r="1498" spans="1:14" x14ac:dyDescent="0.25">
      <c r="A1498">
        <v>1497</v>
      </c>
      <c r="B1498" t="s">
        <v>29</v>
      </c>
      <c r="C1498">
        <v>2015</v>
      </c>
      <c r="D1498">
        <v>2.2000000000000002</v>
      </c>
      <c r="E1498" t="s">
        <v>27</v>
      </c>
      <c r="F1498">
        <v>234347</v>
      </c>
      <c r="G1498" t="s">
        <v>30</v>
      </c>
      <c r="H1498">
        <v>48632.89</v>
      </c>
      <c r="I1498" t="s">
        <v>62</v>
      </c>
      <c r="J1498" t="s">
        <v>41</v>
      </c>
      <c r="K1498" t="s">
        <v>26</v>
      </c>
      <c r="L1498">
        <v>11</v>
      </c>
      <c r="M1498">
        <v>0.21</v>
      </c>
      <c r="N1498" t="s">
        <v>33</v>
      </c>
    </row>
    <row r="1499" spans="1:14" x14ac:dyDescent="0.25">
      <c r="A1499">
        <v>1498</v>
      </c>
      <c r="B1499" t="s">
        <v>29</v>
      </c>
      <c r="C1499">
        <v>2019</v>
      </c>
      <c r="D1499">
        <v>5.5</v>
      </c>
      <c r="E1499" t="s">
        <v>27</v>
      </c>
      <c r="F1499">
        <v>186005</v>
      </c>
      <c r="G1499" t="s">
        <v>22</v>
      </c>
      <c r="H1499">
        <v>58722.57</v>
      </c>
      <c r="I1499" t="s">
        <v>40</v>
      </c>
      <c r="J1499" t="s">
        <v>41</v>
      </c>
      <c r="K1499" t="s">
        <v>26</v>
      </c>
      <c r="L1499">
        <v>7</v>
      </c>
      <c r="M1499">
        <v>0.32</v>
      </c>
      <c r="N1499" t="s">
        <v>33</v>
      </c>
    </row>
    <row r="1500" spans="1:14" x14ac:dyDescent="0.25">
      <c r="A1500">
        <v>1499</v>
      </c>
      <c r="B1500" t="s">
        <v>29</v>
      </c>
      <c r="C1500">
        <v>2023</v>
      </c>
      <c r="D1500">
        <v>2.2999999999999998</v>
      </c>
      <c r="E1500" t="s">
        <v>27</v>
      </c>
      <c r="F1500">
        <v>162553</v>
      </c>
      <c r="G1500" t="s">
        <v>22</v>
      </c>
      <c r="H1500">
        <v>70936.28</v>
      </c>
      <c r="I1500" t="s">
        <v>40</v>
      </c>
      <c r="J1500" t="s">
        <v>41</v>
      </c>
      <c r="K1500" t="s">
        <v>26</v>
      </c>
      <c r="L1500">
        <v>3</v>
      </c>
      <c r="M1500">
        <v>0.44</v>
      </c>
      <c r="N1500" t="s">
        <v>33</v>
      </c>
    </row>
    <row r="1501" spans="1:14" x14ac:dyDescent="0.25">
      <c r="A1501">
        <v>1500</v>
      </c>
      <c r="B1501" t="s">
        <v>43</v>
      </c>
      <c r="C1501">
        <v>2011</v>
      </c>
      <c r="D1501">
        <v>2.1</v>
      </c>
      <c r="E1501" t="s">
        <v>15</v>
      </c>
      <c r="F1501">
        <v>944</v>
      </c>
      <c r="G1501" t="s">
        <v>30</v>
      </c>
      <c r="H1501">
        <v>77932.45</v>
      </c>
      <c r="I1501" t="s">
        <v>48</v>
      </c>
      <c r="J1501" t="s">
        <v>32</v>
      </c>
      <c r="K1501" t="s">
        <v>50</v>
      </c>
      <c r="L1501">
        <v>15</v>
      </c>
      <c r="M1501">
        <v>82.56</v>
      </c>
      <c r="N1501" t="s">
        <v>20</v>
      </c>
    </row>
    <row r="1502" spans="1:14" x14ac:dyDescent="0.25">
      <c r="A1502">
        <v>1501</v>
      </c>
      <c r="B1502" t="s">
        <v>43</v>
      </c>
      <c r="C1502">
        <v>2005</v>
      </c>
      <c r="D1502">
        <v>1.7</v>
      </c>
      <c r="E1502" t="s">
        <v>27</v>
      </c>
      <c r="F1502">
        <v>93993</v>
      </c>
      <c r="G1502" t="s">
        <v>22</v>
      </c>
      <c r="H1502">
        <v>90079.29</v>
      </c>
      <c r="I1502" t="s">
        <v>55</v>
      </c>
      <c r="J1502" t="s">
        <v>41</v>
      </c>
      <c r="K1502" t="s">
        <v>19</v>
      </c>
      <c r="L1502">
        <v>21</v>
      </c>
      <c r="M1502">
        <v>0.96</v>
      </c>
      <c r="N1502" t="s">
        <v>20</v>
      </c>
    </row>
    <row r="1503" spans="1:14" x14ac:dyDescent="0.25">
      <c r="A1503">
        <v>1502</v>
      </c>
      <c r="B1503" t="s">
        <v>24</v>
      </c>
      <c r="C1503">
        <v>2000</v>
      </c>
      <c r="D1503">
        <v>5.3</v>
      </c>
      <c r="E1503" t="s">
        <v>27</v>
      </c>
      <c r="F1503">
        <v>271258</v>
      </c>
      <c r="G1503" t="s">
        <v>30</v>
      </c>
      <c r="H1503">
        <v>38681.699999999997</v>
      </c>
      <c r="I1503" t="s">
        <v>45</v>
      </c>
      <c r="J1503" t="s">
        <v>41</v>
      </c>
      <c r="K1503" t="s">
        <v>26</v>
      </c>
      <c r="L1503">
        <v>26</v>
      </c>
      <c r="M1503">
        <v>0.14000000000000001</v>
      </c>
      <c r="N1503" t="s">
        <v>20</v>
      </c>
    </row>
    <row r="1504" spans="1:14" x14ac:dyDescent="0.25">
      <c r="A1504">
        <v>1503</v>
      </c>
      <c r="B1504" t="s">
        <v>52</v>
      </c>
      <c r="C1504">
        <v>2003</v>
      </c>
      <c r="D1504">
        <v>3.5</v>
      </c>
      <c r="E1504" t="s">
        <v>27</v>
      </c>
      <c r="F1504">
        <v>214738</v>
      </c>
      <c r="G1504" t="s">
        <v>22</v>
      </c>
      <c r="H1504">
        <v>95390.34</v>
      </c>
      <c r="I1504" t="s">
        <v>53</v>
      </c>
      <c r="J1504" t="s">
        <v>32</v>
      </c>
      <c r="K1504" t="s">
        <v>26</v>
      </c>
      <c r="L1504">
        <v>23</v>
      </c>
      <c r="M1504">
        <v>0.44</v>
      </c>
      <c r="N1504" t="s">
        <v>33</v>
      </c>
    </row>
    <row r="1505" spans="1:14" x14ac:dyDescent="0.25">
      <c r="A1505">
        <v>1504</v>
      </c>
      <c r="B1505" t="s">
        <v>24</v>
      </c>
      <c r="C1505">
        <v>2016</v>
      </c>
      <c r="D1505">
        <v>4.4000000000000004</v>
      </c>
      <c r="E1505" t="s">
        <v>27</v>
      </c>
      <c r="F1505">
        <v>208920</v>
      </c>
      <c r="G1505" t="s">
        <v>16</v>
      </c>
      <c r="H1505">
        <v>65541.58</v>
      </c>
      <c r="I1505" t="s">
        <v>25</v>
      </c>
      <c r="J1505" t="s">
        <v>32</v>
      </c>
      <c r="K1505" t="s">
        <v>26</v>
      </c>
      <c r="L1505">
        <v>10</v>
      </c>
      <c r="M1505">
        <v>0.31</v>
      </c>
      <c r="N1505" t="s">
        <v>20</v>
      </c>
    </row>
    <row r="1506" spans="1:14" x14ac:dyDescent="0.25">
      <c r="A1506">
        <v>1505</v>
      </c>
      <c r="B1506" t="s">
        <v>24</v>
      </c>
      <c r="C1506">
        <v>2012</v>
      </c>
      <c r="D1506">
        <v>2.2000000000000002</v>
      </c>
      <c r="E1506" t="s">
        <v>15</v>
      </c>
      <c r="F1506">
        <v>256805</v>
      </c>
      <c r="G1506" t="s">
        <v>16</v>
      </c>
      <c r="H1506">
        <v>79831.679999999993</v>
      </c>
      <c r="I1506" t="s">
        <v>45</v>
      </c>
      <c r="J1506" t="s">
        <v>46</v>
      </c>
      <c r="K1506" t="s">
        <v>26</v>
      </c>
      <c r="L1506">
        <v>14</v>
      </c>
      <c r="M1506">
        <v>0.31</v>
      </c>
      <c r="N1506" t="s">
        <v>20</v>
      </c>
    </row>
    <row r="1507" spans="1:14" x14ac:dyDescent="0.25">
      <c r="A1507">
        <v>1506</v>
      </c>
      <c r="B1507" t="s">
        <v>43</v>
      </c>
      <c r="C1507">
        <v>2017</v>
      </c>
      <c r="D1507">
        <v>4.8</v>
      </c>
      <c r="E1507" t="s">
        <v>27</v>
      </c>
      <c r="F1507">
        <v>294740</v>
      </c>
      <c r="G1507" t="s">
        <v>30</v>
      </c>
      <c r="H1507">
        <v>71478.06</v>
      </c>
      <c r="I1507" t="s">
        <v>55</v>
      </c>
      <c r="J1507" t="s">
        <v>18</v>
      </c>
      <c r="K1507" t="s">
        <v>26</v>
      </c>
      <c r="L1507">
        <v>9</v>
      </c>
      <c r="M1507">
        <v>0.24</v>
      </c>
      <c r="N1507" t="s">
        <v>20</v>
      </c>
    </row>
    <row r="1508" spans="1:14" x14ac:dyDescent="0.25">
      <c r="A1508">
        <v>1507</v>
      </c>
      <c r="B1508" t="s">
        <v>29</v>
      </c>
      <c r="C1508">
        <v>2004</v>
      </c>
      <c r="D1508">
        <v>4.8</v>
      </c>
      <c r="E1508" t="s">
        <v>27</v>
      </c>
      <c r="F1508">
        <v>104087</v>
      </c>
      <c r="G1508" t="s">
        <v>30</v>
      </c>
      <c r="H1508">
        <v>24529.31</v>
      </c>
      <c r="I1508" t="s">
        <v>62</v>
      </c>
      <c r="J1508" t="s">
        <v>41</v>
      </c>
      <c r="K1508" t="s">
        <v>19</v>
      </c>
      <c r="L1508">
        <v>22</v>
      </c>
      <c r="M1508">
        <v>0.24</v>
      </c>
      <c r="N1508" t="s">
        <v>33</v>
      </c>
    </row>
    <row r="1509" spans="1:14" x14ac:dyDescent="0.25">
      <c r="A1509">
        <v>1508</v>
      </c>
      <c r="B1509" t="s">
        <v>36</v>
      </c>
      <c r="C1509">
        <v>2023</v>
      </c>
      <c r="D1509">
        <v>2.6</v>
      </c>
      <c r="E1509" t="s">
        <v>27</v>
      </c>
      <c r="F1509">
        <v>269051</v>
      </c>
      <c r="G1509" t="s">
        <v>16</v>
      </c>
      <c r="H1509">
        <v>11786.65</v>
      </c>
      <c r="I1509" t="s">
        <v>57</v>
      </c>
      <c r="J1509" t="s">
        <v>41</v>
      </c>
      <c r="K1509" t="s">
        <v>26</v>
      </c>
      <c r="L1509">
        <v>3</v>
      </c>
      <c r="M1509">
        <v>0.04</v>
      </c>
      <c r="N1509" t="s">
        <v>33</v>
      </c>
    </row>
    <row r="1510" spans="1:14" x14ac:dyDescent="0.25">
      <c r="A1510">
        <v>1509</v>
      </c>
      <c r="B1510" t="s">
        <v>52</v>
      </c>
      <c r="C1510">
        <v>2023</v>
      </c>
      <c r="D1510">
        <v>3.1</v>
      </c>
      <c r="E1510" t="s">
        <v>27</v>
      </c>
      <c r="F1510">
        <v>255035</v>
      </c>
      <c r="G1510" t="s">
        <v>16</v>
      </c>
      <c r="H1510">
        <v>73997.210000000006</v>
      </c>
      <c r="I1510" t="s">
        <v>56</v>
      </c>
      <c r="J1510" t="s">
        <v>41</v>
      </c>
      <c r="K1510" t="s">
        <v>26</v>
      </c>
      <c r="L1510">
        <v>3</v>
      </c>
      <c r="M1510">
        <v>0.28999999999999998</v>
      </c>
      <c r="N1510" t="s">
        <v>33</v>
      </c>
    </row>
    <row r="1511" spans="1:14" x14ac:dyDescent="0.25">
      <c r="A1511">
        <v>1510</v>
      </c>
      <c r="B1511" t="s">
        <v>43</v>
      </c>
      <c r="C1511">
        <v>2002</v>
      </c>
      <c r="D1511">
        <v>2</v>
      </c>
      <c r="E1511" t="s">
        <v>15</v>
      </c>
      <c r="F1511">
        <v>159186</v>
      </c>
      <c r="G1511" t="s">
        <v>22</v>
      </c>
      <c r="H1511">
        <v>53550</v>
      </c>
      <c r="I1511" t="s">
        <v>48</v>
      </c>
      <c r="J1511" t="s">
        <v>46</v>
      </c>
      <c r="K1511" t="s">
        <v>26</v>
      </c>
      <c r="L1511">
        <v>24</v>
      </c>
      <c r="M1511">
        <v>0.34</v>
      </c>
      <c r="N1511" t="s">
        <v>20</v>
      </c>
    </row>
    <row r="1512" spans="1:14" x14ac:dyDescent="0.25">
      <c r="A1512">
        <v>1511</v>
      </c>
      <c r="B1512" t="s">
        <v>29</v>
      </c>
      <c r="C1512">
        <v>2010</v>
      </c>
      <c r="D1512">
        <v>5.9</v>
      </c>
      <c r="E1512" t="s">
        <v>27</v>
      </c>
      <c r="F1512">
        <v>287153</v>
      </c>
      <c r="G1512" t="s">
        <v>30</v>
      </c>
      <c r="H1512">
        <v>71710.27</v>
      </c>
      <c r="I1512" t="s">
        <v>38</v>
      </c>
      <c r="J1512" t="s">
        <v>41</v>
      </c>
      <c r="K1512" t="s">
        <v>26</v>
      </c>
      <c r="L1512">
        <v>16</v>
      </c>
      <c r="M1512">
        <v>0.25</v>
      </c>
      <c r="N1512" t="s">
        <v>33</v>
      </c>
    </row>
    <row r="1513" spans="1:14" x14ac:dyDescent="0.25">
      <c r="A1513">
        <v>1512</v>
      </c>
      <c r="B1513" t="s">
        <v>14</v>
      </c>
      <c r="C1513">
        <v>2012</v>
      </c>
      <c r="D1513">
        <v>4.2</v>
      </c>
      <c r="E1513" t="s">
        <v>27</v>
      </c>
      <c r="F1513">
        <v>166797</v>
      </c>
      <c r="G1513" t="s">
        <v>16</v>
      </c>
      <c r="H1513">
        <v>50300.07</v>
      </c>
      <c r="I1513" t="s">
        <v>58</v>
      </c>
      <c r="J1513" t="s">
        <v>18</v>
      </c>
      <c r="K1513" t="s">
        <v>26</v>
      </c>
      <c r="L1513">
        <v>14</v>
      </c>
      <c r="M1513">
        <v>0.3</v>
      </c>
      <c r="N1513" t="s">
        <v>20</v>
      </c>
    </row>
    <row r="1514" spans="1:14" x14ac:dyDescent="0.25">
      <c r="A1514">
        <v>1513</v>
      </c>
      <c r="B1514" t="s">
        <v>36</v>
      </c>
      <c r="C1514">
        <v>2003</v>
      </c>
      <c r="D1514">
        <v>5.7</v>
      </c>
      <c r="E1514" t="s">
        <v>27</v>
      </c>
      <c r="F1514">
        <v>281140</v>
      </c>
      <c r="G1514" t="s">
        <v>16</v>
      </c>
      <c r="H1514">
        <v>34662.28</v>
      </c>
      <c r="I1514" t="s">
        <v>37</v>
      </c>
      <c r="J1514" t="s">
        <v>32</v>
      </c>
      <c r="K1514" t="s">
        <v>26</v>
      </c>
      <c r="L1514">
        <v>23</v>
      </c>
      <c r="M1514">
        <v>0.12</v>
      </c>
      <c r="N1514" t="s">
        <v>33</v>
      </c>
    </row>
    <row r="1515" spans="1:14" x14ac:dyDescent="0.25">
      <c r="A1515">
        <v>1514</v>
      </c>
      <c r="B1515" t="s">
        <v>36</v>
      </c>
      <c r="C1515">
        <v>2013</v>
      </c>
      <c r="D1515">
        <v>2.5</v>
      </c>
      <c r="E1515" t="s">
        <v>27</v>
      </c>
      <c r="F1515">
        <v>290911</v>
      </c>
      <c r="G1515" t="s">
        <v>30</v>
      </c>
      <c r="H1515">
        <v>32076.7</v>
      </c>
      <c r="I1515" t="s">
        <v>54</v>
      </c>
      <c r="J1515" t="s">
        <v>46</v>
      </c>
      <c r="K1515" t="s">
        <v>26</v>
      </c>
      <c r="L1515">
        <v>13</v>
      </c>
      <c r="M1515">
        <v>0.11</v>
      </c>
      <c r="N1515" t="s">
        <v>33</v>
      </c>
    </row>
    <row r="1516" spans="1:14" x14ac:dyDescent="0.25">
      <c r="A1516">
        <v>1515</v>
      </c>
      <c r="B1516" t="s">
        <v>43</v>
      </c>
      <c r="C1516">
        <v>2021</v>
      </c>
      <c r="D1516">
        <v>4.9000000000000004</v>
      </c>
      <c r="E1516" t="s">
        <v>27</v>
      </c>
      <c r="F1516">
        <v>278491</v>
      </c>
      <c r="G1516" t="s">
        <v>22</v>
      </c>
      <c r="H1516">
        <v>74400.55</v>
      </c>
      <c r="I1516" t="s">
        <v>55</v>
      </c>
      <c r="J1516" t="s">
        <v>32</v>
      </c>
      <c r="K1516" t="s">
        <v>26</v>
      </c>
      <c r="L1516">
        <v>5</v>
      </c>
      <c r="M1516">
        <v>0.27</v>
      </c>
      <c r="N1516" t="s">
        <v>20</v>
      </c>
    </row>
    <row r="1517" spans="1:14" x14ac:dyDescent="0.25">
      <c r="A1517">
        <v>1516</v>
      </c>
      <c r="B1517" t="s">
        <v>21</v>
      </c>
      <c r="C1517">
        <v>2010</v>
      </c>
      <c r="D1517">
        <v>4.8</v>
      </c>
      <c r="E1517" t="s">
        <v>27</v>
      </c>
      <c r="F1517">
        <v>102063</v>
      </c>
      <c r="G1517" t="s">
        <v>22</v>
      </c>
      <c r="H1517">
        <v>31294.11</v>
      </c>
      <c r="I1517" t="s">
        <v>42</v>
      </c>
      <c r="J1517" t="s">
        <v>41</v>
      </c>
      <c r="K1517" t="s">
        <v>19</v>
      </c>
      <c r="L1517">
        <v>16</v>
      </c>
      <c r="M1517">
        <v>0.31</v>
      </c>
      <c r="N1517" t="s">
        <v>20</v>
      </c>
    </row>
    <row r="1518" spans="1:14" x14ac:dyDescent="0.25">
      <c r="A1518">
        <v>1517</v>
      </c>
      <c r="B1518" t="s">
        <v>52</v>
      </c>
      <c r="C1518">
        <v>2009</v>
      </c>
      <c r="D1518">
        <v>4.5</v>
      </c>
      <c r="E1518" t="s">
        <v>15</v>
      </c>
      <c r="F1518">
        <v>24102</v>
      </c>
      <c r="G1518" t="s">
        <v>22</v>
      </c>
      <c r="H1518">
        <v>72894.3</v>
      </c>
      <c r="I1518" t="s">
        <v>59</v>
      </c>
      <c r="J1518" t="s">
        <v>41</v>
      </c>
      <c r="K1518" t="s">
        <v>50</v>
      </c>
      <c r="L1518">
        <v>17</v>
      </c>
      <c r="M1518">
        <v>3.02</v>
      </c>
      <c r="N1518" t="s">
        <v>33</v>
      </c>
    </row>
    <row r="1519" spans="1:14" x14ac:dyDescent="0.25">
      <c r="A1519">
        <v>1518</v>
      </c>
      <c r="B1519" t="s">
        <v>36</v>
      </c>
      <c r="C1519">
        <v>2018</v>
      </c>
      <c r="D1519">
        <v>5.8</v>
      </c>
      <c r="E1519" t="s">
        <v>27</v>
      </c>
      <c r="F1519">
        <v>4263</v>
      </c>
      <c r="G1519" t="s">
        <v>22</v>
      </c>
      <c r="H1519">
        <v>41476.21</v>
      </c>
      <c r="I1519" t="s">
        <v>37</v>
      </c>
      <c r="J1519" t="s">
        <v>41</v>
      </c>
      <c r="K1519" t="s">
        <v>50</v>
      </c>
      <c r="L1519">
        <v>8</v>
      </c>
      <c r="M1519">
        <v>9.73</v>
      </c>
      <c r="N1519" t="s">
        <v>33</v>
      </c>
    </row>
    <row r="1520" spans="1:14" x14ac:dyDescent="0.25">
      <c r="A1520">
        <v>1519</v>
      </c>
      <c r="B1520" t="s">
        <v>43</v>
      </c>
      <c r="C1520">
        <v>2017</v>
      </c>
      <c r="D1520">
        <v>3</v>
      </c>
      <c r="E1520" t="s">
        <v>15</v>
      </c>
      <c r="F1520">
        <v>67438</v>
      </c>
      <c r="G1520" t="s">
        <v>16</v>
      </c>
      <c r="H1520">
        <v>78235.350000000006</v>
      </c>
      <c r="I1520" t="s">
        <v>55</v>
      </c>
      <c r="J1520" t="s">
        <v>18</v>
      </c>
      <c r="K1520" t="s">
        <v>19</v>
      </c>
      <c r="L1520">
        <v>9</v>
      </c>
      <c r="M1520">
        <v>1.1599999999999999</v>
      </c>
      <c r="N1520" t="s">
        <v>20</v>
      </c>
    </row>
    <row r="1521" spans="1:14" x14ac:dyDescent="0.25">
      <c r="A1521">
        <v>1520</v>
      </c>
      <c r="B1521" t="s">
        <v>43</v>
      </c>
      <c r="C1521">
        <v>2005</v>
      </c>
      <c r="D1521">
        <v>1.7</v>
      </c>
      <c r="E1521" t="s">
        <v>15</v>
      </c>
      <c r="F1521">
        <v>96359</v>
      </c>
      <c r="G1521" t="s">
        <v>30</v>
      </c>
      <c r="H1521">
        <v>18566.939999999999</v>
      </c>
      <c r="I1521" t="s">
        <v>44</v>
      </c>
      <c r="J1521" t="s">
        <v>18</v>
      </c>
      <c r="K1521" t="s">
        <v>19</v>
      </c>
      <c r="L1521">
        <v>21</v>
      </c>
      <c r="M1521">
        <v>0.19</v>
      </c>
      <c r="N1521" t="s">
        <v>20</v>
      </c>
    </row>
    <row r="1522" spans="1:14" x14ac:dyDescent="0.25">
      <c r="A1522">
        <v>1521</v>
      </c>
      <c r="B1522" t="s">
        <v>29</v>
      </c>
      <c r="C1522">
        <v>2014</v>
      </c>
      <c r="D1522">
        <v>4.4000000000000004</v>
      </c>
      <c r="E1522" t="s">
        <v>27</v>
      </c>
      <c r="F1522">
        <v>130251</v>
      </c>
      <c r="G1522" t="s">
        <v>30</v>
      </c>
      <c r="H1522">
        <v>24473.09</v>
      </c>
      <c r="I1522" t="s">
        <v>31</v>
      </c>
      <c r="J1522" t="s">
        <v>46</v>
      </c>
      <c r="K1522" t="s">
        <v>19</v>
      </c>
      <c r="L1522">
        <v>12</v>
      </c>
      <c r="M1522">
        <v>0.19</v>
      </c>
      <c r="N1522" t="s">
        <v>33</v>
      </c>
    </row>
    <row r="1523" spans="1:14" x14ac:dyDescent="0.25">
      <c r="A1523">
        <v>1522</v>
      </c>
      <c r="B1523" t="s">
        <v>14</v>
      </c>
      <c r="C1523">
        <v>2020</v>
      </c>
      <c r="D1523">
        <v>4.5999999999999996</v>
      </c>
      <c r="E1523" t="s">
        <v>15</v>
      </c>
      <c r="F1523">
        <v>171915</v>
      </c>
      <c r="G1523" t="s">
        <v>16</v>
      </c>
      <c r="H1523">
        <v>70161.600000000006</v>
      </c>
      <c r="I1523" t="s">
        <v>58</v>
      </c>
      <c r="J1523" t="s">
        <v>18</v>
      </c>
      <c r="K1523" t="s">
        <v>26</v>
      </c>
      <c r="L1523">
        <v>6</v>
      </c>
      <c r="M1523">
        <v>0.41</v>
      </c>
      <c r="N1523" t="s">
        <v>20</v>
      </c>
    </row>
    <row r="1524" spans="1:14" x14ac:dyDescent="0.25">
      <c r="A1524">
        <v>1523</v>
      </c>
      <c r="B1524" t="s">
        <v>21</v>
      </c>
      <c r="C1524">
        <v>2009</v>
      </c>
      <c r="D1524">
        <v>3.9</v>
      </c>
      <c r="E1524" t="s">
        <v>27</v>
      </c>
      <c r="F1524">
        <v>27690</v>
      </c>
      <c r="G1524" t="s">
        <v>16</v>
      </c>
      <c r="H1524">
        <v>58221.96</v>
      </c>
      <c r="I1524" t="s">
        <v>42</v>
      </c>
      <c r="J1524" t="s">
        <v>41</v>
      </c>
      <c r="K1524" t="s">
        <v>50</v>
      </c>
      <c r="L1524">
        <v>17</v>
      </c>
      <c r="M1524">
        <v>2.1</v>
      </c>
      <c r="N1524" t="s">
        <v>20</v>
      </c>
    </row>
    <row r="1525" spans="1:14" x14ac:dyDescent="0.25">
      <c r="A1525">
        <v>1524</v>
      </c>
      <c r="B1525" t="s">
        <v>52</v>
      </c>
      <c r="C1525">
        <v>2004</v>
      </c>
      <c r="D1525">
        <v>2</v>
      </c>
      <c r="E1525" t="s">
        <v>15</v>
      </c>
      <c r="F1525">
        <v>2994</v>
      </c>
      <c r="G1525" t="s">
        <v>16</v>
      </c>
      <c r="H1525">
        <v>24368.44</v>
      </c>
      <c r="I1525" t="s">
        <v>56</v>
      </c>
      <c r="J1525" t="s">
        <v>41</v>
      </c>
      <c r="K1525" t="s">
        <v>50</v>
      </c>
      <c r="L1525">
        <v>22</v>
      </c>
      <c r="M1525">
        <v>8.14</v>
      </c>
      <c r="N1525" t="s">
        <v>33</v>
      </c>
    </row>
    <row r="1526" spans="1:14" x14ac:dyDescent="0.25">
      <c r="A1526">
        <v>1525</v>
      </c>
      <c r="B1526" t="s">
        <v>24</v>
      </c>
      <c r="C1526">
        <v>2004</v>
      </c>
      <c r="D1526">
        <v>3.5</v>
      </c>
      <c r="E1526" t="s">
        <v>27</v>
      </c>
      <c r="F1526">
        <v>103533</v>
      </c>
      <c r="G1526" t="s">
        <v>30</v>
      </c>
      <c r="H1526">
        <v>90768.57</v>
      </c>
      <c r="I1526" t="s">
        <v>35</v>
      </c>
      <c r="J1526" t="s">
        <v>41</v>
      </c>
      <c r="K1526" t="s">
        <v>19</v>
      </c>
      <c r="L1526">
        <v>22</v>
      </c>
      <c r="M1526">
        <v>0.88</v>
      </c>
      <c r="N1526" t="s">
        <v>20</v>
      </c>
    </row>
    <row r="1527" spans="1:14" x14ac:dyDescent="0.25">
      <c r="A1527">
        <v>1526</v>
      </c>
      <c r="B1527" t="s">
        <v>14</v>
      </c>
      <c r="C1527">
        <v>2009</v>
      </c>
      <c r="D1527">
        <v>2.6</v>
      </c>
      <c r="E1527" t="s">
        <v>15</v>
      </c>
      <c r="F1527">
        <v>67546</v>
      </c>
      <c r="G1527" t="s">
        <v>30</v>
      </c>
      <c r="H1527">
        <v>31214.69</v>
      </c>
      <c r="I1527" t="s">
        <v>39</v>
      </c>
      <c r="J1527" t="s">
        <v>18</v>
      </c>
      <c r="K1527" t="s">
        <v>19</v>
      </c>
      <c r="L1527">
        <v>17</v>
      </c>
      <c r="M1527">
        <v>0.46</v>
      </c>
      <c r="N1527" t="s">
        <v>20</v>
      </c>
    </row>
    <row r="1528" spans="1:14" x14ac:dyDescent="0.25">
      <c r="A1528">
        <v>1527</v>
      </c>
      <c r="B1528" t="s">
        <v>14</v>
      </c>
      <c r="C1528">
        <v>2004</v>
      </c>
      <c r="D1528">
        <v>3.1</v>
      </c>
      <c r="E1528" t="s">
        <v>15</v>
      </c>
      <c r="F1528">
        <v>26467</v>
      </c>
      <c r="G1528" t="s">
        <v>30</v>
      </c>
      <c r="H1528">
        <v>45001.78</v>
      </c>
      <c r="I1528" t="s">
        <v>17</v>
      </c>
      <c r="J1528" t="s">
        <v>18</v>
      </c>
      <c r="K1528" t="s">
        <v>50</v>
      </c>
      <c r="L1528">
        <v>22</v>
      </c>
      <c r="M1528">
        <v>1.7</v>
      </c>
      <c r="N1528" t="s">
        <v>20</v>
      </c>
    </row>
    <row r="1529" spans="1:14" x14ac:dyDescent="0.25">
      <c r="A1529">
        <v>1528</v>
      </c>
      <c r="B1529" t="s">
        <v>29</v>
      </c>
      <c r="C1529">
        <v>2002</v>
      </c>
      <c r="D1529">
        <v>4.2</v>
      </c>
      <c r="E1529" t="s">
        <v>27</v>
      </c>
      <c r="F1529">
        <v>246590</v>
      </c>
      <c r="G1529" t="s">
        <v>22</v>
      </c>
      <c r="H1529">
        <v>24217.35</v>
      </c>
      <c r="I1529" t="s">
        <v>38</v>
      </c>
      <c r="J1529" t="s">
        <v>32</v>
      </c>
      <c r="K1529" t="s">
        <v>26</v>
      </c>
      <c r="L1529">
        <v>24</v>
      </c>
      <c r="M1529">
        <v>0.1</v>
      </c>
      <c r="N1529" t="s">
        <v>33</v>
      </c>
    </row>
    <row r="1530" spans="1:14" x14ac:dyDescent="0.25">
      <c r="A1530">
        <v>1529</v>
      </c>
      <c r="B1530" t="s">
        <v>36</v>
      </c>
      <c r="C1530">
        <v>2022</v>
      </c>
      <c r="D1530">
        <v>4.7</v>
      </c>
      <c r="E1530" t="s">
        <v>15</v>
      </c>
      <c r="F1530">
        <v>131120</v>
      </c>
      <c r="G1530" t="s">
        <v>16</v>
      </c>
      <c r="H1530">
        <v>41862.620000000003</v>
      </c>
      <c r="I1530" t="s">
        <v>57</v>
      </c>
      <c r="J1530" t="s">
        <v>32</v>
      </c>
      <c r="K1530" t="s">
        <v>19</v>
      </c>
      <c r="L1530">
        <v>4</v>
      </c>
      <c r="M1530">
        <v>0.32</v>
      </c>
      <c r="N1530" t="s">
        <v>33</v>
      </c>
    </row>
    <row r="1531" spans="1:14" x14ac:dyDescent="0.25">
      <c r="A1531">
        <v>1530</v>
      </c>
      <c r="B1531" t="s">
        <v>36</v>
      </c>
      <c r="C1531">
        <v>2005</v>
      </c>
      <c r="D1531">
        <v>2.2000000000000002</v>
      </c>
      <c r="E1531" t="s">
        <v>15</v>
      </c>
      <c r="F1531">
        <v>168050</v>
      </c>
      <c r="G1531" t="s">
        <v>16</v>
      </c>
      <c r="H1531">
        <v>51706.44</v>
      </c>
      <c r="I1531" t="s">
        <v>57</v>
      </c>
      <c r="J1531" t="s">
        <v>46</v>
      </c>
      <c r="K1531" t="s">
        <v>26</v>
      </c>
      <c r="L1531">
        <v>21</v>
      </c>
      <c r="M1531">
        <v>0.31</v>
      </c>
      <c r="N1531" t="s">
        <v>33</v>
      </c>
    </row>
    <row r="1532" spans="1:14" x14ac:dyDescent="0.25">
      <c r="A1532">
        <v>1531</v>
      </c>
      <c r="B1532" t="s">
        <v>29</v>
      </c>
      <c r="C1532">
        <v>2003</v>
      </c>
      <c r="D1532">
        <v>3</v>
      </c>
      <c r="E1532" t="s">
        <v>15</v>
      </c>
      <c r="F1532">
        <v>73414</v>
      </c>
      <c r="G1532" t="s">
        <v>16</v>
      </c>
      <c r="H1532">
        <v>33048.47</v>
      </c>
      <c r="I1532" t="s">
        <v>31</v>
      </c>
      <c r="J1532" t="s">
        <v>18</v>
      </c>
      <c r="K1532" t="s">
        <v>19</v>
      </c>
      <c r="L1532">
        <v>23</v>
      </c>
      <c r="M1532">
        <v>0.45</v>
      </c>
      <c r="N1532" t="s">
        <v>33</v>
      </c>
    </row>
    <row r="1533" spans="1:14" x14ac:dyDescent="0.25">
      <c r="A1533">
        <v>1532</v>
      </c>
      <c r="B1533" t="s">
        <v>43</v>
      </c>
      <c r="C1533">
        <v>2017</v>
      </c>
      <c r="D1533">
        <v>2.2999999999999998</v>
      </c>
      <c r="E1533" t="s">
        <v>15</v>
      </c>
      <c r="F1533">
        <v>180294</v>
      </c>
      <c r="G1533" t="s">
        <v>30</v>
      </c>
      <c r="H1533">
        <v>78063.899999999994</v>
      </c>
      <c r="I1533" t="s">
        <v>55</v>
      </c>
      <c r="J1533" t="s">
        <v>41</v>
      </c>
      <c r="K1533" t="s">
        <v>26</v>
      </c>
      <c r="L1533">
        <v>9</v>
      </c>
      <c r="M1533">
        <v>0.43</v>
      </c>
      <c r="N1533" t="s">
        <v>20</v>
      </c>
    </row>
    <row r="1534" spans="1:14" x14ac:dyDescent="0.25">
      <c r="A1534">
        <v>1533</v>
      </c>
      <c r="B1534" t="s">
        <v>36</v>
      </c>
      <c r="C1534">
        <v>2008</v>
      </c>
      <c r="D1534">
        <v>2</v>
      </c>
      <c r="E1534" t="s">
        <v>15</v>
      </c>
      <c r="F1534">
        <v>48115</v>
      </c>
      <c r="G1534" t="s">
        <v>16</v>
      </c>
      <c r="H1534">
        <v>42423.63</v>
      </c>
      <c r="I1534" t="s">
        <v>57</v>
      </c>
      <c r="J1534" t="s">
        <v>32</v>
      </c>
      <c r="K1534" t="s">
        <v>50</v>
      </c>
      <c r="L1534">
        <v>18</v>
      </c>
      <c r="M1534">
        <v>0.88</v>
      </c>
      <c r="N1534" t="s">
        <v>33</v>
      </c>
    </row>
    <row r="1535" spans="1:14" x14ac:dyDescent="0.25">
      <c r="A1535">
        <v>1534</v>
      </c>
      <c r="B1535" t="s">
        <v>21</v>
      </c>
      <c r="C1535">
        <v>2016</v>
      </c>
      <c r="D1535">
        <v>4.9000000000000004</v>
      </c>
      <c r="E1535" t="s">
        <v>27</v>
      </c>
      <c r="F1535">
        <v>40647</v>
      </c>
      <c r="G1535" t="s">
        <v>16</v>
      </c>
      <c r="H1535">
        <v>74303.45</v>
      </c>
      <c r="I1535" t="s">
        <v>60</v>
      </c>
      <c r="J1535" t="s">
        <v>32</v>
      </c>
      <c r="K1535" t="s">
        <v>50</v>
      </c>
      <c r="L1535">
        <v>10</v>
      </c>
      <c r="M1535">
        <v>1.83</v>
      </c>
      <c r="N1535" t="s">
        <v>20</v>
      </c>
    </row>
    <row r="1536" spans="1:14" x14ac:dyDescent="0.25">
      <c r="A1536">
        <v>1535</v>
      </c>
      <c r="B1536" t="s">
        <v>52</v>
      </c>
      <c r="C1536">
        <v>2012</v>
      </c>
      <c r="D1536">
        <v>5.5</v>
      </c>
      <c r="E1536" t="s">
        <v>15</v>
      </c>
      <c r="F1536">
        <v>54607</v>
      </c>
      <c r="G1536" t="s">
        <v>22</v>
      </c>
      <c r="H1536">
        <v>24671.86</v>
      </c>
      <c r="I1536" t="s">
        <v>56</v>
      </c>
      <c r="J1536" t="s">
        <v>18</v>
      </c>
      <c r="K1536" t="s">
        <v>19</v>
      </c>
      <c r="L1536">
        <v>14</v>
      </c>
      <c r="M1536">
        <v>0.45</v>
      </c>
      <c r="N1536" t="s">
        <v>33</v>
      </c>
    </row>
    <row r="1537" spans="1:14" x14ac:dyDescent="0.25">
      <c r="A1537">
        <v>1536</v>
      </c>
      <c r="B1537" t="s">
        <v>14</v>
      </c>
      <c r="C1537">
        <v>2014</v>
      </c>
      <c r="D1537">
        <v>2.9</v>
      </c>
      <c r="E1537" t="s">
        <v>15</v>
      </c>
      <c r="F1537">
        <v>21996</v>
      </c>
      <c r="G1537" t="s">
        <v>30</v>
      </c>
      <c r="H1537">
        <v>40818.370000000003</v>
      </c>
      <c r="I1537" t="s">
        <v>17</v>
      </c>
      <c r="J1537" t="s">
        <v>18</v>
      </c>
      <c r="K1537" t="s">
        <v>50</v>
      </c>
      <c r="L1537">
        <v>12</v>
      </c>
      <c r="M1537">
        <v>1.86</v>
      </c>
      <c r="N1537" t="s">
        <v>20</v>
      </c>
    </row>
    <row r="1538" spans="1:14" x14ac:dyDescent="0.25">
      <c r="A1538">
        <v>1537</v>
      </c>
      <c r="B1538" t="s">
        <v>14</v>
      </c>
      <c r="C1538">
        <v>2019</v>
      </c>
      <c r="D1538">
        <v>4.8</v>
      </c>
      <c r="E1538" t="s">
        <v>27</v>
      </c>
      <c r="F1538">
        <v>83697</v>
      </c>
      <c r="G1538" t="s">
        <v>16</v>
      </c>
      <c r="H1538">
        <v>5765.54</v>
      </c>
      <c r="I1538" t="s">
        <v>58</v>
      </c>
      <c r="J1538" t="s">
        <v>18</v>
      </c>
      <c r="K1538" t="s">
        <v>19</v>
      </c>
      <c r="L1538">
        <v>7</v>
      </c>
      <c r="M1538">
        <v>7.0000000000000007E-2</v>
      </c>
      <c r="N1538" t="s">
        <v>20</v>
      </c>
    </row>
    <row r="1539" spans="1:14" x14ac:dyDescent="0.25">
      <c r="A1539">
        <v>1538</v>
      </c>
      <c r="B1539" t="s">
        <v>21</v>
      </c>
      <c r="C1539">
        <v>2016</v>
      </c>
      <c r="D1539">
        <v>5.5</v>
      </c>
      <c r="E1539" t="s">
        <v>27</v>
      </c>
      <c r="F1539">
        <v>67764</v>
      </c>
      <c r="G1539" t="s">
        <v>30</v>
      </c>
      <c r="H1539">
        <v>77070.570000000007</v>
      </c>
      <c r="I1539" t="s">
        <v>23</v>
      </c>
      <c r="J1539" t="s">
        <v>41</v>
      </c>
      <c r="K1539" t="s">
        <v>19</v>
      </c>
      <c r="L1539">
        <v>10</v>
      </c>
      <c r="M1539">
        <v>1.1399999999999999</v>
      </c>
      <c r="N1539" t="s">
        <v>20</v>
      </c>
    </row>
    <row r="1540" spans="1:14" x14ac:dyDescent="0.25">
      <c r="A1540">
        <v>1539</v>
      </c>
      <c r="B1540" t="s">
        <v>36</v>
      </c>
      <c r="C1540">
        <v>2012</v>
      </c>
      <c r="D1540">
        <v>5.2</v>
      </c>
      <c r="E1540" t="s">
        <v>27</v>
      </c>
      <c r="F1540">
        <v>239190</v>
      </c>
      <c r="G1540" t="s">
        <v>30</v>
      </c>
      <c r="H1540">
        <v>64459.23</v>
      </c>
      <c r="I1540" t="s">
        <v>51</v>
      </c>
      <c r="J1540" t="s">
        <v>46</v>
      </c>
      <c r="K1540" t="s">
        <v>26</v>
      </c>
      <c r="L1540">
        <v>14</v>
      </c>
      <c r="M1540">
        <v>0.27</v>
      </c>
      <c r="N1540" t="s">
        <v>33</v>
      </c>
    </row>
    <row r="1541" spans="1:14" x14ac:dyDescent="0.25">
      <c r="A1541">
        <v>1540</v>
      </c>
      <c r="B1541" t="s">
        <v>14</v>
      </c>
      <c r="C1541">
        <v>2015</v>
      </c>
      <c r="D1541">
        <v>1.9</v>
      </c>
      <c r="E1541" t="s">
        <v>15</v>
      </c>
      <c r="F1541">
        <v>8888</v>
      </c>
      <c r="G1541" t="s">
        <v>30</v>
      </c>
      <c r="H1541">
        <v>82693.22</v>
      </c>
      <c r="I1541" t="s">
        <v>28</v>
      </c>
      <c r="J1541" t="s">
        <v>18</v>
      </c>
      <c r="K1541" t="s">
        <v>50</v>
      </c>
      <c r="L1541">
        <v>11</v>
      </c>
      <c r="M1541">
        <v>9.3000000000000007</v>
      </c>
      <c r="N1541" t="s">
        <v>20</v>
      </c>
    </row>
    <row r="1542" spans="1:14" x14ac:dyDescent="0.25">
      <c r="A1542">
        <v>1541</v>
      </c>
      <c r="B1542" t="s">
        <v>24</v>
      </c>
      <c r="C1542">
        <v>2021</v>
      </c>
      <c r="D1542">
        <v>5.8</v>
      </c>
      <c r="E1542" t="s">
        <v>15</v>
      </c>
      <c r="F1542">
        <v>219738</v>
      </c>
      <c r="G1542" t="s">
        <v>22</v>
      </c>
      <c r="H1542">
        <v>48283.02</v>
      </c>
      <c r="I1542" t="s">
        <v>45</v>
      </c>
      <c r="J1542" t="s">
        <v>46</v>
      </c>
      <c r="K1542" t="s">
        <v>26</v>
      </c>
      <c r="L1542">
        <v>5</v>
      </c>
      <c r="M1542">
        <v>0.22</v>
      </c>
      <c r="N1542" t="s">
        <v>20</v>
      </c>
    </row>
    <row r="1543" spans="1:14" x14ac:dyDescent="0.25">
      <c r="A1543">
        <v>1542</v>
      </c>
      <c r="B1543" t="s">
        <v>52</v>
      </c>
      <c r="C1543">
        <v>2003</v>
      </c>
      <c r="D1543">
        <v>2.9</v>
      </c>
      <c r="E1543" t="s">
        <v>15</v>
      </c>
      <c r="F1543">
        <v>221432</v>
      </c>
      <c r="G1543" t="s">
        <v>30</v>
      </c>
      <c r="H1543">
        <v>80975.360000000001</v>
      </c>
      <c r="I1543" t="s">
        <v>59</v>
      </c>
      <c r="J1543" t="s">
        <v>41</v>
      </c>
      <c r="K1543" t="s">
        <v>26</v>
      </c>
      <c r="L1543">
        <v>23</v>
      </c>
      <c r="M1543">
        <v>0.37</v>
      </c>
      <c r="N1543" t="s">
        <v>33</v>
      </c>
    </row>
    <row r="1544" spans="1:14" x14ac:dyDescent="0.25">
      <c r="A1544">
        <v>1543</v>
      </c>
      <c r="B1544" t="s">
        <v>52</v>
      </c>
      <c r="C1544">
        <v>2004</v>
      </c>
      <c r="D1544">
        <v>2.7</v>
      </c>
      <c r="E1544" t="s">
        <v>15</v>
      </c>
      <c r="F1544">
        <v>279477</v>
      </c>
      <c r="G1544" t="s">
        <v>30</v>
      </c>
      <c r="H1544">
        <v>66520.34</v>
      </c>
      <c r="I1544" t="s">
        <v>59</v>
      </c>
      <c r="J1544" t="s">
        <v>32</v>
      </c>
      <c r="K1544" t="s">
        <v>26</v>
      </c>
      <c r="L1544">
        <v>22</v>
      </c>
      <c r="M1544">
        <v>0.24</v>
      </c>
      <c r="N1544" t="s">
        <v>33</v>
      </c>
    </row>
    <row r="1545" spans="1:14" x14ac:dyDescent="0.25">
      <c r="A1545">
        <v>1544</v>
      </c>
      <c r="B1545" t="s">
        <v>14</v>
      </c>
      <c r="C1545">
        <v>2004</v>
      </c>
      <c r="D1545">
        <v>1.3</v>
      </c>
      <c r="E1545" t="s">
        <v>27</v>
      </c>
      <c r="F1545">
        <v>36355</v>
      </c>
      <c r="G1545" t="s">
        <v>30</v>
      </c>
      <c r="H1545">
        <v>5343.23</v>
      </c>
      <c r="I1545" t="s">
        <v>28</v>
      </c>
      <c r="J1545" t="s">
        <v>18</v>
      </c>
      <c r="K1545" t="s">
        <v>50</v>
      </c>
      <c r="L1545">
        <v>22</v>
      </c>
      <c r="M1545">
        <v>0.15</v>
      </c>
      <c r="N1545" t="s">
        <v>20</v>
      </c>
    </row>
    <row r="1546" spans="1:14" x14ac:dyDescent="0.25">
      <c r="A1546">
        <v>1545</v>
      </c>
      <c r="B1546" t="s">
        <v>29</v>
      </c>
      <c r="C1546">
        <v>2008</v>
      </c>
      <c r="D1546">
        <v>3.4</v>
      </c>
      <c r="E1546" t="s">
        <v>27</v>
      </c>
      <c r="F1546">
        <v>230487</v>
      </c>
      <c r="G1546" t="s">
        <v>16</v>
      </c>
      <c r="H1546">
        <v>29100.959999999999</v>
      </c>
      <c r="I1546" t="s">
        <v>38</v>
      </c>
      <c r="J1546" t="s">
        <v>46</v>
      </c>
      <c r="K1546" t="s">
        <v>26</v>
      </c>
      <c r="L1546">
        <v>18</v>
      </c>
      <c r="M1546">
        <v>0.13</v>
      </c>
      <c r="N1546" t="s">
        <v>33</v>
      </c>
    </row>
    <row r="1547" spans="1:14" x14ac:dyDescent="0.25">
      <c r="A1547">
        <v>1546</v>
      </c>
      <c r="B1547" t="s">
        <v>14</v>
      </c>
      <c r="C1547">
        <v>2016</v>
      </c>
      <c r="D1547">
        <v>1.5</v>
      </c>
      <c r="E1547" t="s">
        <v>15</v>
      </c>
      <c r="F1547">
        <v>129686</v>
      </c>
      <c r="G1547" t="s">
        <v>22</v>
      </c>
      <c r="H1547">
        <v>51919.68</v>
      </c>
      <c r="I1547" t="s">
        <v>28</v>
      </c>
      <c r="J1547" t="s">
        <v>18</v>
      </c>
      <c r="K1547" t="s">
        <v>19</v>
      </c>
      <c r="L1547">
        <v>10</v>
      </c>
      <c r="M1547">
        <v>0.4</v>
      </c>
      <c r="N1547" t="s">
        <v>20</v>
      </c>
    </row>
    <row r="1548" spans="1:14" x14ac:dyDescent="0.25">
      <c r="A1548">
        <v>1547</v>
      </c>
      <c r="B1548" t="s">
        <v>29</v>
      </c>
      <c r="C1548">
        <v>2012</v>
      </c>
      <c r="D1548">
        <v>2.2000000000000002</v>
      </c>
      <c r="E1548" t="s">
        <v>15</v>
      </c>
      <c r="F1548">
        <v>162217</v>
      </c>
      <c r="G1548" t="s">
        <v>16</v>
      </c>
      <c r="H1548">
        <v>63775.3</v>
      </c>
      <c r="I1548" t="s">
        <v>40</v>
      </c>
      <c r="J1548" t="s">
        <v>41</v>
      </c>
      <c r="K1548" t="s">
        <v>26</v>
      </c>
      <c r="L1548">
        <v>14</v>
      </c>
      <c r="M1548">
        <v>0.39</v>
      </c>
      <c r="N1548" t="s">
        <v>33</v>
      </c>
    </row>
    <row r="1549" spans="1:14" x14ac:dyDescent="0.25">
      <c r="A1549">
        <v>1548</v>
      </c>
      <c r="B1549" t="s">
        <v>14</v>
      </c>
      <c r="C1549">
        <v>2001</v>
      </c>
      <c r="D1549">
        <v>2.6</v>
      </c>
      <c r="E1549" t="s">
        <v>15</v>
      </c>
      <c r="F1549">
        <v>249602</v>
      </c>
      <c r="G1549" t="s">
        <v>22</v>
      </c>
      <c r="H1549">
        <v>11231.13</v>
      </c>
      <c r="I1549" t="s">
        <v>39</v>
      </c>
      <c r="J1549" t="s">
        <v>18</v>
      </c>
      <c r="K1549" t="s">
        <v>26</v>
      </c>
      <c r="L1549">
        <v>25</v>
      </c>
      <c r="M1549">
        <v>0.04</v>
      </c>
      <c r="N1549" t="s">
        <v>20</v>
      </c>
    </row>
    <row r="1550" spans="1:14" x14ac:dyDescent="0.25">
      <c r="A1550">
        <v>1549</v>
      </c>
      <c r="B1550" t="s">
        <v>24</v>
      </c>
      <c r="C1550">
        <v>2012</v>
      </c>
      <c r="D1550">
        <v>5</v>
      </c>
      <c r="E1550" t="s">
        <v>15</v>
      </c>
      <c r="F1550">
        <v>249434</v>
      </c>
      <c r="G1550" t="s">
        <v>22</v>
      </c>
      <c r="H1550">
        <v>71982.59</v>
      </c>
      <c r="I1550" t="s">
        <v>34</v>
      </c>
      <c r="J1550" t="s">
        <v>18</v>
      </c>
      <c r="K1550" t="s">
        <v>26</v>
      </c>
      <c r="L1550">
        <v>14</v>
      </c>
      <c r="M1550">
        <v>0.28999999999999998</v>
      </c>
      <c r="N1550" t="s">
        <v>20</v>
      </c>
    </row>
    <row r="1551" spans="1:14" x14ac:dyDescent="0.25">
      <c r="A1551">
        <v>1550</v>
      </c>
      <c r="B1551" t="s">
        <v>43</v>
      </c>
      <c r="C1551">
        <v>2021</v>
      </c>
      <c r="D1551">
        <v>5.4</v>
      </c>
      <c r="E1551" t="s">
        <v>27</v>
      </c>
      <c r="F1551">
        <v>180926</v>
      </c>
      <c r="G1551" t="s">
        <v>30</v>
      </c>
      <c r="H1551">
        <v>56635.93</v>
      </c>
      <c r="I1551" t="s">
        <v>55</v>
      </c>
      <c r="J1551" t="s">
        <v>32</v>
      </c>
      <c r="K1551" t="s">
        <v>26</v>
      </c>
      <c r="L1551">
        <v>5</v>
      </c>
      <c r="M1551">
        <v>0.31</v>
      </c>
      <c r="N1551" t="s">
        <v>20</v>
      </c>
    </row>
    <row r="1552" spans="1:14" x14ac:dyDescent="0.25">
      <c r="A1552">
        <v>1551</v>
      </c>
      <c r="B1552" t="s">
        <v>52</v>
      </c>
      <c r="C1552">
        <v>2020</v>
      </c>
      <c r="D1552">
        <v>2.5</v>
      </c>
      <c r="E1552" t="s">
        <v>27</v>
      </c>
      <c r="F1552">
        <v>67664</v>
      </c>
      <c r="G1552" t="s">
        <v>30</v>
      </c>
      <c r="H1552">
        <v>54949.03</v>
      </c>
      <c r="I1552" t="s">
        <v>59</v>
      </c>
      <c r="J1552" t="s">
        <v>18</v>
      </c>
      <c r="K1552" t="s">
        <v>19</v>
      </c>
      <c r="L1552">
        <v>6</v>
      </c>
      <c r="M1552">
        <v>0.81</v>
      </c>
      <c r="N1552" t="s">
        <v>33</v>
      </c>
    </row>
    <row r="1553" spans="1:14" x14ac:dyDescent="0.25">
      <c r="A1553">
        <v>1552</v>
      </c>
      <c r="B1553" t="s">
        <v>14</v>
      </c>
      <c r="C1553">
        <v>2022</v>
      </c>
      <c r="D1553">
        <v>5.3</v>
      </c>
      <c r="E1553" t="s">
        <v>15</v>
      </c>
      <c r="F1553">
        <v>86153</v>
      </c>
      <c r="G1553" t="s">
        <v>16</v>
      </c>
      <c r="H1553">
        <v>32744.33</v>
      </c>
      <c r="I1553" t="s">
        <v>28</v>
      </c>
      <c r="J1553" t="s">
        <v>18</v>
      </c>
      <c r="K1553" t="s">
        <v>19</v>
      </c>
      <c r="L1553">
        <v>4</v>
      </c>
      <c r="M1553">
        <v>0.38</v>
      </c>
      <c r="N1553" t="s">
        <v>20</v>
      </c>
    </row>
    <row r="1554" spans="1:14" x14ac:dyDescent="0.25">
      <c r="A1554">
        <v>1553</v>
      </c>
      <c r="B1554" t="s">
        <v>24</v>
      </c>
      <c r="C1554">
        <v>2018</v>
      </c>
      <c r="D1554">
        <v>5.3</v>
      </c>
      <c r="E1554" t="s">
        <v>27</v>
      </c>
      <c r="F1554">
        <v>93616</v>
      </c>
      <c r="G1554" t="s">
        <v>22</v>
      </c>
      <c r="H1554">
        <v>61508.19</v>
      </c>
      <c r="I1554" t="s">
        <v>25</v>
      </c>
      <c r="J1554" t="s">
        <v>46</v>
      </c>
      <c r="K1554" t="s">
        <v>19</v>
      </c>
      <c r="L1554">
        <v>8</v>
      </c>
      <c r="M1554">
        <v>0.66</v>
      </c>
      <c r="N1554" t="s">
        <v>20</v>
      </c>
    </row>
    <row r="1555" spans="1:14" x14ac:dyDescent="0.25">
      <c r="A1555">
        <v>1554</v>
      </c>
      <c r="B1555" t="s">
        <v>29</v>
      </c>
      <c r="C1555">
        <v>2002</v>
      </c>
      <c r="D1555">
        <v>4.8</v>
      </c>
      <c r="E1555" t="s">
        <v>15</v>
      </c>
      <c r="F1555">
        <v>297429</v>
      </c>
      <c r="G1555" t="s">
        <v>30</v>
      </c>
      <c r="H1555">
        <v>7611.82</v>
      </c>
      <c r="I1555" t="s">
        <v>40</v>
      </c>
      <c r="J1555" t="s">
        <v>46</v>
      </c>
      <c r="K1555" t="s">
        <v>26</v>
      </c>
      <c r="L1555">
        <v>24</v>
      </c>
      <c r="M1555">
        <v>0.03</v>
      </c>
      <c r="N1555" t="s">
        <v>33</v>
      </c>
    </row>
    <row r="1556" spans="1:14" x14ac:dyDescent="0.25">
      <c r="A1556">
        <v>1555</v>
      </c>
      <c r="B1556" t="s">
        <v>29</v>
      </c>
      <c r="C1556">
        <v>2009</v>
      </c>
      <c r="D1556">
        <v>1.7</v>
      </c>
      <c r="E1556" t="s">
        <v>15</v>
      </c>
      <c r="F1556">
        <v>256349</v>
      </c>
      <c r="G1556" t="s">
        <v>30</v>
      </c>
      <c r="H1556">
        <v>11146.53</v>
      </c>
      <c r="I1556" t="s">
        <v>40</v>
      </c>
      <c r="J1556" t="s">
        <v>46</v>
      </c>
      <c r="K1556" t="s">
        <v>26</v>
      </c>
      <c r="L1556">
        <v>17</v>
      </c>
      <c r="M1556">
        <v>0.04</v>
      </c>
      <c r="N1556" t="s">
        <v>33</v>
      </c>
    </row>
    <row r="1557" spans="1:14" x14ac:dyDescent="0.25">
      <c r="A1557">
        <v>1556</v>
      </c>
      <c r="B1557" t="s">
        <v>52</v>
      </c>
      <c r="C1557">
        <v>2001</v>
      </c>
      <c r="D1557">
        <v>4.5</v>
      </c>
      <c r="E1557" t="s">
        <v>27</v>
      </c>
      <c r="F1557">
        <v>46996</v>
      </c>
      <c r="G1557" t="s">
        <v>30</v>
      </c>
      <c r="H1557">
        <v>74717.66</v>
      </c>
      <c r="I1557" t="s">
        <v>56</v>
      </c>
      <c r="J1557" t="s">
        <v>18</v>
      </c>
      <c r="K1557" t="s">
        <v>50</v>
      </c>
      <c r="L1557">
        <v>25</v>
      </c>
      <c r="M1557">
        <v>1.59</v>
      </c>
      <c r="N1557" t="s">
        <v>33</v>
      </c>
    </row>
    <row r="1558" spans="1:14" x14ac:dyDescent="0.25">
      <c r="A1558">
        <v>1557</v>
      </c>
      <c r="B1558" t="s">
        <v>21</v>
      </c>
      <c r="C1558">
        <v>2012</v>
      </c>
      <c r="D1558">
        <v>5.7</v>
      </c>
      <c r="E1558" t="s">
        <v>15</v>
      </c>
      <c r="F1558">
        <v>128344</v>
      </c>
      <c r="G1558" t="s">
        <v>30</v>
      </c>
      <c r="H1558">
        <v>35579.68</v>
      </c>
      <c r="I1558" t="s">
        <v>23</v>
      </c>
      <c r="J1558" t="s">
        <v>32</v>
      </c>
      <c r="K1558" t="s">
        <v>19</v>
      </c>
      <c r="L1558">
        <v>14</v>
      </c>
      <c r="M1558">
        <v>0.28000000000000003</v>
      </c>
      <c r="N1558" t="s">
        <v>20</v>
      </c>
    </row>
    <row r="1559" spans="1:14" x14ac:dyDescent="0.25">
      <c r="A1559">
        <v>1558</v>
      </c>
      <c r="B1559" t="s">
        <v>14</v>
      </c>
      <c r="C1559">
        <v>2018</v>
      </c>
      <c r="D1559">
        <v>4.4000000000000004</v>
      </c>
      <c r="E1559" t="s">
        <v>27</v>
      </c>
      <c r="F1559">
        <v>229685</v>
      </c>
      <c r="G1559" t="s">
        <v>16</v>
      </c>
      <c r="H1559">
        <v>37961.870000000003</v>
      </c>
      <c r="I1559" t="s">
        <v>17</v>
      </c>
      <c r="J1559" t="s">
        <v>18</v>
      </c>
      <c r="K1559" t="s">
        <v>26</v>
      </c>
      <c r="L1559">
        <v>8</v>
      </c>
      <c r="M1559">
        <v>0.17</v>
      </c>
      <c r="N1559" t="s">
        <v>20</v>
      </c>
    </row>
    <row r="1560" spans="1:14" x14ac:dyDescent="0.25">
      <c r="A1560">
        <v>1559</v>
      </c>
      <c r="B1560" t="s">
        <v>36</v>
      </c>
      <c r="C1560">
        <v>2016</v>
      </c>
      <c r="D1560">
        <v>2.7</v>
      </c>
      <c r="E1560" t="s">
        <v>15</v>
      </c>
      <c r="F1560">
        <v>128019</v>
      </c>
      <c r="G1560" t="s">
        <v>16</v>
      </c>
      <c r="H1560">
        <v>24796.59</v>
      </c>
      <c r="I1560" t="s">
        <v>51</v>
      </c>
      <c r="J1560" t="s">
        <v>18</v>
      </c>
      <c r="K1560" t="s">
        <v>19</v>
      </c>
      <c r="L1560">
        <v>10</v>
      </c>
      <c r="M1560">
        <v>0.19</v>
      </c>
      <c r="N1560" t="s">
        <v>33</v>
      </c>
    </row>
    <row r="1561" spans="1:14" x14ac:dyDescent="0.25">
      <c r="A1561">
        <v>1560</v>
      </c>
      <c r="B1561" t="s">
        <v>29</v>
      </c>
      <c r="C1561">
        <v>2020</v>
      </c>
      <c r="D1561">
        <v>3.5</v>
      </c>
      <c r="E1561" t="s">
        <v>27</v>
      </c>
      <c r="F1561">
        <v>135024</v>
      </c>
      <c r="G1561" t="s">
        <v>30</v>
      </c>
      <c r="H1561">
        <v>47333.97</v>
      </c>
      <c r="I1561" t="s">
        <v>40</v>
      </c>
      <c r="J1561" t="s">
        <v>46</v>
      </c>
      <c r="K1561" t="s">
        <v>19</v>
      </c>
      <c r="L1561">
        <v>6</v>
      </c>
      <c r="M1561">
        <v>0.35</v>
      </c>
      <c r="N1561" t="s">
        <v>33</v>
      </c>
    </row>
    <row r="1562" spans="1:14" x14ac:dyDescent="0.25">
      <c r="A1562">
        <v>1561</v>
      </c>
      <c r="B1562" t="s">
        <v>43</v>
      </c>
      <c r="C1562">
        <v>2013</v>
      </c>
      <c r="D1562">
        <v>4.2</v>
      </c>
      <c r="E1562" t="s">
        <v>15</v>
      </c>
      <c r="F1562">
        <v>183273</v>
      </c>
      <c r="G1562" t="s">
        <v>30</v>
      </c>
      <c r="H1562">
        <v>9939.3799999999992</v>
      </c>
      <c r="I1562" t="s">
        <v>49</v>
      </c>
      <c r="J1562" t="s">
        <v>41</v>
      </c>
      <c r="K1562" t="s">
        <v>26</v>
      </c>
      <c r="L1562">
        <v>13</v>
      </c>
      <c r="M1562">
        <v>0.05</v>
      </c>
      <c r="N1562" t="s">
        <v>20</v>
      </c>
    </row>
    <row r="1563" spans="1:14" x14ac:dyDescent="0.25">
      <c r="A1563">
        <v>1562</v>
      </c>
      <c r="B1563" t="s">
        <v>43</v>
      </c>
      <c r="C1563">
        <v>2011</v>
      </c>
      <c r="D1563">
        <v>3.6</v>
      </c>
      <c r="E1563" t="s">
        <v>27</v>
      </c>
      <c r="F1563">
        <v>120454</v>
      </c>
      <c r="G1563" t="s">
        <v>30</v>
      </c>
      <c r="H1563">
        <v>33534.51</v>
      </c>
      <c r="I1563" t="s">
        <v>55</v>
      </c>
      <c r="J1563" t="s">
        <v>32</v>
      </c>
      <c r="K1563" t="s">
        <v>19</v>
      </c>
      <c r="L1563">
        <v>15</v>
      </c>
      <c r="M1563">
        <v>0.28000000000000003</v>
      </c>
      <c r="N1563" t="s">
        <v>20</v>
      </c>
    </row>
    <row r="1564" spans="1:14" x14ac:dyDescent="0.25">
      <c r="A1564">
        <v>1563</v>
      </c>
      <c r="B1564" t="s">
        <v>29</v>
      </c>
      <c r="C1564">
        <v>2020</v>
      </c>
      <c r="D1564">
        <v>1.6</v>
      </c>
      <c r="E1564" t="s">
        <v>15</v>
      </c>
      <c r="F1564">
        <v>124444</v>
      </c>
      <c r="G1564" t="s">
        <v>30</v>
      </c>
      <c r="H1564">
        <v>55076.77</v>
      </c>
      <c r="I1564" t="s">
        <v>40</v>
      </c>
      <c r="J1564" t="s">
        <v>41</v>
      </c>
      <c r="K1564" t="s">
        <v>19</v>
      </c>
      <c r="L1564">
        <v>6</v>
      </c>
      <c r="M1564">
        <v>0.44</v>
      </c>
      <c r="N1564" t="s">
        <v>33</v>
      </c>
    </row>
    <row r="1565" spans="1:14" x14ac:dyDescent="0.25">
      <c r="A1565">
        <v>1564</v>
      </c>
      <c r="B1565" t="s">
        <v>21</v>
      </c>
      <c r="C1565">
        <v>2011</v>
      </c>
      <c r="D1565">
        <v>2.6</v>
      </c>
      <c r="E1565" t="s">
        <v>15</v>
      </c>
      <c r="F1565">
        <v>153868</v>
      </c>
      <c r="G1565" t="s">
        <v>30</v>
      </c>
      <c r="H1565">
        <v>49235.03</v>
      </c>
      <c r="I1565" t="s">
        <v>60</v>
      </c>
      <c r="J1565" t="s">
        <v>46</v>
      </c>
      <c r="K1565" t="s">
        <v>26</v>
      </c>
      <c r="L1565">
        <v>15</v>
      </c>
      <c r="M1565">
        <v>0.32</v>
      </c>
      <c r="N1565" t="s">
        <v>20</v>
      </c>
    </row>
    <row r="1566" spans="1:14" x14ac:dyDescent="0.25">
      <c r="A1566">
        <v>1565</v>
      </c>
      <c r="B1566" t="s">
        <v>21</v>
      </c>
      <c r="C1566">
        <v>2010</v>
      </c>
      <c r="D1566">
        <v>5</v>
      </c>
      <c r="E1566" t="s">
        <v>27</v>
      </c>
      <c r="F1566">
        <v>162818</v>
      </c>
      <c r="G1566" t="s">
        <v>22</v>
      </c>
      <c r="H1566">
        <v>99968.62</v>
      </c>
      <c r="I1566" t="s">
        <v>60</v>
      </c>
      <c r="J1566" t="s">
        <v>18</v>
      </c>
      <c r="K1566" t="s">
        <v>26</v>
      </c>
      <c r="L1566">
        <v>16</v>
      </c>
      <c r="M1566">
        <v>0.61</v>
      </c>
      <c r="N1566" t="s">
        <v>20</v>
      </c>
    </row>
    <row r="1567" spans="1:14" x14ac:dyDescent="0.25">
      <c r="A1567">
        <v>1566</v>
      </c>
      <c r="B1567" t="s">
        <v>24</v>
      </c>
      <c r="C1567">
        <v>2006</v>
      </c>
      <c r="D1567">
        <v>5.3</v>
      </c>
      <c r="E1567" t="s">
        <v>15</v>
      </c>
      <c r="F1567">
        <v>15</v>
      </c>
      <c r="G1567" t="s">
        <v>22</v>
      </c>
      <c r="H1567">
        <v>41932.639999999999</v>
      </c>
      <c r="I1567" t="s">
        <v>35</v>
      </c>
      <c r="J1567" t="s">
        <v>18</v>
      </c>
      <c r="K1567" t="s">
        <v>50</v>
      </c>
      <c r="L1567">
        <v>20</v>
      </c>
      <c r="M1567">
        <v>2795.51</v>
      </c>
      <c r="N1567" t="s">
        <v>20</v>
      </c>
    </row>
    <row r="1568" spans="1:14" x14ac:dyDescent="0.25">
      <c r="A1568">
        <v>1567</v>
      </c>
      <c r="B1568" t="s">
        <v>43</v>
      </c>
      <c r="C1568">
        <v>2003</v>
      </c>
      <c r="D1568">
        <v>1.7</v>
      </c>
      <c r="E1568" t="s">
        <v>27</v>
      </c>
      <c r="F1568">
        <v>157029</v>
      </c>
      <c r="G1568" t="s">
        <v>22</v>
      </c>
      <c r="H1568">
        <v>41764.910000000003</v>
      </c>
      <c r="I1568" t="s">
        <v>48</v>
      </c>
      <c r="J1568" t="s">
        <v>46</v>
      </c>
      <c r="K1568" t="s">
        <v>26</v>
      </c>
      <c r="L1568">
        <v>23</v>
      </c>
      <c r="M1568">
        <v>0.27</v>
      </c>
      <c r="N1568" t="s">
        <v>20</v>
      </c>
    </row>
    <row r="1569" spans="1:14" x14ac:dyDescent="0.25">
      <c r="A1569">
        <v>1568</v>
      </c>
      <c r="B1569" t="s">
        <v>24</v>
      </c>
      <c r="C1569">
        <v>2018</v>
      </c>
      <c r="D1569">
        <v>5.8</v>
      </c>
      <c r="E1569" t="s">
        <v>27</v>
      </c>
      <c r="F1569">
        <v>81541</v>
      </c>
      <c r="G1569" t="s">
        <v>22</v>
      </c>
      <c r="H1569">
        <v>52840.27</v>
      </c>
      <c r="I1569" t="s">
        <v>25</v>
      </c>
      <c r="J1569" t="s">
        <v>18</v>
      </c>
      <c r="K1569" t="s">
        <v>19</v>
      </c>
      <c r="L1569">
        <v>8</v>
      </c>
      <c r="M1569">
        <v>0.65</v>
      </c>
      <c r="N1569" t="s">
        <v>20</v>
      </c>
    </row>
    <row r="1570" spans="1:14" x14ac:dyDescent="0.25">
      <c r="A1570">
        <v>1569</v>
      </c>
      <c r="B1570" t="s">
        <v>43</v>
      </c>
      <c r="C1570">
        <v>2000</v>
      </c>
      <c r="D1570">
        <v>2.6</v>
      </c>
      <c r="E1570" t="s">
        <v>15</v>
      </c>
      <c r="F1570">
        <v>21292</v>
      </c>
      <c r="G1570" t="s">
        <v>30</v>
      </c>
      <c r="H1570">
        <v>23078.799999999999</v>
      </c>
      <c r="I1570" t="s">
        <v>44</v>
      </c>
      <c r="J1570" t="s">
        <v>46</v>
      </c>
      <c r="K1570" t="s">
        <v>50</v>
      </c>
      <c r="L1570">
        <v>26</v>
      </c>
      <c r="M1570">
        <v>1.08</v>
      </c>
      <c r="N1570" t="s">
        <v>20</v>
      </c>
    </row>
    <row r="1571" spans="1:14" x14ac:dyDescent="0.25">
      <c r="A1571">
        <v>1570</v>
      </c>
      <c r="B1571" t="s">
        <v>14</v>
      </c>
      <c r="C1571">
        <v>2023</v>
      </c>
      <c r="D1571">
        <v>4.3</v>
      </c>
      <c r="E1571" t="s">
        <v>15</v>
      </c>
      <c r="F1571">
        <v>162948</v>
      </c>
      <c r="G1571" t="s">
        <v>22</v>
      </c>
      <c r="H1571">
        <v>88248.92</v>
      </c>
      <c r="I1571" t="s">
        <v>58</v>
      </c>
      <c r="J1571" t="s">
        <v>18</v>
      </c>
      <c r="K1571" t="s">
        <v>26</v>
      </c>
      <c r="L1571">
        <v>3</v>
      </c>
      <c r="M1571">
        <v>0.54</v>
      </c>
      <c r="N1571" t="s">
        <v>20</v>
      </c>
    </row>
    <row r="1572" spans="1:14" x14ac:dyDescent="0.25">
      <c r="A1572">
        <v>1571</v>
      </c>
      <c r="B1572" t="s">
        <v>14</v>
      </c>
      <c r="C1572">
        <v>2002</v>
      </c>
      <c r="D1572">
        <v>4.8</v>
      </c>
      <c r="E1572" t="s">
        <v>15</v>
      </c>
      <c r="F1572">
        <v>191799</v>
      </c>
      <c r="G1572" t="s">
        <v>22</v>
      </c>
      <c r="H1572">
        <v>59365.440000000002</v>
      </c>
      <c r="I1572" t="s">
        <v>17</v>
      </c>
      <c r="J1572" t="s">
        <v>18</v>
      </c>
      <c r="K1572" t="s">
        <v>26</v>
      </c>
      <c r="L1572">
        <v>24</v>
      </c>
      <c r="M1572">
        <v>0.31</v>
      </c>
      <c r="N1572" t="s">
        <v>20</v>
      </c>
    </row>
    <row r="1573" spans="1:14" x14ac:dyDescent="0.25">
      <c r="A1573">
        <v>1572</v>
      </c>
      <c r="B1573" t="s">
        <v>36</v>
      </c>
      <c r="C1573">
        <v>2012</v>
      </c>
      <c r="D1573">
        <v>5.0999999999999996</v>
      </c>
      <c r="E1573" t="s">
        <v>15</v>
      </c>
      <c r="F1573">
        <v>47046</v>
      </c>
      <c r="G1573" t="s">
        <v>16</v>
      </c>
      <c r="H1573">
        <v>23250.23</v>
      </c>
      <c r="I1573" t="s">
        <v>54</v>
      </c>
      <c r="J1573" t="s">
        <v>18</v>
      </c>
      <c r="K1573" t="s">
        <v>50</v>
      </c>
      <c r="L1573">
        <v>14</v>
      </c>
      <c r="M1573">
        <v>0.49</v>
      </c>
      <c r="N1573" t="s">
        <v>33</v>
      </c>
    </row>
    <row r="1574" spans="1:14" x14ac:dyDescent="0.25">
      <c r="A1574">
        <v>1573</v>
      </c>
      <c r="B1574" t="s">
        <v>14</v>
      </c>
      <c r="C1574">
        <v>2014</v>
      </c>
      <c r="D1574">
        <v>5.7</v>
      </c>
      <c r="E1574" t="s">
        <v>27</v>
      </c>
      <c r="F1574">
        <v>14817</v>
      </c>
      <c r="G1574" t="s">
        <v>22</v>
      </c>
      <c r="H1574">
        <v>80376.95</v>
      </c>
      <c r="I1574" t="s">
        <v>17</v>
      </c>
      <c r="J1574" t="s">
        <v>18</v>
      </c>
      <c r="K1574" t="s">
        <v>50</v>
      </c>
      <c r="L1574">
        <v>12</v>
      </c>
      <c r="M1574">
        <v>5.42</v>
      </c>
      <c r="N1574" t="s">
        <v>20</v>
      </c>
    </row>
    <row r="1575" spans="1:14" x14ac:dyDescent="0.25">
      <c r="A1575">
        <v>1574</v>
      </c>
      <c r="B1575" t="s">
        <v>36</v>
      </c>
      <c r="C1575">
        <v>2001</v>
      </c>
      <c r="D1575">
        <v>2.6</v>
      </c>
      <c r="E1575" t="s">
        <v>15</v>
      </c>
      <c r="F1575">
        <v>9759</v>
      </c>
      <c r="G1575" t="s">
        <v>22</v>
      </c>
      <c r="H1575">
        <v>8261.56</v>
      </c>
      <c r="I1575" t="s">
        <v>37</v>
      </c>
      <c r="J1575" t="s">
        <v>32</v>
      </c>
      <c r="K1575" t="s">
        <v>50</v>
      </c>
      <c r="L1575">
        <v>25</v>
      </c>
      <c r="M1575">
        <v>0.85</v>
      </c>
      <c r="N1575" t="s">
        <v>33</v>
      </c>
    </row>
    <row r="1576" spans="1:14" x14ac:dyDescent="0.25">
      <c r="A1576">
        <v>1575</v>
      </c>
      <c r="B1576" t="s">
        <v>14</v>
      </c>
      <c r="C1576">
        <v>2010</v>
      </c>
      <c r="D1576">
        <v>5.3</v>
      </c>
      <c r="E1576" t="s">
        <v>15</v>
      </c>
      <c r="F1576">
        <v>179504</v>
      </c>
      <c r="G1576" t="s">
        <v>30</v>
      </c>
      <c r="H1576">
        <v>98343.6</v>
      </c>
      <c r="I1576" t="s">
        <v>39</v>
      </c>
      <c r="J1576" t="s">
        <v>18</v>
      </c>
      <c r="K1576" t="s">
        <v>26</v>
      </c>
      <c r="L1576">
        <v>16</v>
      </c>
      <c r="M1576">
        <v>0.55000000000000004</v>
      </c>
      <c r="N1576" t="s">
        <v>20</v>
      </c>
    </row>
    <row r="1577" spans="1:14" x14ac:dyDescent="0.25">
      <c r="A1577">
        <v>1576</v>
      </c>
      <c r="B1577" t="s">
        <v>52</v>
      </c>
      <c r="C1577">
        <v>2003</v>
      </c>
      <c r="D1577">
        <v>1.7</v>
      </c>
      <c r="E1577" t="s">
        <v>15</v>
      </c>
      <c r="F1577">
        <v>268556</v>
      </c>
      <c r="G1577" t="s">
        <v>22</v>
      </c>
      <c r="H1577">
        <v>87189.19</v>
      </c>
      <c r="I1577" t="s">
        <v>53</v>
      </c>
      <c r="J1577" t="s">
        <v>32</v>
      </c>
      <c r="K1577" t="s">
        <v>26</v>
      </c>
      <c r="L1577">
        <v>23</v>
      </c>
      <c r="M1577">
        <v>0.32</v>
      </c>
      <c r="N1577" t="s">
        <v>33</v>
      </c>
    </row>
    <row r="1578" spans="1:14" x14ac:dyDescent="0.25">
      <c r="A1578">
        <v>1577</v>
      </c>
      <c r="B1578" t="s">
        <v>14</v>
      </c>
      <c r="C1578">
        <v>2018</v>
      </c>
      <c r="D1578">
        <v>4.5</v>
      </c>
      <c r="E1578" t="s">
        <v>27</v>
      </c>
      <c r="F1578">
        <v>282648</v>
      </c>
      <c r="G1578" t="s">
        <v>22</v>
      </c>
      <c r="H1578">
        <v>60065.75</v>
      </c>
      <c r="I1578" t="s">
        <v>17</v>
      </c>
      <c r="J1578" t="s">
        <v>18</v>
      </c>
      <c r="K1578" t="s">
        <v>26</v>
      </c>
      <c r="L1578">
        <v>8</v>
      </c>
      <c r="M1578">
        <v>0.21</v>
      </c>
      <c r="N1578" t="s">
        <v>20</v>
      </c>
    </row>
    <row r="1579" spans="1:14" x14ac:dyDescent="0.25">
      <c r="A1579">
        <v>1578</v>
      </c>
      <c r="B1579" t="s">
        <v>24</v>
      </c>
      <c r="C1579">
        <v>2016</v>
      </c>
      <c r="D1579">
        <v>4.7</v>
      </c>
      <c r="E1579" t="s">
        <v>15</v>
      </c>
      <c r="F1579">
        <v>270651</v>
      </c>
      <c r="G1579" t="s">
        <v>30</v>
      </c>
      <c r="H1579">
        <v>15573.09</v>
      </c>
      <c r="I1579" t="s">
        <v>25</v>
      </c>
      <c r="J1579" t="s">
        <v>41</v>
      </c>
      <c r="K1579" t="s">
        <v>26</v>
      </c>
      <c r="L1579">
        <v>10</v>
      </c>
      <c r="M1579">
        <v>0.06</v>
      </c>
      <c r="N1579" t="s">
        <v>20</v>
      </c>
    </row>
    <row r="1580" spans="1:14" x14ac:dyDescent="0.25">
      <c r="A1580">
        <v>1579</v>
      </c>
      <c r="B1580" t="s">
        <v>29</v>
      </c>
      <c r="C1580">
        <v>2002</v>
      </c>
      <c r="D1580">
        <v>4.4000000000000004</v>
      </c>
      <c r="E1580" t="s">
        <v>27</v>
      </c>
      <c r="F1580">
        <v>21050</v>
      </c>
      <c r="G1580" t="s">
        <v>22</v>
      </c>
      <c r="H1580">
        <v>25450.91</v>
      </c>
      <c r="I1580" t="s">
        <v>38</v>
      </c>
      <c r="J1580" t="s">
        <v>41</v>
      </c>
      <c r="K1580" t="s">
        <v>50</v>
      </c>
      <c r="L1580">
        <v>24</v>
      </c>
      <c r="M1580">
        <v>1.21</v>
      </c>
      <c r="N1580" t="s">
        <v>33</v>
      </c>
    </row>
    <row r="1581" spans="1:14" x14ac:dyDescent="0.25">
      <c r="A1581">
        <v>1580</v>
      </c>
      <c r="B1581" t="s">
        <v>24</v>
      </c>
      <c r="C1581">
        <v>2017</v>
      </c>
      <c r="D1581">
        <v>2.2999999999999998</v>
      </c>
      <c r="E1581" t="s">
        <v>15</v>
      </c>
      <c r="F1581">
        <v>100153</v>
      </c>
      <c r="G1581" t="s">
        <v>30</v>
      </c>
      <c r="H1581">
        <v>31546.34</v>
      </c>
      <c r="I1581" t="s">
        <v>34</v>
      </c>
      <c r="J1581" t="s">
        <v>32</v>
      </c>
      <c r="K1581" t="s">
        <v>19</v>
      </c>
      <c r="L1581">
        <v>9</v>
      </c>
      <c r="M1581">
        <v>0.31</v>
      </c>
      <c r="N1581" t="s">
        <v>20</v>
      </c>
    </row>
    <row r="1582" spans="1:14" x14ac:dyDescent="0.25">
      <c r="A1582">
        <v>1581</v>
      </c>
      <c r="B1582" t="s">
        <v>29</v>
      </c>
      <c r="C1582">
        <v>2007</v>
      </c>
      <c r="D1582">
        <v>5.4</v>
      </c>
      <c r="E1582" t="s">
        <v>27</v>
      </c>
      <c r="F1582">
        <v>275731</v>
      </c>
      <c r="G1582" t="s">
        <v>22</v>
      </c>
      <c r="H1582">
        <v>27898.02</v>
      </c>
      <c r="I1582" t="s">
        <v>40</v>
      </c>
      <c r="J1582" t="s">
        <v>41</v>
      </c>
      <c r="K1582" t="s">
        <v>26</v>
      </c>
      <c r="L1582">
        <v>19</v>
      </c>
      <c r="M1582">
        <v>0.1</v>
      </c>
      <c r="N1582" t="s">
        <v>33</v>
      </c>
    </row>
    <row r="1583" spans="1:14" x14ac:dyDescent="0.25">
      <c r="A1583">
        <v>1582</v>
      </c>
      <c r="B1583" t="s">
        <v>21</v>
      </c>
      <c r="C1583">
        <v>2021</v>
      </c>
      <c r="D1583">
        <v>1.8</v>
      </c>
      <c r="E1583" t="s">
        <v>15</v>
      </c>
      <c r="F1583">
        <v>231329</v>
      </c>
      <c r="G1583" t="s">
        <v>16</v>
      </c>
      <c r="H1583">
        <v>52264.4</v>
      </c>
      <c r="I1583" t="s">
        <v>23</v>
      </c>
      <c r="J1583" t="s">
        <v>41</v>
      </c>
      <c r="K1583" t="s">
        <v>26</v>
      </c>
      <c r="L1583">
        <v>5</v>
      </c>
      <c r="M1583">
        <v>0.23</v>
      </c>
      <c r="N1583" t="s">
        <v>20</v>
      </c>
    </row>
    <row r="1584" spans="1:14" x14ac:dyDescent="0.25">
      <c r="A1584">
        <v>1583</v>
      </c>
      <c r="B1584" t="s">
        <v>24</v>
      </c>
      <c r="C1584">
        <v>2023</v>
      </c>
      <c r="D1584">
        <v>1.3</v>
      </c>
      <c r="E1584" t="s">
        <v>15</v>
      </c>
      <c r="F1584">
        <v>57732</v>
      </c>
      <c r="G1584" t="s">
        <v>16</v>
      </c>
      <c r="H1584">
        <v>94733.24</v>
      </c>
      <c r="I1584" t="s">
        <v>35</v>
      </c>
      <c r="J1584" t="s">
        <v>18</v>
      </c>
      <c r="K1584" t="s">
        <v>19</v>
      </c>
      <c r="L1584">
        <v>3</v>
      </c>
      <c r="M1584">
        <v>1.64</v>
      </c>
      <c r="N1584" t="s">
        <v>20</v>
      </c>
    </row>
    <row r="1585" spans="1:14" x14ac:dyDescent="0.25">
      <c r="A1585">
        <v>1584</v>
      </c>
      <c r="B1585" t="s">
        <v>21</v>
      </c>
      <c r="C1585">
        <v>2018</v>
      </c>
      <c r="D1585">
        <v>4.5999999999999996</v>
      </c>
      <c r="E1585" t="s">
        <v>27</v>
      </c>
      <c r="F1585">
        <v>51921</v>
      </c>
      <c r="G1585" t="s">
        <v>22</v>
      </c>
      <c r="H1585">
        <v>47196.4</v>
      </c>
      <c r="I1585" t="s">
        <v>47</v>
      </c>
      <c r="J1585" t="s">
        <v>18</v>
      </c>
      <c r="K1585" t="s">
        <v>19</v>
      </c>
      <c r="L1585">
        <v>8</v>
      </c>
      <c r="M1585">
        <v>0.91</v>
      </c>
      <c r="N1585" t="s">
        <v>20</v>
      </c>
    </row>
    <row r="1586" spans="1:14" x14ac:dyDescent="0.25">
      <c r="A1586">
        <v>1585</v>
      </c>
      <c r="B1586" t="s">
        <v>36</v>
      </c>
      <c r="C1586">
        <v>2004</v>
      </c>
      <c r="D1586">
        <v>3.4</v>
      </c>
      <c r="E1586" t="s">
        <v>15</v>
      </c>
      <c r="F1586">
        <v>117734</v>
      </c>
      <c r="G1586" t="s">
        <v>16</v>
      </c>
      <c r="H1586">
        <v>67848.63</v>
      </c>
      <c r="I1586" t="s">
        <v>57</v>
      </c>
      <c r="J1586" t="s">
        <v>46</v>
      </c>
      <c r="K1586" t="s">
        <v>19</v>
      </c>
      <c r="L1586">
        <v>22</v>
      </c>
      <c r="M1586">
        <v>0.57999999999999996</v>
      </c>
      <c r="N1586" t="s">
        <v>33</v>
      </c>
    </row>
    <row r="1587" spans="1:14" x14ac:dyDescent="0.25">
      <c r="A1587">
        <v>1586</v>
      </c>
      <c r="B1587" t="s">
        <v>36</v>
      </c>
      <c r="C1587">
        <v>2006</v>
      </c>
      <c r="D1587">
        <v>5.2</v>
      </c>
      <c r="E1587" t="s">
        <v>15</v>
      </c>
      <c r="F1587">
        <v>137912</v>
      </c>
      <c r="G1587" t="s">
        <v>30</v>
      </c>
      <c r="H1587">
        <v>70415.399999999994</v>
      </c>
      <c r="I1587" t="s">
        <v>57</v>
      </c>
      <c r="J1587" t="s">
        <v>41</v>
      </c>
      <c r="K1587" t="s">
        <v>19</v>
      </c>
      <c r="L1587">
        <v>20</v>
      </c>
      <c r="M1587">
        <v>0.51</v>
      </c>
      <c r="N1587" t="s">
        <v>33</v>
      </c>
    </row>
    <row r="1588" spans="1:14" x14ac:dyDescent="0.25">
      <c r="A1588">
        <v>1587</v>
      </c>
      <c r="B1588" t="s">
        <v>52</v>
      </c>
      <c r="C1588">
        <v>2020</v>
      </c>
      <c r="D1588">
        <v>2.9</v>
      </c>
      <c r="E1588" t="s">
        <v>15</v>
      </c>
      <c r="F1588">
        <v>31440</v>
      </c>
      <c r="G1588" t="s">
        <v>22</v>
      </c>
      <c r="H1588">
        <v>87800.17</v>
      </c>
      <c r="I1588" t="s">
        <v>56</v>
      </c>
      <c r="J1588" t="s">
        <v>46</v>
      </c>
      <c r="K1588" t="s">
        <v>50</v>
      </c>
      <c r="L1588">
        <v>6</v>
      </c>
      <c r="M1588">
        <v>2.79</v>
      </c>
      <c r="N1588" t="s">
        <v>33</v>
      </c>
    </row>
    <row r="1589" spans="1:14" x14ac:dyDescent="0.25">
      <c r="A1589">
        <v>1588</v>
      </c>
      <c r="B1589" t="s">
        <v>14</v>
      </c>
      <c r="C1589">
        <v>2007</v>
      </c>
      <c r="D1589">
        <v>1.8</v>
      </c>
      <c r="E1589" t="s">
        <v>27</v>
      </c>
      <c r="F1589">
        <v>35183</v>
      </c>
      <c r="G1589" t="s">
        <v>30</v>
      </c>
      <c r="H1589">
        <v>8213.02</v>
      </c>
      <c r="I1589" t="s">
        <v>28</v>
      </c>
      <c r="J1589" t="s">
        <v>18</v>
      </c>
      <c r="K1589" t="s">
        <v>50</v>
      </c>
      <c r="L1589">
        <v>19</v>
      </c>
      <c r="M1589">
        <v>0.23</v>
      </c>
      <c r="N1589" t="s">
        <v>20</v>
      </c>
    </row>
    <row r="1590" spans="1:14" x14ac:dyDescent="0.25">
      <c r="A1590">
        <v>1589</v>
      </c>
      <c r="B1590" t="s">
        <v>24</v>
      </c>
      <c r="C1590">
        <v>2004</v>
      </c>
      <c r="D1590">
        <v>5.2</v>
      </c>
      <c r="E1590" t="s">
        <v>15</v>
      </c>
      <c r="F1590">
        <v>133461</v>
      </c>
      <c r="G1590" t="s">
        <v>16</v>
      </c>
      <c r="H1590">
        <v>43411.360000000001</v>
      </c>
      <c r="I1590" t="s">
        <v>25</v>
      </c>
      <c r="J1590" t="s">
        <v>41</v>
      </c>
      <c r="K1590" t="s">
        <v>19</v>
      </c>
      <c r="L1590">
        <v>22</v>
      </c>
      <c r="M1590">
        <v>0.33</v>
      </c>
      <c r="N1590" t="s">
        <v>20</v>
      </c>
    </row>
    <row r="1591" spans="1:14" x14ac:dyDescent="0.25">
      <c r="A1591">
        <v>1590</v>
      </c>
      <c r="B1591" t="s">
        <v>21</v>
      </c>
      <c r="C1591">
        <v>2016</v>
      </c>
      <c r="D1591">
        <v>3.7</v>
      </c>
      <c r="E1591" t="s">
        <v>27</v>
      </c>
      <c r="F1591">
        <v>114515</v>
      </c>
      <c r="G1591" t="s">
        <v>30</v>
      </c>
      <c r="H1591">
        <v>79549.84</v>
      </c>
      <c r="I1591" t="s">
        <v>60</v>
      </c>
      <c r="J1591" t="s">
        <v>32</v>
      </c>
      <c r="K1591" t="s">
        <v>19</v>
      </c>
      <c r="L1591">
        <v>10</v>
      </c>
      <c r="M1591">
        <v>0.69</v>
      </c>
      <c r="N1591" t="s">
        <v>20</v>
      </c>
    </row>
    <row r="1592" spans="1:14" x14ac:dyDescent="0.25">
      <c r="A1592">
        <v>1591</v>
      </c>
      <c r="B1592" t="s">
        <v>29</v>
      </c>
      <c r="C1592">
        <v>2004</v>
      </c>
      <c r="D1592">
        <v>1.9</v>
      </c>
      <c r="E1592" t="s">
        <v>27</v>
      </c>
      <c r="F1592">
        <v>220533</v>
      </c>
      <c r="G1592" t="s">
        <v>16</v>
      </c>
      <c r="H1592">
        <v>82412.37</v>
      </c>
      <c r="I1592" t="s">
        <v>31</v>
      </c>
      <c r="J1592" t="s">
        <v>41</v>
      </c>
      <c r="K1592" t="s">
        <v>26</v>
      </c>
      <c r="L1592">
        <v>22</v>
      </c>
      <c r="M1592">
        <v>0.37</v>
      </c>
      <c r="N1592" t="s">
        <v>33</v>
      </c>
    </row>
    <row r="1593" spans="1:14" x14ac:dyDescent="0.25">
      <c r="A1593">
        <v>1592</v>
      </c>
      <c r="B1593" t="s">
        <v>36</v>
      </c>
      <c r="C1593">
        <v>2003</v>
      </c>
      <c r="D1593">
        <v>4.5999999999999996</v>
      </c>
      <c r="E1593" t="s">
        <v>27</v>
      </c>
      <c r="F1593">
        <v>115503</v>
      </c>
      <c r="G1593" t="s">
        <v>16</v>
      </c>
      <c r="H1593">
        <v>93096.6</v>
      </c>
      <c r="I1593" t="s">
        <v>51</v>
      </c>
      <c r="J1593" t="s">
        <v>18</v>
      </c>
      <c r="K1593" t="s">
        <v>19</v>
      </c>
      <c r="L1593">
        <v>23</v>
      </c>
      <c r="M1593">
        <v>0.81</v>
      </c>
      <c r="N1593" t="s">
        <v>33</v>
      </c>
    </row>
    <row r="1594" spans="1:14" x14ac:dyDescent="0.25">
      <c r="A1594">
        <v>1593</v>
      </c>
      <c r="B1594" t="s">
        <v>14</v>
      </c>
      <c r="C1594">
        <v>2021</v>
      </c>
      <c r="D1594">
        <v>3.6</v>
      </c>
      <c r="E1594" t="s">
        <v>15</v>
      </c>
      <c r="F1594">
        <v>39023</v>
      </c>
      <c r="G1594" t="s">
        <v>16</v>
      </c>
      <c r="H1594">
        <v>71765.460000000006</v>
      </c>
      <c r="I1594" t="s">
        <v>39</v>
      </c>
      <c r="J1594" t="s">
        <v>18</v>
      </c>
      <c r="K1594" t="s">
        <v>50</v>
      </c>
      <c r="L1594">
        <v>5</v>
      </c>
      <c r="M1594">
        <v>1.84</v>
      </c>
      <c r="N1594" t="s">
        <v>20</v>
      </c>
    </row>
    <row r="1595" spans="1:14" x14ac:dyDescent="0.25">
      <c r="A1595">
        <v>1594</v>
      </c>
      <c r="B1595" t="s">
        <v>36</v>
      </c>
      <c r="C1595">
        <v>2018</v>
      </c>
      <c r="D1595">
        <v>4</v>
      </c>
      <c r="E1595" t="s">
        <v>27</v>
      </c>
      <c r="F1595">
        <v>181101</v>
      </c>
      <c r="G1595" t="s">
        <v>30</v>
      </c>
      <c r="H1595">
        <v>28289.62</v>
      </c>
      <c r="I1595" t="s">
        <v>51</v>
      </c>
      <c r="J1595" t="s">
        <v>32</v>
      </c>
      <c r="K1595" t="s">
        <v>26</v>
      </c>
      <c r="L1595">
        <v>8</v>
      </c>
      <c r="M1595">
        <v>0.16</v>
      </c>
      <c r="N1595" t="s">
        <v>33</v>
      </c>
    </row>
    <row r="1596" spans="1:14" x14ac:dyDescent="0.25">
      <c r="A1596">
        <v>1595</v>
      </c>
      <c r="B1596" t="s">
        <v>29</v>
      </c>
      <c r="C1596">
        <v>2020</v>
      </c>
      <c r="D1596">
        <v>3.3</v>
      </c>
      <c r="E1596" t="s">
        <v>27</v>
      </c>
      <c r="F1596">
        <v>218031</v>
      </c>
      <c r="G1596" t="s">
        <v>16</v>
      </c>
      <c r="H1596">
        <v>53038.25</v>
      </c>
      <c r="I1596" t="s">
        <v>38</v>
      </c>
      <c r="J1596" t="s">
        <v>46</v>
      </c>
      <c r="K1596" t="s">
        <v>26</v>
      </c>
      <c r="L1596">
        <v>6</v>
      </c>
      <c r="M1596">
        <v>0.24</v>
      </c>
      <c r="N1596" t="s">
        <v>33</v>
      </c>
    </row>
    <row r="1597" spans="1:14" x14ac:dyDescent="0.25">
      <c r="A1597">
        <v>1596</v>
      </c>
      <c r="B1597" t="s">
        <v>14</v>
      </c>
      <c r="C1597">
        <v>2001</v>
      </c>
      <c r="D1597">
        <v>5.0999999999999996</v>
      </c>
      <c r="E1597" t="s">
        <v>15</v>
      </c>
      <c r="F1597">
        <v>76054</v>
      </c>
      <c r="G1597" t="s">
        <v>22</v>
      </c>
      <c r="H1597">
        <v>8072.8</v>
      </c>
      <c r="I1597" t="s">
        <v>39</v>
      </c>
      <c r="J1597" t="s">
        <v>18</v>
      </c>
      <c r="K1597" t="s">
        <v>19</v>
      </c>
      <c r="L1597">
        <v>25</v>
      </c>
      <c r="M1597">
        <v>0.11</v>
      </c>
      <c r="N1597" t="s">
        <v>20</v>
      </c>
    </row>
    <row r="1598" spans="1:14" x14ac:dyDescent="0.25">
      <c r="A1598">
        <v>1597</v>
      </c>
      <c r="B1598" t="s">
        <v>14</v>
      </c>
      <c r="C1598">
        <v>2010</v>
      </c>
      <c r="D1598">
        <v>5.0999999999999996</v>
      </c>
      <c r="E1598" t="s">
        <v>27</v>
      </c>
      <c r="F1598">
        <v>61742</v>
      </c>
      <c r="G1598" t="s">
        <v>16</v>
      </c>
      <c r="H1598">
        <v>66458.19</v>
      </c>
      <c r="I1598" t="s">
        <v>39</v>
      </c>
      <c r="J1598" t="s">
        <v>18</v>
      </c>
      <c r="K1598" t="s">
        <v>19</v>
      </c>
      <c r="L1598">
        <v>16</v>
      </c>
      <c r="M1598">
        <v>1.08</v>
      </c>
      <c r="N1598" t="s">
        <v>20</v>
      </c>
    </row>
    <row r="1599" spans="1:14" x14ac:dyDescent="0.25">
      <c r="A1599">
        <v>1598</v>
      </c>
      <c r="B1599" t="s">
        <v>21</v>
      </c>
      <c r="C1599">
        <v>2021</v>
      </c>
      <c r="D1599">
        <v>4.5</v>
      </c>
      <c r="E1599" t="s">
        <v>27</v>
      </c>
      <c r="F1599">
        <v>45215</v>
      </c>
      <c r="G1599" t="s">
        <v>22</v>
      </c>
      <c r="H1599">
        <v>57658.05</v>
      </c>
      <c r="I1599" t="s">
        <v>42</v>
      </c>
      <c r="J1599" t="s">
        <v>18</v>
      </c>
      <c r="K1599" t="s">
        <v>50</v>
      </c>
      <c r="L1599">
        <v>5</v>
      </c>
      <c r="M1599">
        <v>1.28</v>
      </c>
      <c r="N1599" t="s">
        <v>20</v>
      </c>
    </row>
    <row r="1600" spans="1:14" x14ac:dyDescent="0.25">
      <c r="A1600">
        <v>1599</v>
      </c>
      <c r="B1600" t="s">
        <v>21</v>
      </c>
      <c r="C1600">
        <v>2012</v>
      </c>
      <c r="D1600">
        <v>1.5</v>
      </c>
      <c r="E1600" t="s">
        <v>15</v>
      </c>
      <c r="F1600">
        <v>159245</v>
      </c>
      <c r="G1600" t="s">
        <v>22</v>
      </c>
      <c r="H1600">
        <v>68349.45</v>
      </c>
      <c r="I1600" t="s">
        <v>60</v>
      </c>
      <c r="J1600" t="s">
        <v>18</v>
      </c>
      <c r="K1600" t="s">
        <v>26</v>
      </c>
      <c r="L1600">
        <v>14</v>
      </c>
      <c r="M1600">
        <v>0.43</v>
      </c>
      <c r="N1600" t="s">
        <v>20</v>
      </c>
    </row>
    <row r="1601" spans="1:14" x14ac:dyDescent="0.25">
      <c r="A1601">
        <v>1600</v>
      </c>
      <c r="B1601" t="s">
        <v>24</v>
      </c>
      <c r="C1601">
        <v>2014</v>
      </c>
      <c r="D1601">
        <v>5.2</v>
      </c>
      <c r="E1601" t="s">
        <v>15</v>
      </c>
      <c r="F1601">
        <v>241443</v>
      </c>
      <c r="G1601" t="s">
        <v>22</v>
      </c>
      <c r="H1601">
        <v>93363.35</v>
      </c>
      <c r="I1601" t="s">
        <v>45</v>
      </c>
      <c r="J1601" t="s">
        <v>46</v>
      </c>
      <c r="K1601" t="s">
        <v>26</v>
      </c>
      <c r="L1601">
        <v>12</v>
      </c>
      <c r="M1601">
        <v>0.39</v>
      </c>
      <c r="N1601" t="s">
        <v>20</v>
      </c>
    </row>
    <row r="1602" spans="1:14" x14ac:dyDescent="0.25">
      <c r="A1602">
        <v>1601</v>
      </c>
      <c r="B1602" t="s">
        <v>24</v>
      </c>
      <c r="C1602">
        <v>2011</v>
      </c>
      <c r="D1602">
        <v>4.4000000000000004</v>
      </c>
      <c r="E1602" t="s">
        <v>27</v>
      </c>
      <c r="F1602">
        <v>103591</v>
      </c>
      <c r="G1602" t="s">
        <v>22</v>
      </c>
      <c r="H1602">
        <v>70291.28</v>
      </c>
      <c r="I1602" t="s">
        <v>35</v>
      </c>
      <c r="J1602" t="s">
        <v>18</v>
      </c>
      <c r="K1602" t="s">
        <v>19</v>
      </c>
      <c r="L1602">
        <v>15</v>
      </c>
      <c r="M1602">
        <v>0.68</v>
      </c>
      <c r="N1602" t="s">
        <v>20</v>
      </c>
    </row>
    <row r="1603" spans="1:14" x14ac:dyDescent="0.25">
      <c r="A1603">
        <v>1602</v>
      </c>
      <c r="B1603" t="s">
        <v>43</v>
      </c>
      <c r="C1603">
        <v>2021</v>
      </c>
      <c r="D1603">
        <v>4.5</v>
      </c>
      <c r="E1603" t="s">
        <v>15</v>
      </c>
      <c r="F1603">
        <v>249045</v>
      </c>
      <c r="G1603" t="s">
        <v>30</v>
      </c>
      <c r="H1603">
        <v>35442.74</v>
      </c>
      <c r="I1603" t="s">
        <v>55</v>
      </c>
      <c r="J1603" t="s">
        <v>41</v>
      </c>
      <c r="K1603" t="s">
        <v>26</v>
      </c>
      <c r="L1603">
        <v>5</v>
      </c>
      <c r="M1603">
        <v>0.14000000000000001</v>
      </c>
      <c r="N1603" t="s">
        <v>20</v>
      </c>
    </row>
    <row r="1604" spans="1:14" x14ac:dyDescent="0.25">
      <c r="A1604">
        <v>1603</v>
      </c>
      <c r="B1604" t="s">
        <v>43</v>
      </c>
      <c r="C1604">
        <v>2020</v>
      </c>
      <c r="D1604">
        <v>2.8</v>
      </c>
      <c r="E1604" t="s">
        <v>15</v>
      </c>
      <c r="F1604">
        <v>46229</v>
      </c>
      <c r="G1604" t="s">
        <v>22</v>
      </c>
      <c r="H1604">
        <v>23879.98</v>
      </c>
      <c r="I1604" t="s">
        <v>48</v>
      </c>
      <c r="J1604" t="s">
        <v>46</v>
      </c>
      <c r="K1604" t="s">
        <v>50</v>
      </c>
      <c r="L1604">
        <v>6</v>
      </c>
      <c r="M1604">
        <v>0.52</v>
      </c>
      <c r="N1604" t="s">
        <v>20</v>
      </c>
    </row>
    <row r="1605" spans="1:14" x14ac:dyDescent="0.25">
      <c r="A1605">
        <v>1604</v>
      </c>
      <c r="B1605" t="s">
        <v>52</v>
      </c>
      <c r="C1605">
        <v>2021</v>
      </c>
      <c r="D1605">
        <v>5.4</v>
      </c>
      <c r="E1605" t="s">
        <v>15</v>
      </c>
      <c r="F1605">
        <v>62583</v>
      </c>
      <c r="G1605" t="s">
        <v>16</v>
      </c>
      <c r="H1605">
        <v>86190.44</v>
      </c>
      <c r="I1605" t="s">
        <v>53</v>
      </c>
      <c r="J1605" t="s">
        <v>32</v>
      </c>
      <c r="K1605" t="s">
        <v>19</v>
      </c>
      <c r="L1605">
        <v>5</v>
      </c>
      <c r="M1605">
        <v>1.38</v>
      </c>
      <c r="N1605" t="s">
        <v>33</v>
      </c>
    </row>
    <row r="1606" spans="1:14" x14ac:dyDescent="0.25">
      <c r="A1606">
        <v>1605</v>
      </c>
      <c r="B1606" t="s">
        <v>36</v>
      </c>
      <c r="C1606">
        <v>2010</v>
      </c>
      <c r="D1606">
        <v>4.5999999999999996</v>
      </c>
      <c r="E1606" t="s">
        <v>27</v>
      </c>
      <c r="F1606">
        <v>255931</v>
      </c>
      <c r="G1606" t="s">
        <v>22</v>
      </c>
      <c r="H1606">
        <v>23461.55</v>
      </c>
      <c r="I1606" t="s">
        <v>57</v>
      </c>
      <c r="J1606" t="s">
        <v>46</v>
      </c>
      <c r="K1606" t="s">
        <v>26</v>
      </c>
      <c r="L1606">
        <v>16</v>
      </c>
      <c r="M1606">
        <v>0.09</v>
      </c>
      <c r="N1606" t="s">
        <v>33</v>
      </c>
    </row>
    <row r="1607" spans="1:14" x14ac:dyDescent="0.25">
      <c r="A1607">
        <v>1606</v>
      </c>
      <c r="B1607" t="s">
        <v>24</v>
      </c>
      <c r="C1607">
        <v>2006</v>
      </c>
      <c r="D1607">
        <v>1.6</v>
      </c>
      <c r="E1607" t="s">
        <v>27</v>
      </c>
      <c r="F1607">
        <v>159996</v>
      </c>
      <c r="G1607" t="s">
        <v>16</v>
      </c>
      <c r="H1607">
        <v>20352.91</v>
      </c>
      <c r="I1607" t="s">
        <v>45</v>
      </c>
      <c r="J1607" t="s">
        <v>41</v>
      </c>
      <c r="K1607" t="s">
        <v>26</v>
      </c>
      <c r="L1607">
        <v>20</v>
      </c>
      <c r="M1607">
        <v>0.13</v>
      </c>
      <c r="N1607" t="s">
        <v>20</v>
      </c>
    </row>
    <row r="1608" spans="1:14" x14ac:dyDescent="0.25">
      <c r="A1608">
        <v>1607</v>
      </c>
      <c r="B1608" t="s">
        <v>21</v>
      </c>
      <c r="C1608">
        <v>2004</v>
      </c>
      <c r="D1608">
        <v>3</v>
      </c>
      <c r="E1608" t="s">
        <v>15</v>
      </c>
      <c r="F1608">
        <v>126011</v>
      </c>
      <c r="G1608" t="s">
        <v>30</v>
      </c>
      <c r="H1608">
        <v>24628.15</v>
      </c>
      <c r="I1608" t="s">
        <v>60</v>
      </c>
      <c r="J1608" t="s">
        <v>41</v>
      </c>
      <c r="K1608" t="s">
        <v>19</v>
      </c>
      <c r="L1608">
        <v>22</v>
      </c>
      <c r="M1608">
        <v>0.2</v>
      </c>
      <c r="N1608" t="s">
        <v>20</v>
      </c>
    </row>
    <row r="1609" spans="1:14" x14ac:dyDescent="0.25">
      <c r="A1609">
        <v>1608</v>
      </c>
      <c r="B1609" t="s">
        <v>29</v>
      </c>
      <c r="C1609">
        <v>2016</v>
      </c>
      <c r="D1609">
        <v>5.4</v>
      </c>
      <c r="E1609" t="s">
        <v>27</v>
      </c>
      <c r="F1609">
        <v>292248</v>
      </c>
      <c r="G1609" t="s">
        <v>22</v>
      </c>
      <c r="H1609">
        <v>53339.88</v>
      </c>
      <c r="I1609" t="s">
        <v>38</v>
      </c>
      <c r="J1609" t="s">
        <v>18</v>
      </c>
      <c r="K1609" t="s">
        <v>26</v>
      </c>
      <c r="L1609">
        <v>10</v>
      </c>
      <c r="M1609">
        <v>0.18</v>
      </c>
      <c r="N1609" t="s">
        <v>33</v>
      </c>
    </row>
    <row r="1610" spans="1:14" x14ac:dyDescent="0.25">
      <c r="A1610">
        <v>1609</v>
      </c>
      <c r="B1610" t="s">
        <v>21</v>
      </c>
      <c r="C1610">
        <v>2023</v>
      </c>
      <c r="D1610">
        <v>1.2</v>
      </c>
      <c r="E1610" t="s">
        <v>15</v>
      </c>
      <c r="F1610">
        <v>240660</v>
      </c>
      <c r="G1610" t="s">
        <v>16</v>
      </c>
      <c r="H1610">
        <v>16797.810000000001</v>
      </c>
      <c r="I1610" t="s">
        <v>23</v>
      </c>
      <c r="J1610" t="s">
        <v>46</v>
      </c>
      <c r="K1610" t="s">
        <v>26</v>
      </c>
      <c r="L1610">
        <v>3</v>
      </c>
      <c r="M1610">
        <v>7.0000000000000007E-2</v>
      </c>
      <c r="N1610" t="s">
        <v>20</v>
      </c>
    </row>
    <row r="1611" spans="1:14" x14ac:dyDescent="0.25">
      <c r="A1611">
        <v>1610</v>
      </c>
      <c r="B1611" t="s">
        <v>36</v>
      </c>
      <c r="C1611">
        <v>2019</v>
      </c>
      <c r="D1611">
        <v>5.8</v>
      </c>
      <c r="E1611" t="s">
        <v>15</v>
      </c>
      <c r="F1611">
        <v>299738</v>
      </c>
      <c r="G1611" t="s">
        <v>30</v>
      </c>
      <c r="H1611">
        <v>94121.24</v>
      </c>
      <c r="I1611" t="s">
        <v>51</v>
      </c>
      <c r="J1611" t="s">
        <v>46</v>
      </c>
      <c r="K1611" t="s">
        <v>26</v>
      </c>
      <c r="L1611">
        <v>7</v>
      </c>
      <c r="M1611">
        <v>0.31</v>
      </c>
      <c r="N1611" t="s">
        <v>33</v>
      </c>
    </row>
    <row r="1612" spans="1:14" x14ac:dyDescent="0.25">
      <c r="A1612">
        <v>1611</v>
      </c>
      <c r="B1612" t="s">
        <v>43</v>
      </c>
      <c r="C1612">
        <v>2008</v>
      </c>
      <c r="D1612">
        <v>4.4000000000000004</v>
      </c>
      <c r="E1612" t="s">
        <v>15</v>
      </c>
      <c r="F1612">
        <v>265808</v>
      </c>
      <c r="G1612" t="s">
        <v>30</v>
      </c>
      <c r="H1612">
        <v>96794.1</v>
      </c>
      <c r="I1612" t="s">
        <v>48</v>
      </c>
      <c r="J1612" t="s">
        <v>46</v>
      </c>
      <c r="K1612" t="s">
        <v>26</v>
      </c>
      <c r="L1612">
        <v>18</v>
      </c>
      <c r="M1612">
        <v>0.36</v>
      </c>
      <c r="N1612" t="s">
        <v>20</v>
      </c>
    </row>
    <row r="1613" spans="1:14" x14ac:dyDescent="0.25">
      <c r="A1613">
        <v>1612</v>
      </c>
      <c r="B1613" t="s">
        <v>21</v>
      </c>
      <c r="C1613">
        <v>2013</v>
      </c>
      <c r="D1613">
        <v>4.2</v>
      </c>
      <c r="E1613" t="s">
        <v>15</v>
      </c>
      <c r="F1613">
        <v>272672</v>
      </c>
      <c r="G1613" t="s">
        <v>16</v>
      </c>
      <c r="H1613">
        <v>97511.18</v>
      </c>
      <c r="I1613" t="s">
        <v>42</v>
      </c>
      <c r="J1613" t="s">
        <v>32</v>
      </c>
      <c r="K1613" t="s">
        <v>26</v>
      </c>
      <c r="L1613">
        <v>13</v>
      </c>
      <c r="M1613">
        <v>0.36</v>
      </c>
      <c r="N1613" t="s">
        <v>20</v>
      </c>
    </row>
    <row r="1614" spans="1:14" x14ac:dyDescent="0.25">
      <c r="A1614">
        <v>1613</v>
      </c>
      <c r="B1614" t="s">
        <v>52</v>
      </c>
      <c r="C1614">
        <v>2011</v>
      </c>
      <c r="D1614">
        <v>2.4</v>
      </c>
      <c r="E1614" t="s">
        <v>15</v>
      </c>
      <c r="F1614">
        <v>159262</v>
      </c>
      <c r="G1614" t="s">
        <v>22</v>
      </c>
      <c r="H1614">
        <v>8716.86</v>
      </c>
      <c r="I1614" t="s">
        <v>56</v>
      </c>
      <c r="J1614" t="s">
        <v>18</v>
      </c>
      <c r="K1614" t="s">
        <v>26</v>
      </c>
      <c r="L1614">
        <v>15</v>
      </c>
      <c r="M1614">
        <v>0.05</v>
      </c>
      <c r="N1614" t="s">
        <v>33</v>
      </c>
    </row>
    <row r="1615" spans="1:14" x14ac:dyDescent="0.25">
      <c r="A1615">
        <v>1614</v>
      </c>
      <c r="B1615" t="s">
        <v>36</v>
      </c>
      <c r="C1615">
        <v>2005</v>
      </c>
      <c r="D1615">
        <v>2.2000000000000002</v>
      </c>
      <c r="E1615" t="s">
        <v>27</v>
      </c>
      <c r="F1615">
        <v>197105</v>
      </c>
      <c r="G1615" t="s">
        <v>30</v>
      </c>
      <c r="H1615">
        <v>94888.77</v>
      </c>
      <c r="I1615" t="s">
        <v>37</v>
      </c>
      <c r="J1615" t="s">
        <v>41</v>
      </c>
      <c r="K1615" t="s">
        <v>26</v>
      </c>
      <c r="L1615">
        <v>21</v>
      </c>
      <c r="M1615">
        <v>0.48</v>
      </c>
      <c r="N1615" t="s">
        <v>33</v>
      </c>
    </row>
    <row r="1616" spans="1:14" x14ac:dyDescent="0.25">
      <c r="A1616">
        <v>1615</v>
      </c>
      <c r="B1616" t="s">
        <v>43</v>
      </c>
      <c r="C1616">
        <v>2016</v>
      </c>
      <c r="D1616">
        <v>5.7</v>
      </c>
      <c r="E1616" t="s">
        <v>27</v>
      </c>
      <c r="F1616">
        <v>204249</v>
      </c>
      <c r="G1616" t="s">
        <v>16</v>
      </c>
      <c r="H1616">
        <v>99754.42</v>
      </c>
      <c r="I1616" t="s">
        <v>49</v>
      </c>
      <c r="J1616" t="s">
        <v>41</v>
      </c>
      <c r="K1616" t="s">
        <v>26</v>
      </c>
      <c r="L1616">
        <v>10</v>
      </c>
      <c r="M1616">
        <v>0.49</v>
      </c>
      <c r="N1616" t="s">
        <v>20</v>
      </c>
    </row>
    <row r="1617" spans="1:14" x14ac:dyDescent="0.25">
      <c r="A1617">
        <v>1616</v>
      </c>
      <c r="B1617" t="s">
        <v>29</v>
      </c>
      <c r="C1617">
        <v>2018</v>
      </c>
      <c r="D1617">
        <v>2.5</v>
      </c>
      <c r="E1617" t="s">
        <v>27</v>
      </c>
      <c r="F1617">
        <v>128404</v>
      </c>
      <c r="G1617" t="s">
        <v>22</v>
      </c>
      <c r="H1617">
        <v>94530.77</v>
      </c>
      <c r="I1617" t="s">
        <v>38</v>
      </c>
      <c r="J1617" t="s">
        <v>18</v>
      </c>
      <c r="K1617" t="s">
        <v>19</v>
      </c>
      <c r="L1617">
        <v>8</v>
      </c>
      <c r="M1617">
        <v>0.74</v>
      </c>
      <c r="N1617" t="s">
        <v>33</v>
      </c>
    </row>
    <row r="1618" spans="1:14" x14ac:dyDescent="0.25">
      <c r="A1618">
        <v>1617</v>
      </c>
      <c r="B1618" t="s">
        <v>43</v>
      </c>
      <c r="C1618">
        <v>2018</v>
      </c>
      <c r="D1618">
        <v>4.9000000000000004</v>
      </c>
      <c r="E1618" t="s">
        <v>27</v>
      </c>
      <c r="F1618">
        <v>201664</v>
      </c>
      <c r="G1618" t="s">
        <v>30</v>
      </c>
      <c r="H1618">
        <v>68739.199999999997</v>
      </c>
      <c r="I1618" t="s">
        <v>44</v>
      </c>
      <c r="J1618" t="s">
        <v>41</v>
      </c>
      <c r="K1618" t="s">
        <v>26</v>
      </c>
      <c r="L1618">
        <v>8</v>
      </c>
      <c r="M1618">
        <v>0.34</v>
      </c>
      <c r="N1618" t="s">
        <v>20</v>
      </c>
    </row>
    <row r="1619" spans="1:14" x14ac:dyDescent="0.25">
      <c r="A1619">
        <v>1618</v>
      </c>
      <c r="B1619" t="s">
        <v>14</v>
      </c>
      <c r="C1619">
        <v>2015</v>
      </c>
      <c r="D1619">
        <v>3</v>
      </c>
      <c r="E1619" t="s">
        <v>15</v>
      </c>
      <c r="F1619">
        <v>295043</v>
      </c>
      <c r="G1619" t="s">
        <v>16</v>
      </c>
      <c r="H1619">
        <v>71616.86</v>
      </c>
      <c r="I1619" t="s">
        <v>28</v>
      </c>
      <c r="J1619" t="s">
        <v>18</v>
      </c>
      <c r="K1619" t="s">
        <v>26</v>
      </c>
      <c r="L1619">
        <v>11</v>
      </c>
      <c r="M1619">
        <v>0.24</v>
      </c>
      <c r="N1619" t="s">
        <v>20</v>
      </c>
    </row>
    <row r="1620" spans="1:14" x14ac:dyDescent="0.25">
      <c r="A1620">
        <v>1619</v>
      </c>
      <c r="B1620" t="s">
        <v>52</v>
      </c>
      <c r="C1620">
        <v>2011</v>
      </c>
      <c r="D1620">
        <v>1.7</v>
      </c>
      <c r="E1620" t="s">
        <v>15</v>
      </c>
      <c r="F1620">
        <v>17241</v>
      </c>
      <c r="G1620" t="s">
        <v>30</v>
      </c>
      <c r="H1620">
        <v>16614.03</v>
      </c>
      <c r="I1620" t="s">
        <v>56</v>
      </c>
      <c r="J1620" t="s">
        <v>18</v>
      </c>
      <c r="K1620" t="s">
        <v>50</v>
      </c>
      <c r="L1620">
        <v>15</v>
      </c>
      <c r="M1620">
        <v>0.96</v>
      </c>
      <c r="N1620" t="s">
        <v>33</v>
      </c>
    </row>
    <row r="1621" spans="1:14" x14ac:dyDescent="0.25">
      <c r="A1621">
        <v>1620</v>
      </c>
      <c r="B1621" t="s">
        <v>36</v>
      </c>
      <c r="C1621">
        <v>2011</v>
      </c>
      <c r="D1621">
        <v>1.1000000000000001</v>
      </c>
      <c r="E1621" t="s">
        <v>27</v>
      </c>
      <c r="F1621">
        <v>63472</v>
      </c>
      <c r="G1621" t="s">
        <v>30</v>
      </c>
      <c r="H1621">
        <v>88058.22</v>
      </c>
      <c r="I1621" t="s">
        <v>51</v>
      </c>
      <c r="J1621" t="s">
        <v>41</v>
      </c>
      <c r="K1621" t="s">
        <v>19</v>
      </c>
      <c r="L1621">
        <v>15</v>
      </c>
      <c r="M1621">
        <v>1.39</v>
      </c>
      <c r="N1621" t="s">
        <v>33</v>
      </c>
    </row>
    <row r="1622" spans="1:14" x14ac:dyDescent="0.25">
      <c r="A1622">
        <v>1621</v>
      </c>
      <c r="B1622" t="s">
        <v>29</v>
      </c>
      <c r="C1622">
        <v>2019</v>
      </c>
      <c r="D1622">
        <v>3.7</v>
      </c>
      <c r="E1622" t="s">
        <v>27</v>
      </c>
      <c r="F1622">
        <v>205320</v>
      </c>
      <c r="G1622" t="s">
        <v>16</v>
      </c>
      <c r="H1622">
        <v>10665.76</v>
      </c>
      <c r="I1622" t="s">
        <v>31</v>
      </c>
      <c r="J1622" t="s">
        <v>46</v>
      </c>
      <c r="K1622" t="s">
        <v>26</v>
      </c>
      <c r="L1622">
        <v>7</v>
      </c>
      <c r="M1622">
        <v>0.05</v>
      </c>
      <c r="N1622" t="s">
        <v>33</v>
      </c>
    </row>
    <row r="1623" spans="1:14" x14ac:dyDescent="0.25">
      <c r="A1623">
        <v>1622</v>
      </c>
      <c r="B1623" t="s">
        <v>52</v>
      </c>
      <c r="C1623">
        <v>2005</v>
      </c>
      <c r="D1623">
        <v>5.9</v>
      </c>
      <c r="E1623" t="s">
        <v>15</v>
      </c>
      <c r="F1623">
        <v>31346</v>
      </c>
      <c r="G1623" t="s">
        <v>30</v>
      </c>
      <c r="H1623">
        <v>35184.400000000001</v>
      </c>
      <c r="I1623" t="s">
        <v>61</v>
      </c>
      <c r="J1623" t="s">
        <v>32</v>
      </c>
      <c r="K1623" t="s">
        <v>50</v>
      </c>
      <c r="L1623">
        <v>21</v>
      </c>
      <c r="M1623">
        <v>1.1200000000000001</v>
      </c>
      <c r="N1623" t="s">
        <v>33</v>
      </c>
    </row>
    <row r="1624" spans="1:14" x14ac:dyDescent="0.25">
      <c r="A1624">
        <v>1623</v>
      </c>
      <c r="B1624" t="s">
        <v>43</v>
      </c>
      <c r="C1624">
        <v>2022</v>
      </c>
      <c r="D1624">
        <v>2.8</v>
      </c>
      <c r="E1624" t="s">
        <v>15</v>
      </c>
      <c r="F1624">
        <v>81196</v>
      </c>
      <c r="G1624" t="s">
        <v>16</v>
      </c>
      <c r="H1624">
        <v>99159.41</v>
      </c>
      <c r="I1624" t="s">
        <v>49</v>
      </c>
      <c r="J1624" t="s">
        <v>18</v>
      </c>
      <c r="K1624" t="s">
        <v>19</v>
      </c>
      <c r="L1624">
        <v>4</v>
      </c>
      <c r="M1624">
        <v>1.22</v>
      </c>
      <c r="N1624" t="s">
        <v>20</v>
      </c>
    </row>
    <row r="1625" spans="1:14" x14ac:dyDescent="0.25">
      <c r="A1625">
        <v>1624</v>
      </c>
      <c r="B1625" t="s">
        <v>52</v>
      </c>
      <c r="C1625">
        <v>2003</v>
      </c>
      <c r="D1625">
        <v>2.8</v>
      </c>
      <c r="E1625" t="s">
        <v>15</v>
      </c>
      <c r="F1625">
        <v>208196</v>
      </c>
      <c r="G1625" t="s">
        <v>22</v>
      </c>
      <c r="H1625">
        <v>45121.15</v>
      </c>
      <c r="I1625" t="s">
        <v>56</v>
      </c>
      <c r="J1625" t="s">
        <v>32</v>
      </c>
      <c r="K1625" t="s">
        <v>26</v>
      </c>
      <c r="L1625">
        <v>23</v>
      </c>
      <c r="M1625">
        <v>0.22</v>
      </c>
      <c r="N1625" t="s">
        <v>33</v>
      </c>
    </row>
    <row r="1626" spans="1:14" x14ac:dyDescent="0.25">
      <c r="A1626">
        <v>1625</v>
      </c>
      <c r="B1626" t="s">
        <v>36</v>
      </c>
      <c r="C1626">
        <v>2005</v>
      </c>
      <c r="D1626">
        <v>2.7</v>
      </c>
      <c r="E1626" t="s">
        <v>27</v>
      </c>
      <c r="F1626">
        <v>149014</v>
      </c>
      <c r="G1626" t="s">
        <v>16</v>
      </c>
      <c r="H1626">
        <v>17459.84</v>
      </c>
      <c r="I1626" t="s">
        <v>57</v>
      </c>
      <c r="J1626" t="s">
        <v>41</v>
      </c>
      <c r="K1626" t="s">
        <v>19</v>
      </c>
      <c r="L1626">
        <v>21</v>
      </c>
      <c r="M1626">
        <v>0.12</v>
      </c>
      <c r="N1626" t="s">
        <v>33</v>
      </c>
    </row>
    <row r="1627" spans="1:14" x14ac:dyDescent="0.25">
      <c r="A1627">
        <v>1626</v>
      </c>
      <c r="B1627" t="s">
        <v>24</v>
      </c>
      <c r="C1627">
        <v>2010</v>
      </c>
      <c r="D1627">
        <v>3.6</v>
      </c>
      <c r="E1627" t="s">
        <v>15</v>
      </c>
      <c r="F1627">
        <v>298517</v>
      </c>
      <c r="G1627" t="s">
        <v>22</v>
      </c>
      <c r="H1627">
        <v>97082.99</v>
      </c>
      <c r="I1627" t="s">
        <v>45</v>
      </c>
      <c r="J1627" t="s">
        <v>41</v>
      </c>
      <c r="K1627" t="s">
        <v>26</v>
      </c>
      <c r="L1627">
        <v>16</v>
      </c>
      <c r="M1627">
        <v>0.33</v>
      </c>
      <c r="N1627" t="s">
        <v>20</v>
      </c>
    </row>
    <row r="1628" spans="1:14" x14ac:dyDescent="0.25">
      <c r="A1628">
        <v>1627</v>
      </c>
      <c r="B1628" t="s">
        <v>52</v>
      </c>
      <c r="C1628">
        <v>2000</v>
      </c>
      <c r="D1628">
        <v>3.2</v>
      </c>
      <c r="E1628" t="s">
        <v>15</v>
      </c>
      <c r="F1628">
        <v>120623</v>
      </c>
      <c r="G1628" t="s">
        <v>30</v>
      </c>
      <c r="H1628">
        <v>98493.27</v>
      </c>
      <c r="I1628" t="s">
        <v>61</v>
      </c>
      <c r="J1628" t="s">
        <v>46</v>
      </c>
      <c r="K1628" t="s">
        <v>19</v>
      </c>
      <c r="L1628">
        <v>26</v>
      </c>
      <c r="M1628">
        <v>0.82</v>
      </c>
      <c r="N1628" t="s">
        <v>33</v>
      </c>
    </row>
    <row r="1629" spans="1:14" x14ac:dyDescent="0.25">
      <c r="A1629">
        <v>1628</v>
      </c>
      <c r="B1629" t="s">
        <v>14</v>
      </c>
      <c r="C1629">
        <v>2023</v>
      </c>
      <c r="D1629">
        <v>5.4</v>
      </c>
      <c r="E1629" t="s">
        <v>27</v>
      </c>
      <c r="F1629">
        <v>2016</v>
      </c>
      <c r="G1629" t="s">
        <v>16</v>
      </c>
      <c r="H1629">
        <v>22769.06</v>
      </c>
      <c r="I1629" t="s">
        <v>58</v>
      </c>
      <c r="J1629" t="s">
        <v>18</v>
      </c>
      <c r="K1629" t="s">
        <v>50</v>
      </c>
      <c r="L1629">
        <v>3</v>
      </c>
      <c r="M1629">
        <v>11.29</v>
      </c>
      <c r="N1629" t="s">
        <v>20</v>
      </c>
    </row>
    <row r="1630" spans="1:14" x14ac:dyDescent="0.25">
      <c r="A1630">
        <v>1629</v>
      </c>
      <c r="B1630" t="s">
        <v>52</v>
      </c>
      <c r="C1630">
        <v>2022</v>
      </c>
      <c r="D1630">
        <v>3.5</v>
      </c>
      <c r="E1630" t="s">
        <v>27</v>
      </c>
      <c r="F1630">
        <v>7274</v>
      </c>
      <c r="G1630" t="s">
        <v>16</v>
      </c>
      <c r="H1630">
        <v>87156.36</v>
      </c>
      <c r="I1630" t="s">
        <v>53</v>
      </c>
      <c r="J1630" t="s">
        <v>41</v>
      </c>
      <c r="K1630" t="s">
        <v>50</v>
      </c>
      <c r="L1630">
        <v>4</v>
      </c>
      <c r="M1630">
        <v>11.98</v>
      </c>
      <c r="N1630" t="s">
        <v>33</v>
      </c>
    </row>
    <row r="1631" spans="1:14" x14ac:dyDescent="0.25">
      <c r="A1631">
        <v>1630</v>
      </c>
      <c r="B1631" t="s">
        <v>43</v>
      </c>
      <c r="C1631">
        <v>2014</v>
      </c>
      <c r="D1631">
        <v>3.5</v>
      </c>
      <c r="E1631" t="s">
        <v>27</v>
      </c>
      <c r="F1631">
        <v>15748</v>
      </c>
      <c r="G1631" t="s">
        <v>16</v>
      </c>
      <c r="H1631">
        <v>42090.22</v>
      </c>
      <c r="I1631" t="s">
        <v>55</v>
      </c>
      <c r="J1631" t="s">
        <v>18</v>
      </c>
      <c r="K1631" t="s">
        <v>50</v>
      </c>
      <c r="L1631">
        <v>12</v>
      </c>
      <c r="M1631">
        <v>2.67</v>
      </c>
      <c r="N1631" t="s">
        <v>20</v>
      </c>
    </row>
    <row r="1632" spans="1:14" x14ac:dyDescent="0.25">
      <c r="A1632">
        <v>1631</v>
      </c>
      <c r="B1632" t="s">
        <v>43</v>
      </c>
      <c r="C1632">
        <v>2010</v>
      </c>
      <c r="D1632">
        <v>1.7</v>
      </c>
      <c r="E1632" t="s">
        <v>15</v>
      </c>
      <c r="F1632">
        <v>11826</v>
      </c>
      <c r="G1632" t="s">
        <v>16</v>
      </c>
      <c r="H1632">
        <v>41230</v>
      </c>
      <c r="I1632" t="s">
        <v>48</v>
      </c>
      <c r="J1632" t="s">
        <v>18</v>
      </c>
      <c r="K1632" t="s">
        <v>50</v>
      </c>
      <c r="L1632">
        <v>16</v>
      </c>
      <c r="M1632">
        <v>3.49</v>
      </c>
      <c r="N1632" t="s">
        <v>20</v>
      </c>
    </row>
    <row r="1633" spans="1:14" x14ac:dyDescent="0.25">
      <c r="A1633">
        <v>1632</v>
      </c>
      <c r="B1633" t="s">
        <v>29</v>
      </c>
      <c r="C1633">
        <v>2018</v>
      </c>
      <c r="D1633">
        <v>5.9</v>
      </c>
      <c r="E1633" t="s">
        <v>15</v>
      </c>
      <c r="F1633">
        <v>129288</v>
      </c>
      <c r="G1633" t="s">
        <v>22</v>
      </c>
      <c r="H1633">
        <v>29956.28</v>
      </c>
      <c r="I1633" t="s">
        <v>31</v>
      </c>
      <c r="J1633" t="s">
        <v>18</v>
      </c>
      <c r="K1633" t="s">
        <v>19</v>
      </c>
      <c r="L1633">
        <v>8</v>
      </c>
      <c r="M1633">
        <v>0.23</v>
      </c>
      <c r="N1633" t="s">
        <v>33</v>
      </c>
    </row>
    <row r="1634" spans="1:14" x14ac:dyDescent="0.25">
      <c r="A1634">
        <v>1633</v>
      </c>
      <c r="B1634" t="s">
        <v>43</v>
      </c>
      <c r="C1634">
        <v>2017</v>
      </c>
      <c r="D1634">
        <v>2.2000000000000002</v>
      </c>
      <c r="E1634" t="s">
        <v>27</v>
      </c>
      <c r="F1634">
        <v>201081</v>
      </c>
      <c r="G1634" t="s">
        <v>22</v>
      </c>
      <c r="H1634">
        <v>9247.48</v>
      </c>
      <c r="I1634" t="s">
        <v>49</v>
      </c>
      <c r="J1634" t="s">
        <v>18</v>
      </c>
      <c r="K1634" t="s">
        <v>26</v>
      </c>
      <c r="L1634">
        <v>9</v>
      </c>
      <c r="M1634">
        <v>0.05</v>
      </c>
      <c r="N1634" t="s">
        <v>20</v>
      </c>
    </row>
    <row r="1635" spans="1:14" x14ac:dyDescent="0.25">
      <c r="A1635">
        <v>1634</v>
      </c>
      <c r="B1635" t="s">
        <v>21</v>
      </c>
      <c r="C1635">
        <v>2016</v>
      </c>
      <c r="D1635">
        <v>1.4</v>
      </c>
      <c r="E1635" t="s">
        <v>15</v>
      </c>
      <c r="F1635">
        <v>251054</v>
      </c>
      <c r="G1635" t="s">
        <v>30</v>
      </c>
      <c r="H1635">
        <v>30460.85</v>
      </c>
      <c r="I1635" t="s">
        <v>23</v>
      </c>
      <c r="J1635" t="s">
        <v>18</v>
      </c>
      <c r="K1635" t="s">
        <v>26</v>
      </c>
      <c r="L1635">
        <v>10</v>
      </c>
      <c r="M1635">
        <v>0.12</v>
      </c>
      <c r="N1635" t="s">
        <v>20</v>
      </c>
    </row>
    <row r="1636" spans="1:14" x14ac:dyDescent="0.25">
      <c r="A1636">
        <v>1635</v>
      </c>
      <c r="B1636" t="s">
        <v>36</v>
      </c>
      <c r="C1636">
        <v>2018</v>
      </c>
      <c r="D1636">
        <v>4.3</v>
      </c>
      <c r="E1636" t="s">
        <v>15</v>
      </c>
      <c r="F1636">
        <v>172507</v>
      </c>
      <c r="G1636" t="s">
        <v>30</v>
      </c>
      <c r="H1636">
        <v>10108.81</v>
      </c>
      <c r="I1636" t="s">
        <v>57</v>
      </c>
      <c r="J1636" t="s">
        <v>32</v>
      </c>
      <c r="K1636" t="s">
        <v>26</v>
      </c>
      <c r="L1636">
        <v>8</v>
      </c>
      <c r="M1636">
        <v>0.06</v>
      </c>
      <c r="N1636" t="s">
        <v>33</v>
      </c>
    </row>
    <row r="1637" spans="1:14" x14ac:dyDescent="0.25">
      <c r="A1637">
        <v>1636</v>
      </c>
      <c r="B1637" t="s">
        <v>36</v>
      </c>
      <c r="C1637">
        <v>2020</v>
      </c>
      <c r="D1637">
        <v>4</v>
      </c>
      <c r="E1637" t="s">
        <v>15</v>
      </c>
      <c r="F1637">
        <v>206089</v>
      </c>
      <c r="G1637" t="s">
        <v>30</v>
      </c>
      <c r="H1637">
        <v>92815.34</v>
      </c>
      <c r="I1637" t="s">
        <v>57</v>
      </c>
      <c r="J1637" t="s">
        <v>46</v>
      </c>
      <c r="K1637" t="s">
        <v>26</v>
      </c>
      <c r="L1637">
        <v>6</v>
      </c>
      <c r="M1637">
        <v>0.45</v>
      </c>
      <c r="N1637" t="s">
        <v>33</v>
      </c>
    </row>
    <row r="1638" spans="1:14" x14ac:dyDescent="0.25">
      <c r="A1638">
        <v>1637</v>
      </c>
      <c r="B1638" t="s">
        <v>24</v>
      </c>
      <c r="C1638">
        <v>2013</v>
      </c>
      <c r="D1638">
        <v>3.1</v>
      </c>
      <c r="E1638" t="s">
        <v>27</v>
      </c>
      <c r="F1638">
        <v>223023</v>
      </c>
      <c r="G1638" t="s">
        <v>30</v>
      </c>
      <c r="H1638">
        <v>67863.460000000006</v>
      </c>
      <c r="I1638" t="s">
        <v>34</v>
      </c>
      <c r="J1638" t="s">
        <v>18</v>
      </c>
      <c r="K1638" t="s">
        <v>26</v>
      </c>
      <c r="L1638">
        <v>13</v>
      </c>
      <c r="M1638">
        <v>0.3</v>
      </c>
      <c r="N1638" t="s">
        <v>20</v>
      </c>
    </row>
    <row r="1639" spans="1:14" x14ac:dyDescent="0.25">
      <c r="A1639">
        <v>1638</v>
      </c>
      <c r="B1639" t="s">
        <v>24</v>
      </c>
      <c r="C1639">
        <v>2017</v>
      </c>
      <c r="D1639">
        <v>3.1</v>
      </c>
      <c r="E1639" t="s">
        <v>27</v>
      </c>
      <c r="F1639">
        <v>192949</v>
      </c>
      <c r="G1639" t="s">
        <v>16</v>
      </c>
      <c r="H1639">
        <v>89229.15</v>
      </c>
      <c r="I1639" t="s">
        <v>34</v>
      </c>
      <c r="J1639" t="s">
        <v>32</v>
      </c>
      <c r="K1639" t="s">
        <v>26</v>
      </c>
      <c r="L1639">
        <v>9</v>
      </c>
      <c r="M1639">
        <v>0.46</v>
      </c>
      <c r="N1639" t="s">
        <v>20</v>
      </c>
    </row>
    <row r="1640" spans="1:14" x14ac:dyDescent="0.25">
      <c r="A1640">
        <v>1639</v>
      </c>
      <c r="B1640" t="s">
        <v>36</v>
      </c>
      <c r="C1640">
        <v>2018</v>
      </c>
      <c r="D1640">
        <v>4.9000000000000004</v>
      </c>
      <c r="E1640" t="s">
        <v>15</v>
      </c>
      <c r="F1640">
        <v>69072</v>
      </c>
      <c r="G1640" t="s">
        <v>22</v>
      </c>
      <c r="H1640">
        <v>73142.61</v>
      </c>
      <c r="I1640" t="s">
        <v>54</v>
      </c>
      <c r="J1640" t="s">
        <v>41</v>
      </c>
      <c r="K1640" t="s">
        <v>19</v>
      </c>
      <c r="L1640">
        <v>8</v>
      </c>
      <c r="M1640">
        <v>1.06</v>
      </c>
      <c r="N1640" t="s">
        <v>33</v>
      </c>
    </row>
    <row r="1641" spans="1:14" x14ac:dyDescent="0.25">
      <c r="A1641">
        <v>1640</v>
      </c>
      <c r="B1641" t="s">
        <v>14</v>
      </c>
      <c r="C1641">
        <v>2014</v>
      </c>
      <c r="D1641">
        <v>2</v>
      </c>
      <c r="E1641" t="s">
        <v>15</v>
      </c>
      <c r="F1641">
        <v>67309</v>
      </c>
      <c r="G1641" t="s">
        <v>22</v>
      </c>
      <c r="H1641">
        <v>17472.25</v>
      </c>
      <c r="I1641" t="s">
        <v>58</v>
      </c>
      <c r="J1641" t="s">
        <v>18</v>
      </c>
      <c r="K1641" t="s">
        <v>19</v>
      </c>
      <c r="L1641">
        <v>12</v>
      </c>
      <c r="M1641">
        <v>0.26</v>
      </c>
      <c r="N1641" t="s">
        <v>20</v>
      </c>
    </row>
    <row r="1642" spans="1:14" x14ac:dyDescent="0.25">
      <c r="A1642">
        <v>1641</v>
      </c>
      <c r="B1642" t="s">
        <v>24</v>
      </c>
      <c r="C1642">
        <v>2014</v>
      </c>
      <c r="D1642">
        <v>5.0999999999999996</v>
      </c>
      <c r="E1642" t="s">
        <v>15</v>
      </c>
      <c r="F1642">
        <v>160966</v>
      </c>
      <c r="G1642" t="s">
        <v>22</v>
      </c>
      <c r="H1642">
        <v>94355.25</v>
      </c>
      <c r="I1642" t="s">
        <v>34</v>
      </c>
      <c r="J1642" t="s">
        <v>41</v>
      </c>
      <c r="K1642" t="s">
        <v>26</v>
      </c>
      <c r="L1642">
        <v>12</v>
      </c>
      <c r="M1642">
        <v>0.59</v>
      </c>
      <c r="N1642" t="s">
        <v>20</v>
      </c>
    </row>
    <row r="1643" spans="1:14" x14ac:dyDescent="0.25">
      <c r="A1643">
        <v>1642</v>
      </c>
      <c r="B1643" t="s">
        <v>29</v>
      </c>
      <c r="C1643">
        <v>2003</v>
      </c>
      <c r="D1643">
        <v>4.2</v>
      </c>
      <c r="E1643" t="s">
        <v>15</v>
      </c>
      <c r="F1643">
        <v>185639</v>
      </c>
      <c r="G1643" t="s">
        <v>22</v>
      </c>
      <c r="H1643">
        <v>90489.84</v>
      </c>
      <c r="I1643" t="s">
        <v>40</v>
      </c>
      <c r="J1643" t="s">
        <v>18</v>
      </c>
      <c r="K1643" t="s">
        <v>26</v>
      </c>
      <c r="L1643">
        <v>23</v>
      </c>
      <c r="M1643">
        <v>0.49</v>
      </c>
      <c r="N1643" t="s">
        <v>33</v>
      </c>
    </row>
    <row r="1644" spans="1:14" x14ac:dyDescent="0.25">
      <c r="A1644">
        <v>1643</v>
      </c>
      <c r="B1644" t="s">
        <v>43</v>
      </c>
      <c r="C1644">
        <v>2006</v>
      </c>
      <c r="D1644">
        <v>3.1</v>
      </c>
      <c r="E1644" t="s">
        <v>27</v>
      </c>
      <c r="F1644">
        <v>35326</v>
      </c>
      <c r="G1644" t="s">
        <v>30</v>
      </c>
      <c r="H1644">
        <v>38067.230000000003</v>
      </c>
      <c r="I1644" t="s">
        <v>44</v>
      </c>
      <c r="J1644" t="s">
        <v>32</v>
      </c>
      <c r="K1644" t="s">
        <v>50</v>
      </c>
      <c r="L1644">
        <v>20</v>
      </c>
      <c r="M1644">
        <v>1.08</v>
      </c>
      <c r="N1644" t="s">
        <v>20</v>
      </c>
    </row>
    <row r="1645" spans="1:14" x14ac:dyDescent="0.25">
      <c r="A1645">
        <v>1644</v>
      </c>
      <c r="B1645" t="s">
        <v>36</v>
      </c>
      <c r="C1645">
        <v>2012</v>
      </c>
      <c r="D1645">
        <v>3.3</v>
      </c>
      <c r="E1645" t="s">
        <v>27</v>
      </c>
      <c r="F1645">
        <v>186131</v>
      </c>
      <c r="G1645" t="s">
        <v>16</v>
      </c>
      <c r="H1645">
        <v>15595.67</v>
      </c>
      <c r="I1645" t="s">
        <v>51</v>
      </c>
      <c r="J1645" t="s">
        <v>32</v>
      </c>
      <c r="K1645" t="s">
        <v>26</v>
      </c>
      <c r="L1645">
        <v>14</v>
      </c>
      <c r="M1645">
        <v>0.08</v>
      </c>
      <c r="N1645" t="s">
        <v>33</v>
      </c>
    </row>
    <row r="1646" spans="1:14" x14ac:dyDescent="0.25">
      <c r="A1646">
        <v>1645</v>
      </c>
      <c r="B1646" t="s">
        <v>24</v>
      </c>
      <c r="C1646">
        <v>2002</v>
      </c>
      <c r="D1646">
        <v>2.2999999999999998</v>
      </c>
      <c r="E1646" t="s">
        <v>15</v>
      </c>
      <c r="F1646">
        <v>267223</v>
      </c>
      <c r="G1646" t="s">
        <v>22</v>
      </c>
      <c r="H1646">
        <v>71894.7</v>
      </c>
      <c r="I1646" t="s">
        <v>35</v>
      </c>
      <c r="J1646" t="s">
        <v>32</v>
      </c>
      <c r="K1646" t="s">
        <v>26</v>
      </c>
      <c r="L1646">
        <v>24</v>
      </c>
      <c r="M1646">
        <v>0.27</v>
      </c>
      <c r="N1646" t="s">
        <v>20</v>
      </c>
    </row>
    <row r="1647" spans="1:14" x14ac:dyDescent="0.25">
      <c r="A1647">
        <v>1646</v>
      </c>
      <c r="B1647" t="s">
        <v>36</v>
      </c>
      <c r="C1647">
        <v>2015</v>
      </c>
      <c r="D1647">
        <v>4.8</v>
      </c>
      <c r="E1647" t="s">
        <v>15</v>
      </c>
      <c r="F1647">
        <v>87340</v>
      </c>
      <c r="G1647" t="s">
        <v>16</v>
      </c>
      <c r="H1647">
        <v>74194.320000000007</v>
      </c>
      <c r="I1647" t="s">
        <v>51</v>
      </c>
      <c r="J1647" t="s">
        <v>46</v>
      </c>
      <c r="K1647" t="s">
        <v>19</v>
      </c>
      <c r="L1647">
        <v>11</v>
      </c>
      <c r="M1647">
        <v>0.85</v>
      </c>
      <c r="N1647" t="s">
        <v>33</v>
      </c>
    </row>
    <row r="1648" spans="1:14" x14ac:dyDescent="0.25">
      <c r="A1648">
        <v>1647</v>
      </c>
      <c r="B1648" t="s">
        <v>21</v>
      </c>
      <c r="C1648">
        <v>2008</v>
      </c>
      <c r="D1648">
        <v>3.6</v>
      </c>
      <c r="E1648" t="s">
        <v>27</v>
      </c>
      <c r="F1648">
        <v>167364</v>
      </c>
      <c r="G1648" t="s">
        <v>16</v>
      </c>
      <c r="H1648">
        <v>90198.76</v>
      </c>
      <c r="I1648" t="s">
        <v>60</v>
      </c>
      <c r="J1648" t="s">
        <v>41</v>
      </c>
      <c r="K1648" t="s">
        <v>26</v>
      </c>
      <c r="L1648">
        <v>18</v>
      </c>
      <c r="M1648">
        <v>0.54</v>
      </c>
      <c r="N1648" t="s">
        <v>20</v>
      </c>
    </row>
    <row r="1649" spans="1:14" x14ac:dyDescent="0.25">
      <c r="A1649">
        <v>1648</v>
      </c>
      <c r="B1649" t="s">
        <v>52</v>
      </c>
      <c r="C1649">
        <v>2007</v>
      </c>
      <c r="D1649">
        <v>2.6</v>
      </c>
      <c r="E1649" t="s">
        <v>15</v>
      </c>
      <c r="F1649">
        <v>118192</v>
      </c>
      <c r="G1649" t="s">
        <v>16</v>
      </c>
      <c r="H1649">
        <v>10002.299999999999</v>
      </c>
      <c r="I1649" t="s">
        <v>61</v>
      </c>
      <c r="J1649" t="s">
        <v>46</v>
      </c>
      <c r="K1649" t="s">
        <v>19</v>
      </c>
      <c r="L1649">
        <v>19</v>
      </c>
      <c r="M1649">
        <v>0.08</v>
      </c>
      <c r="N1649" t="s">
        <v>33</v>
      </c>
    </row>
    <row r="1650" spans="1:14" x14ac:dyDescent="0.25">
      <c r="A1650">
        <v>1649</v>
      </c>
      <c r="B1650" t="s">
        <v>43</v>
      </c>
      <c r="C1650">
        <v>2019</v>
      </c>
      <c r="D1650">
        <v>4</v>
      </c>
      <c r="E1650" t="s">
        <v>27</v>
      </c>
      <c r="F1650">
        <v>251749</v>
      </c>
      <c r="G1650" t="s">
        <v>16</v>
      </c>
      <c r="H1650">
        <v>18461.86</v>
      </c>
      <c r="I1650" t="s">
        <v>55</v>
      </c>
      <c r="J1650" t="s">
        <v>18</v>
      </c>
      <c r="K1650" t="s">
        <v>26</v>
      </c>
      <c r="L1650">
        <v>7</v>
      </c>
      <c r="M1650">
        <v>7.0000000000000007E-2</v>
      </c>
      <c r="N1650" t="s">
        <v>20</v>
      </c>
    </row>
    <row r="1651" spans="1:14" x14ac:dyDescent="0.25">
      <c r="A1651">
        <v>1650</v>
      </c>
      <c r="B1651" t="s">
        <v>36</v>
      </c>
      <c r="C1651">
        <v>2012</v>
      </c>
      <c r="D1651">
        <v>6</v>
      </c>
      <c r="E1651" t="s">
        <v>15</v>
      </c>
      <c r="F1651">
        <v>51818</v>
      </c>
      <c r="G1651" t="s">
        <v>22</v>
      </c>
      <c r="H1651">
        <v>61833.64</v>
      </c>
      <c r="I1651" t="s">
        <v>37</v>
      </c>
      <c r="J1651" t="s">
        <v>41</v>
      </c>
      <c r="K1651" t="s">
        <v>19</v>
      </c>
      <c r="L1651">
        <v>14</v>
      </c>
      <c r="M1651">
        <v>1.19</v>
      </c>
      <c r="N1651" t="s">
        <v>33</v>
      </c>
    </row>
    <row r="1652" spans="1:14" x14ac:dyDescent="0.25">
      <c r="A1652">
        <v>1651</v>
      </c>
      <c r="B1652" t="s">
        <v>52</v>
      </c>
      <c r="C1652">
        <v>2016</v>
      </c>
      <c r="D1652">
        <v>3.2</v>
      </c>
      <c r="E1652" t="s">
        <v>27</v>
      </c>
      <c r="F1652">
        <v>13429</v>
      </c>
      <c r="G1652" t="s">
        <v>22</v>
      </c>
      <c r="H1652">
        <v>63817.5</v>
      </c>
      <c r="I1652" t="s">
        <v>61</v>
      </c>
      <c r="J1652" t="s">
        <v>32</v>
      </c>
      <c r="K1652" t="s">
        <v>50</v>
      </c>
      <c r="L1652">
        <v>10</v>
      </c>
      <c r="M1652">
        <v>4.75</v>
      </c>
      <c r="N1652" t="s">
        <v>33</v>
      </c>
    </row>
    <row r="1653" spans="1:14" x14ac:dyDescent="0.25">
      <c r="A1653">
        <v>1652</v>
      </c>
      <c r="B1653" t="s">
        <v>24</v>
      </c>
      <c r="C1653">
        <v>2016</v>
      </c>
      <c r="D1653">
        <v>5.6</v>
      </c>
      <c r="E1653" t="s">
        <v>15</v>
      </c>
      <c r="F1653">
        <v>57748</v>
      </c>
      <c r="G1653" t="s">
        <v>22</v>
      </c>
      <c r="H1653">
        <v>8192.92</v>
      </c>
      <c r="I1653" t="s">
        <v>35</v>
      </c>
      <c r="J1653" t="s">
        <v>41</v>
      </c>
      <c r="K1653" t="s">
        <v>19</v>
      </c>
      <c r="L1653">
        <v>10</v>
      </c>
      <c r="M1653">
        <v>0.14000000000000001</v>
      </c>
      <c r="N1653" t="s">
        <v>20</v>
      </c>
    </row>
    <row r="1654" spans="1:14" x14ac:dyDescent="0.25">
      <c r="A1654">
        <v>1653</v>
      </c>
      <c r="B1654" t="s">
        <v>52</v>
      </c>
      <c r="C1654">
        <v>2016</v>
      </c>
      <c r="D1654">
        <v>2.7</v>
      </c>
      <c r="E1654" t="s">
        <v>15</v>
      </c>
      <c r="F1654">
        <v>48807</v>
      </c>
      <c r="G1654" t="s">
        <v>30</v>
      </c>
      <c r="H1654">
        <v>42708.54</v>
      </c>
      <c r="I1654" t="s">
        <v>61</v>
      </c>
      <c r="J1654" t="s">
        <v>32</v>
      </c>
      <c r="K1654" t="s">
        <v>50</v>
      </c>
      <c r="L1654">
        <v>10</v>
      </c>
      <c r="M1654">
        <v>0.88</v>
      </c>
      <c r="N1654" t="s">
        <v>33</v>
      </c>
    </row>
    <row r="1655" spans="1:14" x14ac:dyDescent="0.25">
      <c r="A1655">
        <v>1654</v>
      </c>
      <c r="B1655" t="s">
        <v>43</v>
      </c>
      <c r="C1655">
        <v>2000</v>
      </c>
      <c r="D1655">
        <v>1.3</v>
      </c>
      <c r="E1655" t="s">
        <v>27</v>
      </c>
      <c r="F1655">
        <v>269284</v>
      </c>
      <c r="G1655" t="s">
        <v>22</v>
      </c>
      <c r="H1655">
        <v>60495.360000000001</v>
      </c>
      <c r="I1655" t="s">
        <v>44</v>
      </c>
      <c r="J1655" t="s">
        <v>46</v>
      </c>
      <c r="K1655" t="s">
        <v>26</v>
      </c>
      <c r="L1655">
        <v>26</v>
      </c>
      <c r="M1655">
        <v>0.22</v>
      </c>
      <c r="N1655" t="s">
        <v>20</v>
      </c>
    </row>
    <row r="1656" spans="1:14" x14ac:dyDescent="0.25">
      <c r="A1656">
        <v>1655</v>
      </c>
      <c r="B1656" t="s">
        <v>36</v>
      </c>
      <c r="C1656">
        <v>2007</v>
      </c>
      <c r="D1656">
        <v>2</v>
      </c>
      <c r="E1656" t="s">
        <v>27</v>
      </c>
      <c r="F1656">
        <v>238161</v>
      </c>
      <c r="G1656" t="s">
        <v>30</v>
      </c>
      <c r="H1656">
        <v>75101.58</v>
      </c>
      <c r="I1656" t="s">
        <v>57</v>
      </c>
      <c r="J1656" t="s">
        <v>46</v>
      </c>
      <c r="K1656" t="s">
        <v>26</v>
      </c>
      <c r="L1656">
        <v>19</v>
      </c>
      <c r="M1656">
        <v>0.32</v>
      </c>
      <c r="N1656" t="s">
        <v>33</v>
      </c>
    </row>
    <row r="1657" spans="1:14" x14ac:dyDescent="0.25">
      <c r="A1657">
        <v>1656</v>
      </c>
      <c r="B1657" t="s">
        <v>21</v>
      </c>
      <c r="C1657">
        <v>2018</v>
      </c>
      <c r="D1657">
        <v>3.1</v>
      </c>
      <c r="E1657" t="s">
        <v>15</v>
      </c>
      <c r="F1657">
        <v>290669</v>
      </c>
      <c r="G1657" t="s">
        <v>30</v>
      </c>
      <c r="H1657">
        <v>35034.32</v>
      </c>
      <c r="I1657" t="s">
        <v>47</v>
      </c>
      <c r="J1657" t="s">
        <v>32</v>
      </c>
      <c r="K1657" t="s">
        <v>26</v>
      </c>
      <c r="L1657">
        <v>8</v>
      </c>
      <c r="M1657">
        <v>0.12</v>
      </c>
      <c r="N1657" t="s">
        <v>20</v>
      </c>
    </row>
    <row r="1658" spans="1:14" x14ac:dyDescent="0.25">
      <c r="A1658">
        <v>1657</v>
      </c>
      <c r="B1658" t="s">
        <v>14</v>
      </c>
      <c r="C1658">
        <v>2005</v>
      </c>
      <c r="D1658">
        <v>2.1</v>
      </c>
      <c r="E1658" t="s">
        <v>15</v>
      </c>
      <c r="F1658">
        <v>282635</v>
      </c>
      <c r="G1658" t="s">
        <v>30</v>
      </c>
      <c r="H1658">
        <v>50970.83</v>
      </c>
      <c r="I1658" t="s">
        <v>17</v>
      </c>
      <c r="J1658" t="s">
        <v>18</v>
      </c>
      <c r="K1658" t="s">
        <v>26</v>
      </c>
      <c r="L1658">
        <v>21</v>
      </c>
      <c r="M1658">
        <v>0.18</v>
      </c>
      <c r="N1658" t="s">
        <v>20</v>
      </c>
    </row>
    <row r="1659" spans="1:14" x14ac:dyDescent="0.25">
      <c r="A1659">
        <v>1658</v>
      </c>
      <c r="B1659" t="s">
        <v>24</v>
      </c>
      <c r="C1659">
        <v>2002</v>
      </c>
      <c r="D1659">
        <v>1</v>
      </c>
      <c r="E1659" t="s">
        <v>27</v>
      </c>
      <c r="F1659">
        <v>199888</v>
      </c>
      <c r="G1659" t="s">
        <v>22</v>
      </c>
      <c r="H1659">
        <v>82335.210000000006</v>
      </c>
      <c r="I1659" t="s">
        <v>25</v>
      </c>
      <c r="J1659" t="s">
        <v>18</v>
      </c>
      <c r="K1659" t="s">
        <v>26</v>
      </c>
      <c r="L1659">
        <v>24</v>
      </c>
      <c r="M1659">
        <v>0.41</v>
      </c>
      <c r="N1659" t="s">
        <v>20</v>
      </c>
    </row>
    <row r="1660" spans="1:14" x14ac:dyDescent="0.25">
      <c r="A1660">
        <v>1659</v>
      </c>
      <c r="B1660" t="s">
        <v>36</v>
      </c>
      <c r="C1660">
        <v>2004</v>
      </c>
      <c r="D1660">
        <v>5.6</v>
      </c>
      <c r="E1660" t="s">
        <v>27</v>
      </c>
      <c r="F1660">
        <v>166052</v>
      </c>
      <c r="G1660" t="s">
        <v>22</v>
      </c>
      <c r="H1660">
        <v>95620.03</v>
      </c>
      <c r="I1660" t="s">
        <v>37</v>
      </c>
      <c r="J1660" t="s">
        <v>46</v>
      </c>
      <c r="K1660" t="s">
        <v>26</v>
      </c>
      <c r="L1660">
        <v>22</v>
      </c>
      <c r="M1660">
        <v>0.57999999999999996</v>
      </c>
      <c r="N1660" t="s">
        <v>33</v>
      </c>
    </row>
    <row r="1661" spans="1:14" x14ac:dyDescent="0.25">
      <c r="A1661">
        <v>1660</v>
      </c>
      <c r="B1661" t="s">
        <v>43</v>
      </c>
      <c r="C1661">
        <v>2012</v>
      </c>
      <c r="D1661">
        <v>5.2</v>
      </c>
      <c r="E1661" t="s">
        <v>15</v>
      </c>
      <c r="F1661">
        <v>226597</v>
      </c>
      <c r="G1661" t="s">
        <v>22</v>
      </c>
      <c r="H1661">
        <v>26879.89</v>
      </c>
      <c r="I1661" t="s">
        <v>48</v>
      </c>
      <c r="J1661" t="s">
        <v>46</v>
      </c>
      <c r="K1661" t="s">
        <v>26</v>
      </c>
      <c r="L1661">
        <v>14</v>
      </c>
      <c r="M1661">
        <v>0.12</v>
      </c>
      <c r="N1661" t="s">
        <v>20</v>
      </c>
    </row>
    <row r="1662" spans="1:14" x14ac:dyDescent="0.25">
      <c r="A1662">
        <v>1661</v>
      </c>
      <c r="B1662" t="s">
        <v>24</v>
      </c>
      <c r="C1662">
        <v>2014</v>
      </c>
      <c r="D1662">
        <v>4.7</v>
      </c>
      <c r="E1662" t="s">
        <v>15</v>
      </c>
      <c r="F1662">
        <v>8078</v>
      </c>
      <c r="G1662" t="s">
        <v>30</v>
      </c>
      <c r="H1662">
        <v>29039.01</v>
      </c>
      <c r="I1662" t="s">
        <v>25</v>
      </c>
      <c r="J1662" t="s">
        <v>18</v>
      </c>
      <c r="K1662" t="s">
        <v>50</v>
      </c>
      <c r="L1662">
        <v>12</v>
      </c>
      <c r="M1662">
        <v>3.59</v>
      </c>
      <c r="N1662" t="s">
        <v>20</v>
      </c>
    </row>
    <row r="1663" spans="1:14" x14ac:dyDescent="0.25">
      <c r="A1663">
        <v>1662</v>
      </c>
      <c r="B1663" t="s">
        <v>29</v>
      </c>
      <c r="C1663">
        <v>2013</v>
      </c>
      <c r="D1663">
        <v>1.8</v>
      </c>
      <c r="E1663" t="s">
        <v>27</v>
      </c>
      <c r="F1663">
        <v>91654</v>
      </c>
      <c r="G1663" t="s">
        <v>30</v>
      </c>
      <c r="H1663">
        <v>94282.73</v>
      </c>
      <c r="I1663" t="s">
        <v>31</v>
      </c>
      <c r="J1663" t="s">
        <v>46</v>
      </c>
      <c r="K1663" t="s">
        <v>19</v>
      </c>
      <c r="L1663">
        <v>13</v>
      </c>
      <c r="M1663">
        <v>1.03</v>
      </c>
      <c r="N1663" t="s">
        <v>33</v>
      </c>
    </row>
    <row r="1664" spans="1:14" x14ac:dyDescent="0.25">
      <c r="A1664">
        <v>1663</v>
      </c>
      <c r="B1664" t="s">
        <v>52</v>
      </c>
      <c r="C1664">
        <v>2022</v>
      </c>
      <c r="D1664">
        <v>1.6</v>
      </c>
      <c r="E1664" t="s">
        <v>27</v>
      </c>
      <c r="F1664">
        <v>129101</v>
      </c>
      <c r="G1664" t="s">
        <v>16</v>
      </c>
      <c r="H1664">
        <v>42611.56</v>
      </c>
      <c r="I1664" t="s">
        <v>61</v>
      </c>
      <c r="J1664" t="s">
        <v>32</v>
      </c>
      <c r="K1664" t="s">
        <v>19</v>
      </c>
      <c r="L1664">
        <v>4</v>
      </c>
      <c r="M1664">
        <v>0.33</v>
      </c>
      <c r="N1664" t="s">
        <v>33</v>
      </c>
    </row>
    <row r="1665" spans="1:14" x14ac:dyDescent="0.25">
      <c r="A1665">
        <v>1664</v>
      </c>
      <c r="B1665" t="s">
        <v>14</v>
      </c>
      <c r="C1665">
        <v>2015</v>
      </c>
      <c r="D1665">
        <v>1.3</v>
      </c>
      <c r="E1665" t="s">
        <v>27</v>
      </c>
      <c r="F1665">
        <v>16997</v>
      </c>
      <c r="G1665" t="s">
        <v>30</v>
      </c>
      <c r="H1665">
        <v>73243.09</v>
      </c>
      <c r="I1665" t="s">
        <v>39</v>
      </c>
      <c r="J1665" t="s">
        <v>18</v>
      </c>
      <c r="K1665" t="s">
        <v>50</v>
      </c>
      <c r="L1665">
        <v>11</v>
      </c>
      <c r="M1665">
        <v>4.3099999999999996</v>
      </c>
      <c r="N1665" t="s">
        <v>20</v>
      </c>
    </row>
    <row r="1666" spans="1:14" x14ac:dyDescent="0.25">
      <c r="A1666">
        <v>1665</v>
      </c>
      <c r="B1666" t="s">
        <v>43</v>
      </c>
      <c r="C1666">
        <v>2017</v>
      </c>
      <c r="D1666">
        <v>4.5999999999999996</v>
      </c>
      <c r="E1666" t="s">
        <v>27</v>
      </c>
      <c r="F1666">
        <v>131940</v>
      </c>
      <c r="G1666" t="s">
        <v>30</v>
      </c>
      <c r="H1666">
        <v>63165.2</v>
      </c>
      <c r="I1666" t="s">
        <v>48</v>
      </c>
      <c r="J1666" t="s">
        <v>41</v>
      </c>
      <c r="K1666" t="s">
        <v>19</v>
      </c>
      <c r="L1666">
        <v>9</v>
      </c>
      <c r="M1666">
        <v>0.48</v>
      </c>
      <c r="N1666" t="s">
        <v>20</v>
      </c>
    </row>
    <row r="1667" spans="1:14" x14ac:dyDescent="0.25">
      <c r="A1667">
        <v>1666</v>
      </c>
      <c r="B1667" t="s">
        <v>29</v>
      </c>
      <c r="C1667">
        <v>2021</v>
      </c>
      <c r="D1667">
        <v>5.6</v>
      </c>
      <c r="E1667" t="s">
        <v>27</v>
      </c>
      <c r="F1667">
        <v>212650</v>
      </c>
      <c r="G1667" t="s">
        <v>22</v>
      </c>
      <c r="H1667">
        <v>32130.83</v>
      </c>
      <c r="I1667" t="s">
        <v>40</v>
      </c>
      <c r="J1667" t="s">
        <v>46</v>
      </c>
      <c r="K1667" t="s">
        <v>26</v>
      </c>
      <c r="L1667">
        <v>5</v>
      </c>
      <c r="M1667">
        <v>0.15</v>
      </c>
      <c r="N1667" t="s">
        <v>33</v>
      </c>
    </row>
    <row r="1668" spans="1:14" x14ac:dyDescent="0.25">
      <c r="A1668">
        <v>1667</v>
      </c>
      <c r="B1668" t="s">
        <v>36</v>
      </c>
      <c r="C1668">
        <v>2021</v>
      </c>
      <c r="D1668">
        <v>3.2</v>
      </c>
      <c r="E1668" t="s">
        <v>15</v>
      </c>
      <c r="F1668">
        <v>283390</v>
      </c>
      <c r="G1668" t="s">
        <v>16</v>
      </c>
      <c r="H1668">
        <v>67088.41</v>
      </c>
      <c r="I1668" t="s">
        <v>51</v>
      </c>
      <c r="J1668" t="s">
        <v>18</v>
      </c>
      <c r="K1668" t="s">
        <v>26</v>
      </c>
      <c r="L1668">
        <v>5</v>
      </c>
      <c r="M1668">
        <v>0.24</v>
      </c>
      <c r="N1668" t="s">
        <v>33</v>
      </c>
    </row>
    <row r="1669" spans="1:14" x14ac:dyDescent="0.25">
      <c r="A1669">
        <v>1668</v>
      </c>
      <c r="B1669" t="s">
        <v>21</v>
      </c>
      <c r="C1669">
        <v>2010</v>
      </c>
      <c r="D1669">
        <v>1.6</v>
      </c>
      <c r="E1669" t="s">
        <v>15</v>
      </c>
      <c r="F1669">
        <v>151633</v>
      </c>
      <c r="G1669" t="s">
        <v>16</v>
      </c>
      <c r="H1669">
        <v>67278.759999999995</v>
      </c>
      <c r="I1669" t="s">
        <v>47</v>
      </c>
      <c r="J1669" t="s">
        <v>32</v>
      </c>
      <c r="K1669" t="s">
        <v>26</v>
      </c>
      <c r="L1669">
        <v>16</v>
      </c>
      <c r="M1669">
        <v>0.44</v>
      </c>
      <c r="N1669" t="s">
        <v>20</v>
      </c>
    </row>
    <row r="1670" spans="1:14" x14ac:dyDescent="0.25">
      <c r="A1670">
        <v>1669</v>
      </c>
      <c r="B1670" t="s">
        <v>24</v>
      </c>
      <c r="C1670">
        <v>2002</v>
      </c>
      <c r="D1670">
        <v>3.6</v>
      </c>
      <c r="E1670" t="s">
        <v>27</v>
      </c>
      <c r="F1670">
        <v>34512</v>
      </c>
      <c r="G1670" t="s">
        <v>16</v>
      </c>
      <c r="H1670">
        <v>61282.1</v>
      </c>
      <c r="I1670" t="s">
        <v>25</v>
      </c>
      <c r="J1670" t="s">
        <v>41</v>
      </c>
      <c r="K1670" t="s">
        <v>50</v>
      </c>
      <c r="L1670">
        <v>24</v>
      </c>
      <c r="M1670">
        <v>1.78</v>
      </c>
      <c r="N1670" t="s">
        <v>20</v>
      </c>
    </row>
    <row r="1671" spans="1:14" x14ac:dyDescent="0.25">
      <c r="A1671">
        <v>1670</v>
      </c>
      <c r="B1671" t="s">
        <v>52</v>
      </c>
      <c r="C1671">
        <v>2021</v>
      </c>
      <c r="D1671">
        <v>2.7</v>
      </c>
      <c r="E1671" t="s">
        <v>15</v>
      </c>
      <c r="F1671">
        <v>225226</v>
      </c>
      <c r="G1671" t="s">
        <v>22</v>
      </c>
      <c r="H1671">
        <v>14467.78</v>
      </c>
      <c r="I1671" t="s">
        <v>59</v>
      </c>
      <c r="J1671" t="s">
        <v>32</v>
      </c>
      <c r="K1671" t="s">
        <v>26</v>
      </c>
      <c r="L1671">
        <v>5</v>
      </c>
      <c r="M1671">
        <v>0.06</v>
      </c>
      <c r="N1671" t="s">
        <v>33</v>
      </c>
    </row>
    <row r="1672" spans="1:14" x14ac:dyDescent="0.25">
      <c r="A1672">
        <v>1671</v>
      </c>
      <c r="B1672" t="s">
        <v>24</v>
      </c>
      <c r="C1672">
        <v>2009</v>
      </c>
      <c r="D1672">
        <v>2.9</v>
      </c>
      <c r="E1672" t="s">
        <v>15</v>
      </c>
      <c r="F1672">
        <v>208467</v>
      </c>
      <c r="G1672" t="s">
        <v>16</v>
      </c>
      <c r="H1672">
        <v>99541.32</v>
      </c>
      <c r="I1672" t="s">
        <v>45</v>
      </c>
      <c r="J1672" t="s">
        <v>46</v>
      </c>
      <c r="K1672" t="s">
        <v>26</v>
      </c>
      <c r="L1672">
        <v>17</v>
      </c>
      <c r="M1672">
        <v>0.48</v>
      </c>
      <c r="N1672" t="s">
        <v>20</v>
      </c>
    </row>
    <row r="1673" spans="1:14" x14ac:dyDescent="0.25">
      <c r="A1673">
        <v>1672</v>
      </c>
      <c r="B1673" t="s">
        <v>14</v>
      </c>
      <c r="C1673">
        <v>2009</v>
      </c>
      <c r="D1673">
        <v>4.0999999999999996</v>
      </c>
      <c r="E1673" t="s">
        <v>27</v>
      </c>
      <c r="F1673">
        <v>72144</v>
      </c>
      <c r="G1673" t="s">
        <v>16</v>
      </c>
      <c r="H1673">
        <v>43039.56</v>
      </c>
      <c r="I1673" t="s">
        <v>17</v>
      </c>
      <c r="J1673" t="s">
        <v>18</v>
      </c>
      <c r="K1673" t="s">
        <v>19</v>
      </c>
      <c r="L1673">
        <v>17</v>
      </c>
      <c r="M1673">
        <v>0.6</v>
      </c>
      <c r="N1673" t="s">
        <v>20</v>
      </c>
    </row>
    <row r="1674" spans="1:14" x14ac:dyDescent="0.25">
      <c r="A1674">
        <v>1673</v>
      </c>
      <c r="B1674" t="s">
        <v>36</v>
      </c>
      <c r="C1674">
        <v>2020</v>
      </c>
      <c r="D1674">
        <v>4.5999999999999996</v>
      </c>
      <c r="E1674" t="s">
        <v>15</v>
      </c>
      <c r="F1674">
        <v>173557</v>
      </c>
      <c r="G1674" t="s">
        <v>22</v>
      </c>
      <c r="H1674">
        <v>65633.84</v>
      </c>
      <c r="I1674" t="s">
        <v>51</v>
      </c>
      <c r="J1674" t="s">
        <v>41</v>
      </c>
      <c r="K1674" t="s">
        <v>26</v>
      </c>
      <c r="L1674">
        <v>6</v>
      </c>
      <c r="M1674">
        <v>0.38</v>
      </c>
      <c r="N1674" t="s">
        <v>33</v>
      </c>
    </row>
    <row r="1675" spans="1:14" x14ac:dyDescent="0.25">
      <c r="A1675">
        <v>1674</v>
      </c>
      <c r="B1675" t="s">
        <v>24</v>
      </c>
      <c r="C1675">
        <v>2015</v>
      </c>
      <c r="D1675">
        <v>1.6</v>
      </c>
      <c r="E1675" t="s">
        <v>15</v>
      </c>
      <c r="F1675">
        <v>117363</v>
      </c>
      <c r="G1675" t="s">
        <v>16</v>
      </c>
      <c r="H1675">
        <v>89147.36</v>
      </c>
      <c r="I1675" t="s">
        <v>25</v>
      </c>
      <c r="J1675" t="s">
        <v>46</v>
      </c>
      <c r="K1675" t="s">
        <v>19</v>
      </c>
      <c r="L1675">
        <v>11</v>
      </c>
      <c r="M1675">
        <v>0.76</v>
      </c>
      <c r="N1675" t="s">
        <v>20</v>
      </c>
    </row>
    <row r="1676" spans="1:14" x14ac:dyDescent="0.25">
      <c r="A1676">
        <v>1675</v>
      </c>
      <c r="B1676" t="s">
        <v>52</v>
      </c>
      <c r="C1676">
        <v>2011</v>
      </c>
      <c r="D1676">
        <v>1.2</v>
      </c>
      <c r="E1676" t="s">
        <v>15</v>
      </c>
      <c r="F1676">
        <v>201484</v>
      </c>
      <c r="G1676" t="s">
        <v>30</v>
      </c>
      <c r="H1676">
        <v>45212.41</v>
      </c>
      <c r="I1676" t="s">
        <v>59</v>
      </c>
      <c r="J1676" t="s">
        <v>18</v>
      </c>
      <c r="K1676" t="s">
        <v>26</v>
      </c>
      <c r="L1676">
        <v>15</v>
      </c>
      <c r="M1676">
        <v>0.22</v>
      </c>
      <c r="N1676" t="s">
        <v>33</v>
      </c>
    </row>
    <row r="1677" spans="1:14" x14ac:dyDescent="0.25">
      <c r="A1677">
        <v>1676</v>
      </c>
      <c r="B1677" t="s">
        <v>36</v>
      </c>
      <c r="C1677">
        <v>2001</v>
      </c>
      <c r="D1677">
        <v>6</v>
      </c>
      <c r="E1677" t="s">
        <v>27</v>
      </c>
      <c r="F1677">
        <v>181675</v>
      </c>
      <c r="G1677" t="s">
        <v>30</v>
      </c>
      <c r="H1677">
        <v>78522.880000000005</v>
      </c>
      <c r="I1677" t="s">
        <v>51</v>
      </c>
      <c r="J1677" t="s">
        <v>46</v>
      </c>
      <c r="K1677" t="s">
        <v>26</v>
      </c>
      <c r="L1677">
        <v>25</v>
      </c>
      <c r="M1677">
        <v>0.43</v>
      </c>
      <c r="N1677" t="s">
        <v>33</v>
      </c>
    </row>
    <row r="1678" spans="1:14" x14ac:dyDescent="0.25">
      <c r="A1678">
        <v>1677</v>
      </c>
      <c r="B1678" t="s">
        <v>24</v>
      </c>
      <c r="C1678">
        <v>2008</v>
      </c>
      <c r="D1678">
        <v>2.2000000000000002</v>
      </c>
      <c r="E1678" t="s">
        <v>27</v>
      </c>
      <c r="F1678">
        <v>152110</v>
      </c>
      <c r="G1678" t="s">
        <v>30</v>
      </c>
      <c r="H1678">
        <v>97323.32</v>
      </c>
      <c r="I1678" t="s">
        <v>45</v>
      </c>
      <c r="J1678" t="s">
        <v>46</v>
      </c>
      <c r="K1678" t="s">
        <v>26</v>
      </c>
      <c r="L1678">
        <v>18</v>
      </c>
      <c r="M1678">
        <v>0.64</v>
      </c>
      <c r="N1678" t="s">
        <v>20</v>
      </c>
    </row>
    <row r="1679" spans="1:14" x14ac:dyDescent="0.25">
      <c r="A1679">
        <v>1678</v>
      </c>
      <c r="B1679" t="s">
        <v>21</v>
      </c>
      <c r="C1679">
        <v>2023</v>
      </c>
      <c r="D1679">
        <v>1.3</v>
      </c>
      <c r="E1679" t="s">
        <v>15</v>
      </c>
      <c r="F1679">
        <v>93542</v>
      </c>
      <c r="G1679" t="s">
        <v>30</v>
      </c>
      <c r="H1679">
        <v>39098.800000000003</v>
      </c>
      <c r="I1679" t="s">
        <v>23</v>
      </c>
      <c r="J1679" t="s">
        <v>46</v>
      </c>
      <c r="K1679" t="s">
        <v>19</v>
      </c>
      <c r="L1679">
        <v>3</v>
      </c>
      <c r="M1679">
        <v>0.42</v>
      </c>
      <c r="N1679" t="s">
        <v>20</v>
      </c>
    </row>
    <row r="1680" spans="1:14" x14ac:dyDescent="0.25">
      <c r="A1680">
        <v>1679</v>
      </c>
      <c r="B1680" t="s">
        <v>43</v>
      </c>
      <c r="C1680">
        <v>2002</v>
      </c>
      <c r="D1680">
        <v>1.9</v>
      </c>
      <c r="E1680" t="s">
        <v>15</v>
      </c>
      <c r="F1680">
        <v>276469</v>
      </c>
      <c r="G1680" t="s">
        <v>30</v>
      </c>
      <c r="H1680">
        <v>43500.61</v>
      </c>
      <c r="I1680" t="s">
        <v>48</v>
      </c>
      <c r="J1680" t="s">
        <v>32</v>
      </c>
      <c r="K1680" t="s">
        <v>26</v>
      </c>
      <c r="L1680">
        <v>24</v>
      </c>
      <c r="M1680">
        <v>0.16</v>
      </c>
      <c r="N1680" t="s">
        <v>20</v>
      </c>
    </row>
    <row r="1681" spans="1:14" x14ac:dyDescent="0.25">
      <c r="A1681">
        <v>1680</v>
      </c>
      <c r="B1681" t="s">
        <v>36</v>
      </c>
      <c r="C1681">
        <v>2023</v>
      </c>
      <c r="D1681">
        <v>1.2</v>
      </c>
      <c r="E1681" t="s">
        <v>15</v>
      </c>
      <c r="F1681">
        <v>166964</v>
      </c>
      <c r="G1681" t="s">
        <v>30</v>
      </c>
      <c r="H1681">
        <v>91029.73</v>
      </c>
      <c r="I1681" t="s">
        <v>54</v>
      </c>
      <c r="J1681" t="s">
        <v>32</v>
      </c>
      <c r="K1681" t="s">
        <v>26</v>
      </c>
      <c r="L1681">
        <v>3</v>
      </c>
      <c r="M1681">
        <v>0.55000000000000004</v>
      </c>
      <c r="N1681" t="s">
        <v>33</v>
      </c>
    </row>
    <row r="1682" spans="1:14" x14ac:dyDescent="0.25">
      <c r="A1682">
        <v>1681</v>
      </c>
      <c r="B1682" t="s">
        <v>43</v>
      </c>
      <c r="C1682">
        <v>2014</v>
      </c>
      <c r="D1682">
        <v>3</v>
      </c>
      <c r="E1682" t="s">
        <v>15</v>
      </c>
      <c r="F1682">
        <v>149068</v>
      </c>
      <c r="G1682" t="s">
        <v>30</v>
      </c>
      <c r="H1682">
        <v>20166.07</v>
      </c>
      <c r="I1682" t="s">
        <v>44</v>
      </c>
      <c r="J1682" t="s">
        <v>41</v>
      </c>
      <c r="K1682" t="s">
        <v>19</v>
      </c>
      <c r="L1682">
        <v>12</v>
      </c>
      <c r="M1682">
        <v>0.14000000000000001</v>
      </c>
      <c r="N1682" t="s">
        <v>20</v>
      </c>
    </row>
    <row r="1683" spans="1:14" x14ac:dyDescent="0.25">
      <c r="A1683">
        <v>1682</v>
      </c>
      <c r="B1683" t="s">
        <v>36</v>
      </c>
      <c r="C1683">
        <v>2002</v>
      </c>
      <c r="D1683">
        <v>5</v>
      </c>
      <c r="E1683" t="s">
        <v>15</v>
      </c>
      <c r="F1683">
        <v>205355</v>
      </c>
      <c r="G1683" t="s">
        <v>30</v>
      </c>
      <c r="H1683">
        <v>7716.51</v>
      </c>
      <c r="I1683" t="s">
        <v>37</v>
      </c>
      <c r="J1683" t="s">
        <v>41</v>
      </c>
      <c r="K1683" t="s">
        <v>26</v>
      </c>
      <c r="L1683">
        <v>24</v>
      </c>
      <c r="M1683">
        <v>0.04</v>
      </c>
      <c r="N1683" t="s">
        <v>33</v>
      </c>
    </row>
    <row r="1684" spans="1:14" x14ac:dyDescent="0.25">
      <c r="A1684">
        <v>1683</v>
      </c>
      <c r="B1684" t="s">
        <v>21</v>
      </c>
      <c r="C1684">
        <v>2018</v>
      </c>
      <c r="D1684">
        <v>2.7</v>
      </c>
      <c r="E1684" t="s">
        <v>15</v>
      </c>
      <c r="F1684">
        <v>116737</v>
      </c>
      <c r="G1684" t="s">
        <v>30</v>
      </c>
      <c r="H1684">
        <v>91344.46</v>
      </c>
      <c r="I1684" t="s">
        <v>60</v>
      </c>
      <c r="J1684" t="s">
        <v>41</v>
      </c>
      <c r="K1684" t="s">
        <v>19</v>
      </c>
      <c r="L1684">
        <v>8</v>
      </c>
      <c r="M1684">
        <v>0.78</v>
      </c>
      <c r="N1684" t="s">
        <v>20</v>
      </c>
    </row>
    <row r="1685" spans="1:14" x14ac:dyDescent="0.25">
      <c r="A1685">
        <v>1684</v>
      </c>
      <c r="B1685" t="s">
        <v>43</v>
      </c>
      <c r="C1685">
        <v>2017</v>
      </c>
      <c r="D1685">
        <v>3.2</v>
      </c>
      <c r="E1685" t="s">
        <v>27</v>
      </c>
      <c r="F1685">
        <v>262968</v>
      </c>
      <c r="G1685" t="s">
        <v>22</v>
      </c>
      <c r="H1685">
        <v>83051.199999999997</v>
      </c>
      <c r="I1685" t="s">
        <v>55</v>
      </c>
      <c r="J1685" t="s">
        <v>46</v>
      </c>
      <c r="K1685" t="s">
        <v>26</v>
      </c>
      <c r="L1685">
        <v>9</v>
      </c>
      <c r="M1685">
        <v>0.32</v>
      </c>
      <c r="N1685" t="s">
        <v>20</v>
      </c>
    </row>
    <row r="1686" spans="1:14" x14ac:dyDescent="0.25">
      <c r="A1686">
        <v>1685</v>
      </c>
      <c r="B1686" t="s">
        <v>29</v>
      </c>
      <c r="C1686">
        <v>2007</v>
      </c>
      <c r="D1686">
        <v>4.4000000000000004</v>
      </c>
      <c r="E1686" t="s">
        <v>15</v>
      </c>
      <c r="F1686">
        <v>240417</v>
      </c>
      <c r="G1686" t="s">
        <v>22</v>
      </c>
      <c r="H1686">
        <v>97395.39</v>
      </c>
      <c r="I1686" t="s">
        <v>38</v>
      </c>
      <c r="J1686" t="s">
        <v>32</v>
      </c>
      <c r="K1686" t="s">
        <v>26</v>
      </c>
      <c r="L1686">
        <v>19</v>
      </c>
      <c r="M1686">
        <v>0.41</v>
      </c>
      <c r="N1686" t="s">
        <v>33</v>
      </c>
    </row>
    <row r="1687" spans="1:14" x14ac:dyDescent="0.25">
      <c r="A1687">
        <v>1686</v>
      </c>
      <c r="B1687" t="s">
        <v>52</v>
      </c>
      <c r="C1687">
        <v>2016</v>
      </c>
      <c r="D1687">
        <v>3.5</v>
      </c>
      <c r="E1687" t="s">
        <v>15</v>
      </c>
      <c r="F1687">
        <v>117718</v>
      </c>
      <c r="G1687" t="s">
        <v>30</v>
      </c>
      <c r="H1687">
        <v>10532.59</v>
      </c>
      <c r="I1687" t="s">
        <v>61</v>
      </c>
      <c r="J1687" t="s">
        <v>18</v>
      </c>
      <c r="K1687" t="s">
        <v>19</v>
      </c>
      <c r="L1687">
        <v>10</v>
      </c>
      <c r="M1687">
        <v>0.09</v>
      </c>
      <c r="N1687" t="s">
        <v>33</v>
      </c>
    </row>
    <row r="1688" spans="1:14" x14ac:dyDescent="0.25">
      <c r="A1688">
        <v>1687</v>
      </c>
      <c r="B1688" t="s">
        <v>29</v>
      </c>
      <c r="C1688">
        <v>2007</v>
      </c>
      <c r="D1688">
        <v>5.3</v>
      </c>
      <c r="E1688" t="s">
        <v>27</v>
      </c>
      <c r="F1688">
        <v>273661</v>
      </c>
      <c r="G1688" t="s">
        <v>22</v>
      </c>
      <c r="H1688">
        <v>19836.849999999999</v>
      </c>
      <c r="I1688" t="s">
        <v>31</v>
      </c>
      <c r="J1688" t="s">
        <v>46</v>
      </c>
      <c r="K1688" t="s">
        <v>26</v>
      </c>
      <c r="L1688">
        <v>19</v>
      </c>
      <c r="M1688">
        <v>7.0000000000000007E-2</v>
      </c>
      <c r="N1688" t="s">
        <v>33</v>
      </c>
    </row>
    <row r="1689" spans="1:14" x14ac:dyDescent="0.25">
      <c r="A1689">
        <v>1688</v>
      </c>
      <c r="B1689" t="s">
        <v>24</v>
      </c>
      <c r="C1689">
        <v>2006</v>
      </c>
      <c r="D1689">
        <v>5.3</v>
      </c>
      <c r="E1689" t="s">
        <v>15</v>
      </c>
      <c r="F1689">
        <v>152755</v>
      </c>
      <c r="G1689" t="s">
        <v>22</v>
      </c>
      <c r="H1689">
        <v>15004.69</v>
      </c>
      <c r="I1689" t="s">
        <v>25</v>
      </c>
      <c r="J1689" t="s">
        <v>46</v>
      </c>
      <c r="K1689" t="s">
        <v>26</v>
      </c>
      <c r="L1689">
        <v>20</v>
      </c>
      <c r="M1689">
        <v>0.1</v>
      </c>
      <c r="N1689" t="s">
        <v>20</v>
      </c>
    </row>
    <row r="1690" spans="1:14" x14ac:dyDescent="0.25">
      <c r="A1690">
        <v>1689</v>
      </c>
      <c r="B1690" t="s">
        <v>21</v>
      </c>
      <c r="C1690">
        <v>2006</v>
      </c>
      <c r="D1690">
        <v>1</v>
      </c>
      <c r="E1690" t="s">
        <v>15</v>
      </c>
      <c r="F1690">
        <v>207791</v>
      </c>
      <c r="G1690" t="s">
        <v>30</v>
      </c>
      <c r="H1690">
        <v>69924.53</v>
      </c>
      <c r="I1690" t="s">
        <v>42</v>
      </c>
      <c r="J1690" t="s">
        <v>46</v>
      </c>
      <c r="K1690" t="s">
        <v>26</v>
      </c>
      <c r="L1690">
        <v>20</v>
      </c>
      <c r="M1690">
        <v>0.34</v>
      </c>
      <c r="N1690" t="s">
        <v>20</v>
      </c>
    </row>
    <row r="1691" spans="1:14" x14ac:dyDescent="0.25">
      <c r="A1691">
        <v>1690</v>
      </c>
      <c r="B1691" t="s">
        <v>29</v>
      </c>
      <c r="C1691">
        <v>2002</v>
      </c>
      <c r="D1691">
        <v>4.9000000000000004</v>
      </c>
      <c r="E1691" t="s">
        <v>15</v>
      </c>
      <c r="F1691">
        <v>249120</v>
      </c>
      <c r="G1691" t="s">
        <v>30</v>
      </c>
      <c r="H1691">
        <v>62570.96</v>
      </c>
      <c r="I1691" t="s">
        <v>31</v>
      </c>
      <c r="J1691" t="s">
        <v>18</v>
      </c>
      <c r="K1691" t="s">
        <v>26</v>
      </c>
      <c r="L1691">
        <v>24</v>
      </c>
      <c r="M1691">
        <v>0.25</v>
      </c>
      <c r="N1691" t="s">
        <v>33</v>
      </c>
    </row>
    <row r="1692" spans="1:14" x14ac:dyDescent="0.25">
      <c r="A1692">
        <v>1691</v>
      </c>
      <c r="B1692" t="s">
        <v>36</v>
      </c>
      <c r="C1692">
        <v>2000</v>
      </c>
      <c r="D1692">
        <v>3.3</v>
      </c>
      <c r="E1692" t="s">
        <v>15</v>
      </c>
      <c r="F1692">
        <v>254322</v>
      </c>
      <c r="G1692" t="s">
        <v>22</v>
      </c>
      <c r="H1692">
        <v>39136.839999999997</v>
      </c>
      <c r="I1692" t="s">
        <v>37</v>
      </c>
      <c r="J1692" t="s">
        <v>41</v>
      </c>
      <c r="K1692" t="s">
        <v>26</v>
      </c>
      <c r="L1692">
        <v>26</v>
      </c>
      <c r="M1692">
        <v>0.15</v>
      </c>
      <c r="N1692" t="s">
        <v>33</v>
      </c>
    </row>
    <row r="1693" spans="1:14" x14ac:dyDescent="0.25">
      <c r="A1693">
        <v>1692</v>
      </c>
      <c r="B1693" t="s">
        <v>24</v>
      </c>
      <c r="C1693">
        <v>2003</v>
      </c>
      <c r="D1693">
        <v>5.9</v>
      </c>
      <c r="E1693" t="s">
        <v>27</v>
      </c>
      <c r="F1693">
        <v>209485</v>
      </c>
      <c r="G1693" t="s">
        <v>30</v>
      </c>
      <c r="H1693">
        <v>10455.23</v>
      </c>
      <c r="I1693" t="s">
        <v>45</v>
      </c>
      <c r="J1693" t="s">
        <v>18</v>
      </c>
      <c r="K1693" t="s">
        <v>26</v>
      </c>
      <c r="L1693">
        <v>23</v>
      </c>
      <c r="M1693">
        <v>0.05</v>
      </c>
      <c r="N1693" t="s">
        <v>20</v>
      </c>
    </row>
    <row r="1694" spans="1:14" x14ac:dyDescent="0.25">
      <c r="A1694">
        <v>1693</v>
      </c>
      <c r="B1694" t="s">
        <v>24</v>
      </c>
      <c r="C1694">
        <v>2004</v>
      </c>
      <c r="D1694">
        <v>3.4</v>
      </c>
      <c r="E1694" t="s">
        <v>15</v>
      </c>
      <c r="F1694">
        <v>272126</v>
      </c>
      <c r="G1694" t="s">
        <v>30</v>
      </c>
      <c r="H1694">
        <v>65767.89</v>
      </c>
      <c r="I1694" t="s">
        <v>45</v>
      </c>
      <c r="J1694" t="s">
        <v>41</v>
      </c>
      <c r="K1694" t="s">
        <v>26</v>
      </c>
      <c r="L1694">
        <v>22</v>
      </c>
      <c r="M1694">
        <v>0.24</v>
      </c>
      <c r="N1694" t="s">
        <v>20</v>
      </c>
    </row>
    <row r="1695" spans="1:14" x14ac:dyDescent="0.25">
      <c r="A1695">
        <v>1694</v>
      </c>
      <c r="B1695" t="s">
        <v>29</v>
      </c>
      <c r="C1695">
        <v>2000</v>
      </c>
      <c r="D1695">
        <v>5.9</v>
      </c>
      <c r="E1695" t="s">
        <v>27</v>
      </c>
      <c r="F1695">
        <v>145711</v>
      </c>
      <c r="G1695" t="s">
        <v>30</v>
      </c>
      <c r="H1695">
        <v>59161.45</v>
      </c>
      <c r="I1695" t="s">
        <v>40</v>
      </c>
      <c r="J1695" t="s">
        <v>18</v>
      </c>
      <c r="K1695" t="s">
        <v>19</v>
      </c>
      <c r="L1695">
        <v>26</v>
      </c>
      <c r="M1695">
        <v>0.41</v>
      </c>
      <c r="N1695" t="s">
        <v>33</v>
      </c>
    </row>
    <row r="1696" spans="1:14" x14ac:dyDescent="0.25">
      <c r="A1696">
        <v>1695</v>
      </c>
      <c r="B1696" t="s">
        <v>29</v>
      </c>
      <c r="C1696">
        <v>2014</v>
      </c>
      <c r="D1696">
        <v>4.8</v>
      </c>
      <c r="E1696" t="s">
        <v>15</v>
      </c>
      <c r="F1696">
        <v>70210</v>
      </c>
      <c r="G1696" t="s">
        <v>30</v>
      </c>
      <c r="H1696">
        <v>15725.81</v>
      </c>
      <c r="I1696" t="s">
        <v>62</v>
      </c>
      <c r="J1696" t="s">
        <v>32</v>
      </c>
      <c r="K1696" t="s">
        <v>19</v>
      </c>
      <c r="L1696">
        <v>12</v>
      </c>
      <c r="M1696">
        <v>0.22</v>
      </c>
      <c r="N1696" t="s">
        <v>33</v>
      </c>
    </row>
    <row r="1697" spans="1:14" x14ac:dyDescent="0.25">
      <c r="A1697">
        <v>1696</v>
      </c>
      <c r="B1697" t="s">
        <v>21</v>
      </c>
      <c r="C1697">
        <v>2004</v>
      </c>
      <c r="D1697">
        <v>2.2000000000000002</v>
      </c>
      <c r="E1697" t="s">
        <v>15</v>
      </c>
      <c r="F1697">
        <v>69852</v>
      </c>
      <c r="G1697" t="s">
        <v>22</v>
      </c>
      <c r="H1697">
        <v>91346.42</v>
      </c>
      <c r="I1697" t="s">
        <v>47</v>
      </c>
      <c r="J1697" t="s">
        <v>46</v>
      </c>
      <c r="K1697" t="s">
        <v>19</v>
      </c>
      <c r="L1697">
        <v>22</v>
      </c>
      <c r="M1697">
        <v>1.31</v>
      </c>
      <c r="N1697" t="s">
        <v>20</v>
      </c>
    </row>
    <row r="1698" spans="1:14" x14ac:dyDescent="0.25">
      <c r="A1698">
        <v>1697</v>
      </c>
      <c r="B1698" t="s">
        <v>52</v>
      </c>
      <c r="C1698">
        <v>2012</v>
      </c>
      <c r="D1698">
        <v>3.7</v>
      </c>
      <c r="E1698" t="s">
        <v>27</v>
      </c>
      <c r="F1698">
        <v>255139</v>
      </c>
      <c r="G1698" t="s">
        <v>16</v>
      </c>
      <c r="H1698">
        <v>23900.22</v>
      </c>
      <c r="I1698" t="s">
        <v>56</v>
      </c>
      <c r="J1698" t="s">
        <v>46</v>
      </c>
      <c r="K1698" t="s">
        <v>26</v>
      </c>
      <c r="L1698">
        <v>14</v>
      </c>
      <c r="M1698">
        <v>0.09</v>
      </c>
      <c r="N1698" t="s">
        <v>33</v>
      </c>
    </row>
    <row r="1699" spans="1:14" x14ac:dyDescent="0.25">
      <c r="A1699">
        <v>1698</v>
      </c>
      <c r="B1699" t="s">
        <v>29</v>
      </c>
      <c r="C1699">
        <v>2007</v>
      </c>
      <c r="D1699">
        <v>6</v>
      </c>
      <c r="E1699" t="s">
        <v>15</v>
      </c>
      <c r="F1699">
        <v>9695</v>
      </c>
      <c r="G1699" t="s">
        <v>22</v>
      </c>
      <c r="H1699">
        <v>75633.37</v>
      </c>
      <c r="I1699" t="s">
        <v>31</v>
      </c>
      <c r="J1699" t="s">
        <v>46</v>
      </c>
      <c r="K1699" t="s">
        <v>50</v>
      </c>
      <c r="L1699">
        <v>19</v>
      </c>
      <c r="M1699">
        <v>7.8</v>
      </c>
      <c r="N1699" t="s">
        <v>33</v>
      </c>
    </row>
    <row r="1700" spans="1:14" x14ac:dyDescent="0.25">
      <c r="A1700">
        <v>1699</v>
      </c>
      <c r="B1700" t="s">
        <v>14</v>
      </c>
      <c r="C1700">
        <v>2007</v>
      </c>
      <c r="D1700">
        <v>5.3</v>
      </c>
      <c r="E1700" t="s">
        <v>27</v>
      </c>
      <c r="F1700">
        <v>48582</v>
      </c>
      <c r="G1700" t="s">
        <v>16</v>
      </c>
      <c r="H1700">
        <v>89082.21</v>
      </c>
      <c r="I1700" t="s">
        <v>17</v>
      </c>
      <c r="J1700" t="s">
        <v>18</v>
      </c>
      <c r="K1700" t="s">
        <v>50</v>
      </c>
      <c r="L1700">
        <v>19</v>
      </c>
      <c r="M1700">
        <v>1.83</v>
      </c>
      <c r="N1700" t="s">
        <v>20</v>
      </c>
    </row>
    <row r="1701" spans="1:14" x14ac:dyDescent="0.25">
      <c r="A1701">
        <v>1700</v>
      </c>
      <c r="B1701" t="s">
        <v>29</v>
      </c>
      <c r="C1701">
        <v>2004</v>
      </c>
      <c r="D1701">
        <v>1.5</v>
      </c>
      <c r="E1701" t="s">
        <v>27</v>
      </c>
      <c r="F1701">
        <v>293238</v>
      </c>
      <c r="G1701" t="s">
        <v>16</v>
      </c>
      <c r="H1701">
        <v>60050.12</v>
      </c>
      <c r="I1701" t="s">
        <v>31</v>
      </c>
      <c r="J1701" t="s">
        <v>18</v>
      </c>
      <c r="K1701" t="s">
        <v>26</v>
      </c>
      <c r="L1701">
        <v>22</v>
      </c>
      <c r="M1701">
        <v>0.2</v>
      </c>
      <c r="N1701" t="s">
        <v>33</v>
      </c>
    </row>
    <row r="1702" spans="1:14" x14ac:dyDescent="0.25">
      <c r="A1702">
        <v>1701</v>
      </c>
      <c r="B1702" t="s">
        <v>43</v>
      </c>
      <c r="C1702">
        <v>2008</v>
      </c>
      <c r="D1702">
        <v>4.5</v>
      </c>
      <c r="E1702" t="s">
        <v>27</v>
      </c>
      <c r="F1702">
        <v>191707</v>
      </c>
      <c r="G1702" t="s">
        <v>16</v>
      </c>
      <c r="H1702">
        <v>28450.65</v>
      </c>
      <c r="I1702" t="s">
        <v>49</v>
      </c>
      <c r="J1702" t="s">
        <v>32</v>
      </c>
      <c r="K1702" t="s">
        <v>26</v>
      </c>
      <c r="L1702">
        <v>18</v>
      </c>
      <c r="M1702">
        <v>0.15</v>
      </c>
      <c r="N1702" t="s">
        <v>20</v>
      </c>
    </row>
    <row r="1703" spans="1:14" x14ac:dyDescent="0.25">
      <c r="A1703">
        <v>1702</v>
      </c>
      <c r="B1703" t="s">
        <v>36</v>
      </c>
      <c r="C1703">
        <v>2000</v>
      </c>
      <c r="D1703">
        <v>2.7</v>
      </c>
      <c r="E1703" t="s">
        <v>15</v>
      </c>
      <c r="F1703">
        <v>284331</v>
      </c>
      <c r="G1703" t="s">
        <v>22</v>
      </c>
      <c r="H1703">
        <v>34378.61</v>
      </c>
      <c r="I1703" t="s">
        <v>37</v>
      </c>
      <c r="J1703" t="s">
        <v>18</v>
      </c>
      <c r="K1703" t="s">
        <v>26</v>
      </c>
      <c r="L1703">
        <v>26</v>
      </c>
      <c r="M1703">
        <v>0.12</v>
      </c>
      <c r="N1703" t="s">
        <v>33</v>
      </c>
    </row>
    <row r="1704" spans="1:14" x14ac:dyDescent="0.25">
      <c r="A1704">
        <v>1703</v>
      </c>
      <c r="B1704" t="s">
        <v>14</v>
      </c>
      <c r="C1704">
        <v>2003</v>
      </c>
      <c r="D1704">
        <v>1</v>
      </c>
      <c r="E1704" t="s">
        <v>15</v>
      </c>
      <c r="F1704">
        <v>128721</v>
      </c>
      <c r="G1704" t="s">
        <v>22</v>
      </c>
      <c r="H1704">
        <v>89146.02</v>
      </c>
      <c r="I1704" t="s">
        <v>58</v>
      </c>
      <c r="J1704" t="s">
        <v>18</v>
      </c>
      <c r="K1704" t="s">
        <v>19</v>
      </c>
      <c r="L1704">
        <v>23</v>
      </c>
      <c r="M1704">
        <v>0.69</v>
      </c>
      <c r="N1704" t="s">
        <v>20</v>
      </c>
    </row>
    <row r="1705" spans="1:14" x14ac:dyDescent="0.25">
      <c r="A1705">
        <v>1704</v>
      </c>
      <c r="B1705" t="s">
        <v>14</v>
      </c>
      <c r="C1705">
        <v>2002</v>
      </c>
      <c r="D1705">
        <v>3</v>
      </c>
      <c r="E1705" t="s">
        <v>15</v>
      </c>
      <c r="F1705">
        <v>106683</v>
      </c>
      <c r="G1705" t="s">
        <v>22</v>
      </c>
      <c r="H1705">
        <v>33334.43</v>
      </c>
      <c r="I1705" t="s">
        <v>17</v>
      </c>
      <c r="J1705" t="s">
        <v>18</v>
      </c>
      <c r="K1705" t="s">
        <v>19</v>
      </c>
      <c r="L1705">
        <v>24</v>
      </c>
      <c r="M1705">
        <v>0.31</v>
      </c>
      <c r="N1705" t="s">
        <v>20</v>
      </c>
    </row>
    <row r="1706" spans="1:14" x14ac:dyDescent="0.25">
      <c r="A1706">
        <v>1705</v>
      </c>
      <c r="B1706" t="s">
        <v>43</v>
      </c>
      <c r="C1706">
        <v>2001</v>
      </c>
      <c r="D1706">
        <v>2.2000000000000002</v>
      </c>
      <c r="E1706" t="s">
        <v>15</v>
      </c>
      <c r="F1706">
        <v>263358</v>
      </c>
      <c r="G1706" t="s">
        <v>22</v>
      </c>
      <c r="H1706">
        <v>75888.100000000006</v>
      </c>
      <c r="I1706" t="s">
        <v>44</v>
      </c>
      <c r="J1706" t="s">
        <v>32</v>
      </c>
      <c r="K1706" t="s">
        <v>26</v>
      </c>
      <c r="L1706">
        <v>25</v>
      </c>
      <c r="M1706">
        <v>0.28999999999999998</v>
      </c>
      <c r="N1706" t="s">
        <v>20</v>
      </c>
    </row>
    <row r="1707" spans="1:14" x14ac:dyDescent="0.25">
      <c r="A1707">
        <v>1706</v>
      </c>
      <c r="B1707" t="s">
        <v>43</v>
      </c>
      <c r="C1707">
        <v>2007</v>
      </c>
      <c r="D1707">
        <v>5.0999999999999996</v>
      </c>
      <c r="E1707" t="s">
        <v>27</v>
      </c>
      <c r="F1707">
        <v>286084</v>
      </c>
      <c r="G1707" t="s">
        <v>22</v>
      </c>
      <c r="H1707">
        <v>99065.7</v>
      </c>
      <c r="I1707" t="s">
        <v>55</v>
      </c>
      <c r="J1707" t="s">
        <v>46</v>
      </c>
      <c r="K1707" t="s">
        <v>26</v>
      </c>
      <c r="L1707">
        <v>19</v>
      </c>
      <c r="M1707">
        <v>0.35</v>
      </c>
      <c r="N1707" t="s">
        <v>20</v>
      </c>
    </row>
    <row r="1708" spans="1:14" x14ac:dyDescent="0.25">
      <c r="A1708">
        <v>1707</v>
      </c>
      <c r="B1708" t="s">
        <v>24</v>
      </c>
      <c r="C1708">
        <v>2022</v>
      </c>
      <c r="D1708">
        <v>2.7</v>
      </c>
      <c r="E1708" t="s">
        <v>15</v>
      </c>
      <c r="F1708">
        <v>44406</v>
      </c>
      <c r="G1708" t="s">
        <v>16</v>
      </c>
      <c r="H1708">
        <v>99982.59</v>
      </c>
      <c r="I1708" t="s">
        <v>45</v>
      </c>
      <c r="J1708" t="s">
        <v>18</v>
      </c>
      <c r="K1708" t="s">
        <v>50</v>
      </c>
      <c r="L1708">
        <v>4</v>
      </c>
      <c r="M1708">
        <v>2.25</v>
      </c>
      <c r="N1708" t="s">
        <v>20</v>
      </c>
    </row>
    <row r="1709" spans="1:14" x14ac:dyDescent="0.25">
      <c r="A1709">
        <v>1708</v>
      </c>
      <c r="B1709" t="s">
        <v>52</v>
      </c>
      <c r="C1709">
        <v>2008</v>
      </c>
      <c r="D1709">
        <v>5.0999999999999996</v>
      </c>
      <c r="E1709" t="s">
        <v>15</v>
      </c>
      <c r="F1709">
        <v>147049</v>
      </c>
      <c r="G1709" t="s">
        <v>22</v>
      </c>
      <c r="H1709">
        <v>55680.58</v>
      </c>
      <c r="I1709" t="s">
        <v>56</v>
      </c>
      <c r="J1709" t="s">
        <v>46</v>
      </c>
      <c r="K1709" t="s">
        <v>19</v>
      </c>
      <c r="L1709">
        <v>18</v>
      </c>
      <c r="M1709">
        <v>0.38</v>
      </c>
      <c r="N1709" t="s">
        <v>33</v>
      </c>
    </row>
    <row r="1710" spans="1:14" x14ac:dyDescent="0.25">
      <c r="A1710">
        <v>1709</v>
      </c>
      <c r="B1710" t="s">
        <v>36</v>
      </c>
      <c r="C1710">
        <v>2001</v>
      </c>
      <c r="D1710">
        <v>1</v>
      </c>
      <c r="E1710" t="s">
        <v>27</v>
      </c>
      <c r="F1710">
        <v>235994</v>
      </c>
      <c r="G1710" t="s">
        <v>16</v>
      </c>
      <c r="H1710">
        <v>83522.8</v>
      </c>
      <c r="I1710" t="s">
        <v>57</v>
      </c>
      <c r="J1710" t="s">
        <v>18</v>
      </c>
      <c r="K1710" t="s">
        <v>26</v>
      </c>
      <c r="L1710">
        <v>25</v>
      </c>
      <c r="M1710">
        <v>0.35</v>
      </c>
      <c r="N1710" t="s">
        <v>33</v>
      </c>
    </row>
    <row r="1711" spans="1:14" x14ac:dyDescent="0.25">
      <c r="A1711">
        <v>1710</v>
      </c>
      <c r="B1711" t="s">
        <v>21</v>
      </c>
      <c r="C1711">
        <v>2013</v>
      </c>
      <c r="D1711">
        <v>2.5</v>
      </c>
      <c r="E1711" t="s">
        <v>27</v>
      </c>
      <c r="F1711">
        <v>187313</v>
      </c>
      <c r="G1711" t="s">
        <v>22</v>
      </c>
      <c r="H1711">
        <v>99073.74</v>
      </c>
      <c r="I1711" t="s">
        <v>23</v>
      </c>
      <c r="J1711" t="s">
        <v>32</v>
      </c>
      <c r="K1711" t="s">
        <v>26</v>
      </c>
      <c r="L1711">
        <v>13</v>
      </c>
      <c r="M1711">
        <v>0.53</v>
      </c>
      <c r="N1711" t="s">
        <v>20</v>
      </c>
    </row>
    <row r="1712" spans="1:14" x14ac:dyDescent="0.25">
      <c r="A1712">
        <v>1711</v>
      </c>
      <c r="B1712" t="s">
        <v>14</v>
      </c>
      <c r="C1712">
        <v>2013</v>
      </c>
      <c r="D1712">
        <v>2.2000000000000002</v>
      </c>
      <c r="E1712" t="s">
        <v>15</v>
      </c>
      <c r="F1712">
        <v>204573</v>
      </c>
      <c r="G1712" t="s">
        <v>22</v>
      </c>
      <c r="H1712">
        <v>40593.919999999998</v>
      </c>
      <c r="I1712" t="s">
        <v>39</v>
      </c>
      <c r="J1712" t="s">
        <v>18</v>
      </c>
      <c r="K1712" t="s">
        <v>26</v>
      </c>
      <c r="L1712">
        <v>13</v>
      </c>
      <c r="M1712">
        <v>0.2</v>
      </c>
      <c r="N1712" t="s">
        <v>20</v>
      </c>
    </row>
    <row r="1713" spans="1:14" x14ac:dyDescent="0.25">
      <c r="A1713">
        <v>1712</v>
      </c>
      <c r="B1713" t="s">
        <v>21</v>
      </c>
      <c r="C1713">
        <v>2003</v>
      </c>
      <c r="D1713">
        <v>2.2000000000000002</v>
      </c>
      <c r="E1713" t="s">
        <v>27</v>
      </c>
      <c r="F1713">
        <v>206205</v>
      </c>
      <c r="G1713" t="s">
        <v>30</v>
      </c>
      <c r="H1713">
        <v>28978.91</v>
      </c>
      <c r="I1713" t="s">
        <v>47</v>
      </c>
      <c r="J1713" t="s">
        <v>46</v>
      </c>
      <c r="K1713" t="s">
        <v>26</v>
      </c>
      <c r="L1713">
        <v>23</v>
      </c>
      <c r="M1713">
        <v>0.14000000000000001</v>
      </c>
      <c r="N1713" t="s">
        <v>20</v>
      </c>
    </row>
    <row r="1714" spans="1:14" x14ac:dyDescent="0.25">
      <c r="A1714">
        <v>1713</v>
      </c>
      <c r="B1714" t="s">
        <v>29</v>
      </c>
      <c r="C1714">
        <v>2005</v>
      </c>
      <c r="D1714">
        <v>1.3</v>
      </c>
      <c r="E1714" t="s">
        <v>27</v>
      </c>
      <c r="F1714">
        <v>60481</v>
      </c>
      <c r="G1714" t="s">
        <v>16</v>
      </c>
      <c r="H1714">
        <v>15852.17</v>
      </c>
      <c r="I1714" t="s">
        <v>38</v>
      </c>
      <c r="J1714" t="s">
        <v>32</v>
      </c>
      <c r="K1714" t="s">
        <v>19</v>
      </c>
      <c r="L1714">
        <v>21</v>
      </c>
      <c r="M1714">
        <v>0.26</v>
      </c>
      <c r="N1714" t="s">
        <v>33</v>
      </c>
    </row>
    <row r="1715" spans="1:14" x14ac:dyDescent="0.25">
      <c r="A1715">
        <v>1714</v>
      </c>
      <c r="B1715" t="s">
        <v>29</v>
      </c>
      <c r="C1715">
        <v>2010</v>
      </c>
      <c r="D1715">
        <v>1.9</v>
      </c>
      <c r="E1715" t="s">
        <v>27</v>
      </c>
      <c r="F1715">
        <v>238084</v>
      </c>
      <c r="G1715" t="s">
        <v>22</v>
      </c>
      <c r="H1715">
        <v>18385.47</v>
      </c>
      <c r="I1715" t="s">
        <v>31</v>
      </c>
      <c r="J1715" t="s">
        <v>41</v>
      </c>
      <c r="K1715" t="s">
        <v>26</v>
      </c>
      <c r="L1715">
        <v>16</v>
      </c>
      <c r="M1715">
        <v>0.08</v>
      </c>
      <c r="N1715" t="s">
        <v>33</v>
      </c>
    </row>
    <row r="1716" spans="1:14" x14ac:dyDescent="0.25">
      <c r="A1716">
        <v>1715</v>
      </c>
      <c r="B1716" t="s">
        <v>21</v>
      </c>
      <c r="C1716">
        <v>2002</v>
      </c>
      <c r="D1716">
        <v>3.8</v>
      </c>
      <c r="E1716" t="s">
        <v>27</v>
      </c>
      <c r="F1716">
        <v>289884</v>
      </c>
      <c r="G1716" t="s">
        <v>22</v>
      </c>
      <c r="H1716">
        <v>86087.85</v>
      </c>
      <c r="I1716" t="s">
        <v>42</v>
      </c>
      <c r="J1716" t="s">
        <v>32</v>
      </c>
      <c r="K1716" t="s">
        <v>26</v>
      </c>
      <c r="L1716">
        <v>24</v>
      </c>
      <c r="M1716">
        <v>0.3</v>
      </c>
      <c r="N1716" t="s">
        <v>20</v>
      </c>
    </row>
    <row r="1717" spans="1:14" x14ac:dyDescent="0.25">
      <c r="A1717">
        <v>1716</v>
      </c>
      <c r="B1717" t="s">
        <v>29</v>
      </c>
      <c r="C1717">
        <v>2007</v>
      </c>
      <c r="D1717">
        <v>2.5</v>
      </c>
      <c r="E1717" t="s">
        <v>27</v>
      </c>
      <c r="F1717">
        <v>274025</v>
      </c>
      <c r="G1717" t="s">
        <v>22</v>
      </c>
      <c r="H1717">
        <v>60928.69</v>
      </c>
      <c r="I1717" t="s">
        <v>38</v>
      </c>
      <c r="J1717" t="s">
        <v>41</v>
      </c>
      <c r="K1717" t="s">
        <v>26</v>
      </c>
      <c r="L1717">
        <v>19</v>
      </c>
      <c r="M1717">
        <v>0.22</v>
      </c>
      <c r="N1717" t="s">
        <v>33</v>
      </c>
    </row>
    <row r="1718" spans="1:14" x14ac:dyDescent="0.25">
      <c r="A1718">
        <v>1717</v>
      </c>
      <c r="B1718" t="s">
        <v>52</v>
      </c>
      <c r="C1718">
        <v>2002</v>
      </c>
      <c r="D1718">
        <v>3.1</v>
      </c>
      <c r="E1718" t="s">
        <v>15</v>
      </c>
      <c r="F1718">
        <v>299140</v>
      </c>
      <c r="G1718" t="s">
        <v>30</v>
      </c>
      <c r="H1718">
        <v>88002.37</v>
      </c>
      <c r="I1718" t="s">
        <v>53</v>
      </c>
      <c r="J1718" t="s">
        <v>32</v>
      </c>
      <c r="K1718" t="s">
        <v>26</v>
      </c>
      <c r="L1718">
        <v>24</v>
      </c>
      <c r="M1718">
        <v>0.28999999999999998</v>
      </c>
      <c r="N1718" t="s">
        <v>33</v>
      </c>
    </row>
    <row r="1719" spans="1:14" x14ac:dyDescent="0.25">
      <c r="A1719">
        <v>1718</v>
      </c>
      <c r="B1719" t="s">
        <v>43</v>
      </c>
      <c r="C1719">
        <v>2013</v>
      </c>
      <c r="D1719">
        <v>2.9</v>
      </c>
      <c r="E1719" t="s">
        <v>15</v>
      </c>
      <c r="F1719">
        <v>163249</v>
      </c>
      <c r="G1719" t="s">
        <v>16</v>
      </c>
      <c r="H1719">
        <v>79998.23</v>
      </c>
      <c r="I1719" t="s">
        <v>49</v>
      </c>
      <c r="J1719" t="s">
        <v>46</v>
      </c>
      <c r="K1719" t="s">
        <v>26</v>
      </c>
      <c r="L1719">
        <v>13</v>
      </c>
      <c r="M1719">
        <v>0.49</v>
      </c>
      <c r="N1719" t="s">
        <v>20</v>
      </c>
    </row>
    <row r="1720" spans="1:14" x14ac:dyDescent="0.25">
      <c r="A1720">
        <v>1719</v>
      </c>
      <c r="B1720" t="s">
        <v>29</v>
      </c>
      <c r="C1720">
        <v>2012</v>
      </c>
      <c r="D1720">
        <v>5.4</v>
      </c>
      <c r="E1720" t="s">
        <v>15</v>
      </c>
      <c r="F1720">
        <v>122196</v>
      </c>
      <c r="G1720" t="s">
        <v>22</v>
      </c>
      <c r="H1720">
        <v>69005.740000000005</v>
      </c>
      <c r="I1720" t="s">
        <v>62</v>
      </c>
      <c r="J1720" t="s">
        <v>46</v>
      </c>
      <c r="K1720" t="s">
        <v>19</v>
      </c>
      <c r="L1720">
        <v>14</v>
      </c>
      <c r="M1720">
        <v>0.56000000000000005</v>
      </c>
      <c r="N1720" t="s">
        <v>33</v>
      </c>
    </row>
    <row r="1721" spans="1:14" x14ac:dyDescent="0.25">
      <c r="A1721">
        <v>1720</v>
      </c>
      <c r="B1721" t="s">
        <v>24</v>
      </c>
      <c r="C1721">
        <v>2012</v>
      </c>
      <c r="D1721">
        <v>5.5</v>
      </c>
      <c r="E1721" t="s">
        <v>15</v>
      </c>
      <c r="F1721">
        <v>37177</v>
      </c>
      <c r="G1721" t="s">
        <v>22</v>
      </c>
      <c r="H1721">
        <v>62884.66</v>
      </c>
      <c r="I1721" t="s">
        <v>25</v>
      </c>
      <c r="J1721" t="s">
        <v>41</v>
      </c>
      <c r="K1721" t="s">
        <v>50</v>
      </c>
      <c r="L1721">
        <v>14</v>
      </c>
      <c r="M1721">
        <v>1.69</v>
      </c>
      <c r="N1721" t="s">
        <v>20</v>
      </c>
    </row>
    <row r="1722" spans="1:14" x14ac:dyDescent="0.25">
      <c r="A1722">
        <v>1721</v>
      </c>
      <c r="B1722" t="s">
        <v>29</v>
      </c>
      <c r="C1722">
        <v>2001</v>
      </c>
      <c r="D1722">
        <v>3.5</v>
      </c>
      <c r="E1722" t="s">
        <v>15</v>
      </c>
      <c r="F1722">
        <v>66126</v>
      </c>
      <c r="G1722" t="s">
        <v>22</v>
      </c>
      <c r="H1722">
        <v>9592.2000000000007</v>
      </c>
      <c r="I1722" t="s">
        <v>31</v>
      </c>
      <c r="J1722" t="s">
        <v>46</v>
      </c>
      <c r="K1722" t="s">
        <v>19</v>
      </c>
      <c r="L1722">
        <v>25</v>
      </c>
      <c r="M1722">
        <v>0.15</v>
      </c>
      <c r="N1722" t="s">
        <v>33</v>
      </c>
    </row>
    <row r="1723" spans="1:14" x14ac:dyDescent="0.25">
      <c r="A1723">
        <v>1722</v>
      </c>
      <c r="B1723" t="s">
        <v>36</v>
      </c>
      <c r="C1723">
        <v>2012</v>
      </c>
      <c r="D1723">
        <v>2.7</v>
      </c>
      <c r="E1723" t="s">
        <v>15</v>
      </c>
      <c r="F1723">
        <v>26119</v>
      </c>
      <c r="G1723" t="s">
        <v>30</v>
      </c>
      <c r="H1723">
        <v>87866.14</v>
      </c>
      <c r="I1723" t="s">
        <v>57</v>
      </c>
      <c r="J1723" t="s">
        <v>32</v>
      </c>
      <c r="K1723" t="s">
        <v>50</v>
      </c>
      <c r="L1723">
        <v>14</v>
      </c>
      <c r="M1723">
        <v>3.36</v>
      </c>
      <c r="N1723" t="s">
        <v>33</v>
      </c>
    </row>
    <row r="1724" spans="1:14" x14ac:dyDescent="0.25">
      <c r="A1724">
        <v>1723</v>
      </c>
      <c r="B1724" t="s">
        <v>52</v>
      </c>
      <c r="C1724">
        <v>2018</v>
      </c>
      <c r="D1724">
        <v>1.5</v>
      </c>
      <c r="E1724" t="s">
        <v>15</v>
      </c>
      <c r="F1724">
        <v>117744</v>
      </c>
      <c r="G1724" t="s">
        <v>22</v>
      </c>
      <c r="H1724">
        <v>44695</v>
      </c>
      <c r="I1724" t="s">
        <v>56</v>
      </c>
      <c r="J1724" t="s">
        <v>32</v>
      </c>
      <c r="K1724" t="s">
        <v>19</v>
      </c>
      <c r="L1724">
        <v>8</v>
      </c>
      <c r="M1724">
        <v>0.38</v>
      </c>
      <c r="N1724" t="s">
        <v>33</v>
      </c>
    </row>
    <row r="1725" spans="1:14" x14ac:dyDescent="0.25">
      <c r="A1725">
        <v>1724</v>
      </c>
      <c r="B1725" t="s">
        <v>36</v>
      </c>
      <c r="C1725">
        <v>2005</v>
      </c>
      <c r="D1725">
        <v>5.8</v>
      </c>
      <c r="E1725" t="s">
        <v>27</v>
      </c>
      <c r="F1725">
        <v>116894</v>
      </c>
      <c r="G1725" t="s">
        <v>16</v>
      </c>
      <c r="H1725">
        <v>58179.75</v>
      </c>
      <c r="I1725" t="s">
        <v>51</v>
      </c>
      <c r="J1725" t="s">
        <v>46</v>
      </c>
      <c r="K1725" t="s">
        <v>19</v>
      </c>
      <c r="L1725">
        <v>21</v>
      </c>
      <c r="M1725">
        <v>0.5</v>
      </c>
      <c r="N1725" t="s">
        <v>33</v>
      </c>
    </row>
    <row r="1726" spans="1:14" x14ac:dyDescent="0.25">
      <c r="A1726">
        <v>1725</v>
      </c>
      <c r="B1726" t="s">
        <v>36</v>
      </c>
      <c r="C1726">
        <v>2015</v>
      </c>
      <c r="D1726">
        <v>1.3</v>
      </c>
      <c r="E1726" t="s">
        <v>15</v>
      </c>
      <c r="F1726">
        <v>158987</v>
      </c>
      <c r="G1726" t="s">
        <v>16</v>
      </c>
      <c r="H1726">
        <v>7085.58</v>
      </c>
      <c r="I1726" t="s">
        <v>54</v>
      </c>
      <c r="J1726" t="s">
        <v>32</v>
      </c>
      <c r="K1726" t="s">
        <v>26</v>
      </c>
      <c r="L1726">
        <v>11</v>
      </c>
      <c r="M1726">
        <v>0.04</v>
      </c>
      <c r="N1726" t="s">
        <v>33</v>
      </c>
    </row>
    <row r="1727" spans="1:14" x14ac:dyDescent="0.25">
      <c r="A1727">
        <v>1726</v>
      </c>
      <c r="B1727" t="s">
        <v>24</v>
      </c>
      <c r="C1727">
        <v>2001</v>
      </c>
      <c r="D1727">
        <v>2.5</v>
      </c>
      <c r="E1727" t="s">
        <v>15</v>
      </c>
      <c r="F1727">
        <v>44989</v>
      </c>
      <c r="G1727" t="s">
        <v>16</v>
      </c>
      <c r="H1727">
        <v>93926.98</v>
      </c>
      <c r="I1727" t="s">
        <v>25</v>
      </c>
      <c r="J1727" t="s">
        <v>18</v>
      </c>
      <c r="K1727" t="s">
        <v>50</v>
      </c>
      <c r="L1727">
        <v>25</v>
      </c>
      <c r="M1727">
        <v>2.09</v>
      </c>
      <c r="N1727" t="s">
        <v>20</v>
      </c>
    </row>
    <row r="1728" spans="1:14" x14ac:dyDescent="0.25">
      <c r="A1728">
        <v>1727</v>
      </c>
      <c r="B1728" t="s">
        <v>52</v>
      </c>
      <c r="C1728">
        <v>2007</v>
      </c>
      <c r="D1728">
        <v>2.5</v>
      </c>
      <c r="E1728" t="s">
        <v>15</v>
      </c>
      <c r="F1728">
        <v>284250</v>
      </c>
      <c r="G1728" t="s">
        <v>16</v>
      </c>
      <c r="H1728">
        <v>90760.34</v>
      </c>
      <c r="I1728" t="s">
        <v>61</v>
      </c>
      <c r="J1728" t="s">
        <v>18</v>
      </c>
      <c r="K1728" t="s">
        <v>26</v>
      </c>
      <c r="L1728">
        <v>19</v>
      </c>
      <c r="M1728">
        <v>0.32</v>
      </c>
      <c r="N1728" t="s">
        <v>33</v>
      </c>
    </row>
    <row r="1729" spans="1:14" x14ac:dyDescent="0.25">
      <c r="A1729">
        <v>1728</v>
      </c>
      <c r="B1729" t="s">
        <v>52</v>
      </c>
      <c r="C1729">
        <v>2016</v>
      </c>
      <c r="D1729">
        <v>2.6</v>
      </c>
      <c r="E1729" t="s">
        <v>27</v>
      </c>
      <c r="F1729">
        <v>279275</v>
      </c>
      <c r="G1729" t="s">
        <v>22</v>
      </c>
      <c r="H1729">
        <v>56611.41</v>
      </c>
      <c r="I1729" t="s">
        <v>59</v>
      </c>
      <c r="J1729" t="s">
        <v>32</v>
      </c>
      <c r="K1729" t="s">
        <v>26</v>
      </c>
      <c r="L1729">
        <v>10</v>
      </c>
      <c r="M1729">
        <v>0.2</v>
      </c>
      <c r="N1729" t="s">
        <v>33</v>
      </c>
    </row>
    <row r="1730" spans="1:14" x14ac:dyDescent="0.25">
      <c r="A1730">
        <v>1729</v>
      </c>
      <c r="B1730" t="s">
        <v>52</v>
      </c>
      <c r="C1730">
        <v>2022</v>
      </c>
      <c r="D1730">
        <v>1.8</v>
      </c>
      <c r="E1730" t="s">
        <v>15</v>
      </c>
      <c r="F1730">
        <v>6553</v>
      </c>
      <c r="G1730" t="s">
        <v>30</v>
      </c>
      <c r="H1730">
        <v>59844.61</v>
      </c>
      <c r="I1730" t="s">
        <v>56</v>
      </c>
      <c r="J1730" t="s">
        <v>46</v>
      </c>
      <c r="K1730" t="s">
        <v>50</v>
      </c>
      <c r="L1730">
        <v>4</v>
      </c>
      <c r="M1730">
        <v>9.1300000000000008</v>
      </c>
      <c r="N1730" t="s">
        <v>33</v>
      </c>
    </row>
    <row r="1731" spans="1:14" x14ac:dyDescent="0.25">
      <c r="A1731">
        <v>1730</v>
      </c>
      <c r="B1731" t="s">
        <v>52</v>
      </c>
      <c r="C1731">
        <v>2001</v>
      </c>
      <c r="D1731">
        <v>4.9000000000000004</v>
      </c>
      <c r="E1731" t="s">
        <v>15</v>
      </c>
      <c r="F1731">
        <v>17881</v>
      </c>
      <c r="G1731" t="s">
        <v>30</v>
      </c>
      <c r="H1731">
        <v>71976.639999999999</v>
      </c>
      <c r="I1731" t="s">
        <v>59</v>
      </c>
      <c r="J1731" t="s">
        <v>41</v>
      </c>
      <c r="K1731" t="s">
        <v>50</v>
      </c>
      <c r="L1731">
        <v>25</v>
      </c>
      <c r="M1731">
        <v>4.03</v>
      </c>
      <c r="N1731" t="s">
        <v>33</v>
      </c>
    </row>
    <row r="1732" spans="1:14" x14ac:dyDescent="0.25">
      <c r="A1732">
        <v>1731</v>
      </c>
      <c r="B1732" t="s">
        <v>52</v>
      </c>
      <c r="C1732">
        <v>2009</v>
      </c>
      <c r="D1732">
        <v>1.6</v>
      </c>
      <c r="E1732" t="s">
        <v>27</v>
      </c>
      <c r="F1732">
        <v>1379</v>
      </c>
      <c r="G1732" t="s">
        <v>30</v>
      </c>
      <c r="H1732">
        <v>30146.02</v>
      </c>
      <c r="I1732" t="s">
        <v>59</v>
      </c>
      <c r="J1732" t="s">
        <v>46</v>
      </c>
      <c r="K1732" t="s">
        <v>50</v>
      </c>
      <c r="L1732">
        <v>17</v>
      </c>
      <c r="M1732">
        <v>21.86</v>
      </c>
      <c r="N1732" t="s">
        <v>33</v>
      </c>
    </row>
    <row r="1733" spans="1:14" x14ac:dyDescent="0.25">
      <c r="A1733">
        <v>1732</v>
      </c>
      <c r="B1733" t="s">
        <v>24</v>
      </c>
      <c r="C1733">
        <v>2015</v>
      </c>
      <c r="D1733">
        <v>4.2</v>
      </c>
      <c r="E1733" t="s">
        <v>15</v>
      </c>
      <c r="F1733">
        <v>69306</v>
      </c>
      <c r="G1733" t="s">
        <v>22</v>
      </c>
      <c r="H1733">
        <v>26081.98</v>
      </c>
      <c r="I1733" t="s">
        <v>25</v>
      </c>
      <c r="J1733" t="s">
        <v>41</v>
      </c>
      <c r="K1733" t="s">
        <v>19</v>
      </c>
      <c r="L1733">
        <v>11</v>
      </c>
      <c r="M1733">
        <v>0.38</v>
      </c>
      <c r="N1733" t="s">
        <v>20</v>
      </c>
    </row>
    <row r="1734" spans="1:14" x14ac:dyDescent="0.25">
      <c r="A1734">
        <v>1733</v>
      </c>
      <c r="B1734" t="s">
        <v>29</v>
      </c>
      <c r="C1734">
        <v>2005</v>
      </c>
      <c r="D1734">
        <v>1.6</v>
      </c>
      <c r="E1734" t="s">
        <v>15</v>
      </c>
      <c r="F1734">
        <v>243825</v>
      </c>
      <c r="G1734" t="s">
        <v>30</v>
      </c>
      <c r="H1734">
        <v>69032.179999999993</v>
      </c>
      <c r="I1734" t="s">
        <v>62</v>
      </c>
      <c r="J1734" t="s">
        <v>46</v>
      </c>
      <c r="K1734" t="s">
        <v>26</v>
      </c>
      <c r="L1734">
        <v>21</v>
      </c>
      <c r="M1734">
        <v>0.28000000000000003</v>
      </c>
      <c r="N1734" t="s">
        <v>33</v>
      </c>
    </row>
    <row r="1735" spans="1:14" x14ac:dyDescent="0.25">
      <c r="A1735">
        <v>1734</v>
      </c>
      <c r="B1735" t="s">
        <v>36</v>
      </c>
      <c r="C1735">
        <v>2001</v>
      </c>
      <c r="D1735">
        <v>1.4</v>
      </c>
      <c r="E1735" t="s">
        <v>27</v>
      </c>
      <c r="F1735">
        <v>104512</v>
      </c>
      <c r="G1735" t="s">
        <v>16</v>
      </c>
      <c r="H1735">
        <v>14920.13</v>
      </c>
      <c r="I1735" t="s">
        <v>37</v>
      </c>
      <c r="J1735" t="s">
        <v>32</v>
      </c>
      <c r="K1735" t="s">
        <v>19</v>
      </c>
      <c r="L1735">
        <v>25</v>
      </c>
      <c r="M1735">
        <v>0.14000000000000001</v>
      </c>
      <c r="N1735" t="s">
        <v>33</v>
      </c>
    </row>
    <row r="1736" spans="1:14" x14ac:dyDescent="0.25">
      <c r="A1736">
        <v>1735</v>
      </c>
      <c r="B1736" t="s">
        <v>52</v>
      </c>
      <c r="C1736">
        <v>2001</v>
      </c>
      <c r="D1736">
        <v>5.5</v>
      </c>
      <c r="E1736" t="s">
        <v>15</v>
      </c>
      <c r="F1736">
        <v>278494</v>
      </c>
      <c r="G1736" t="s">
        <v>22</v>
      </c>
      <c r="H1736">
        <v>48135.89</v>
      </c>
      <c r="I1736" t="s">
        <v>61</v>
      </c>
      <c r="J1736" t="s">
        <v>18</v>
      </c>
      <c r="K1736" t="s">
        <v>26</v>
      </c>
      <c r="L1736">
        <v>25</v>
      </c>
      <c r="M1736">
        <v>0.17</v>
      </c>
      <c r="N1736" t="s">
        <v>33</v>
      </c>
    </row>
    <row r="1737" spans="1:14" x14ac:dyDescent="0.25">
      <c r="A1737">
        <v>1736</v>
      </c>
      <c r="B1737" t="s">
        <v>14</v>
      </c>
      <c r="C1737">
        <v>2012</v>
      </c>
      <c r="D1737">
        <v>2</v>
      </c>
      <c r="E1737" t="s">
        <v>27</v>
      </c>
      <c r="F1737">
        <v>99599</v>
      </c>
      <c r="G1737" t="s">
        <v>30</v>
      </c>
      <c r="H1737">
        <v>51812.24</v>
      </c>
      <c r="I1737" t="s">
        <v>58</v>
      </c>
      <c r="J1737" t="s">
        <v>18</v>
      </c>
      <c r="K1737" t="s">
        <v>19</v>
      </c>
      <c r="L1737">
        <v>14</v>
      </c>
      <c r="M1737">
        <v>0.52</v>
      </c>
      <c r="N1737" t="s">
        <v>20</v>
      </c>
    </row>
    <row r="1738" spans="1:14" x14ac:dyDescent="0.25">
      <c r="A1738">
        <v>1737</v>
      </c>
      <c r="B1738" t="s">
        <v>29</v>
      </c>
      <c r="C1738">
        <v>2023</v>
      </c>
      <c r="D1738">
        <v>5.0999999999999996</v>
      </c>
      <c r="E1738" t="s">
        <v>15</v>
      </c>
      <c r="F1738">
        <v>81397</v>
      </c>
      <c r="G1738" t="s">
        <v>16</v>
      </c>
      <c r="H1738">
        <v>41227.01</v>
      </c>
      <c r="I1738" t="s">
        <v>40</v>
      </c>
      <c r="J1738" t="s">
        <v>41</v>
      </c>
      <c r="K1738" t="s">
        <v>19</v>
      </c>
      <c r="L1738">
        <v>3</v>
      </c>
      <c r="M1738">
        <v>0.51</v>
      </c>
      <c r="N1738" t="s">
        <v>33</v>
      </c>
    </row>
    <row r="1739" spans="1:14" x14ac:dyDescent="0.25">
      <c r="A1739">
        <v>1738</v>
      </c>
      <c r="B1739" t="s">
        <v>29</v>
      </c>
      <c r="C1739">
        <v>2014</v>
      </c>
      <c r="D1739">
        <v>3.7</v>
      </c>
      <c r="E1739" t="s">
        <v>15</v>
      </c>
      <c r="F1739">
        <v>17769</v>
      </c>
      <c r="G1739" t="s">
        <v>16</v>
      </c>
      <c r="H1739">
        <v>22600.48</v>
      </c>
      <c r="I1739" t="s">
        <v>38</v>
      </c>
      <c r="J1739" t="s">
        <v>18</v>
      </c>
      <c r="K1739" t="s">
        <v>50</v>
      </c>
      <c r="L1739">
        <v>12</v>
      </c>
      <c r="M1739">
        <v>1.27</v>
      </c>
      <c r="N1739" t="s">
        <v>33</v>
      </c>
    </row>
    <row r="1740" spans="1:14" x14ac:dyDescent="0.25">
      <c r="A1740">
        <v>1739</v>
      </c>
      <c r="B1740" t="s">
        <v>36</v>
      </c>
      <c r="C1740">
        <v>2001</v>
      </c>
      <c r="D1740">
        <v>1.4</v>
      </c>
      <c r="E1740" t="s">
        <v>15</v>
      </c>
      <c r="F1740">
        <v>178321</v>
      </c>
      <c r="G1740" t="s">
        <v>22</v>
      </c>
      <c r="H1740">
        <v>38755.050000000003</v>
      </c>
      <c r="I1740" t="s">
        <v>54</v>
      </c>
      <c r="J1740" t="s">
        <v>41</v>
      </c>
      <c r="K1740" t="s">
        <v>26</v>
      </c>
      <c r="L1740">
        <v>25</v>
      </c>
      <c r="M1740">
        <v>0.22</v>
      </c>
      <c r="N1740" t="s">
        <v>33</v>
      </c>
    </row>
    <row r="1741" spans="1:14" x14ac:dyDescent="0.25">
      <c r="A1741">
        <v>1740</v>
      </c>
      <c r="B1741" t="s">
        <v>24</v>
      </c>
      <c r="C1741">
        <v>2006</v>
      </c>
      <c r="D1741">
        <v>5.8</v>
      </c>
      <c r="E1741" t="s">
        <v>27</v>
      </c>
      <c r="F1741">
        <v>101584</v>
      </c>
      <c r="G1741" t="s">
        <v>22</v>
      </c>
      <c r="H1741">
        <v>37067.94</v>
      </c>
      <c r="I1741" t="s">
        <v>35</v>
      </c>
      <c r="J1741" t="s">
        <v>32</v>
      </c>
      <c r="K1741" t="s">
        <v>19</v>
      </c>
      <c r="L1741">
        <v>20</v>
      </c>
      <c r="M1741">
        <v>0.36</v>
      </c>
      <c r="N1741" t="s">
        <v>20</v>
      </c>
    </row>
    <row r="1742" spans="1:14" x14ac:dyDescent="0.25">
      <c r="A1742">
        <v>1741</v>
      </c>
      <c r="B1742" t="s">
        <v>21</v>
      </c>
      <c r="C1742">
        <v>2002</v>
      </c>
      <c r="D1742">
        <v>2.2000000000000002</v>
      </c>
      <c r="E1742" t="s">
        <v>27</v>
      </c>
      <c r="F1742">
        <v>133858</v>
      </c>
      <c r="G1742" t="s">
        <v>30</v>
      </c>
      <c r="H1742">
        <v>52430.239999999998</v>
      </c>
      <c r="I1742" t="s">
        <v>23</v>
      </c>
      <c r="J1742" t="s">
        <v>18</v>
      </c>
      <c r="K1742" t="s">
        <v>19</v>
      </c>
      <c r="L1742">
        <v>24</v>
      </c>
      <c r="M1742">
        <v>0.39</v>
      </c>
      <c r="N1742" t="s">
        <v>20</v>
      </c>
    </row>
    <row r="1743" spans="1:14" x14ac:dyDescent="0.25">
      <c r="A1743">
        <v>1742</v>
      </c>
      <c r="B1743" t="s">
        <v>21</v>
      </c>
      <c r="C1743">
        <v>2007</v>
      </c>
      <c r="D1743">
        <v>5.3</v>
      </c>
      <c r="E1743" t="s">
        <v>27</v>
      </c>
      <c r="F1743">
        <v>231609</v>
      </c>
      <c r="G1743" t="s">
        <v>30</v>
      </c>
      <c r="H1743">
        <v>69094.679999999993</v>
      </c>
      <c r="I1743" t="s">
        <v>60</v>
      </c>
      <c r="J1743" t="s">
        <v>41</v>
      </c>
      <c r="K1743" t="s">
        <v>26</v>
      </c>
      <c r="L1743">
        <v>19</v>
      </c>
      <c r="M1743">
        <v>0.3</v>
      </c>
      <c r="N1743" t="s">
        <v>20</v>
      </c>
    </row>
    <row r="1744" spans="1:14" x14ac:dyDescent="0.25">
      <c r="A1744">
        <v>1743</v>
      </c>
      <c r="B1744" t="s">
        <v>29</v>
      </c>
      <c r="C1744">
        <v>2022</v>
      </c>
      <c r="D1744">
        <v>1.8</v>
      </c>
      <c r="E1744" t="s">
        <v>15</v>
      </c>
      <c r="F1744">
        <v>126525</v>
      </c>
      <c r="G1744" t="s">
        <v>30</v>
      </c>
      <c r="H1744">
        <v>96982.34</v>
      </c>
      <c r="I1744" t="s">
        <v>40</v>
      </c>
      <c r="J1744" t="s">
        <v>46</v>
      </c>
      <c r="K1744" t="s">
        <v>19</v>
      </c>
      <c r="L1744">
        <v>4</v>
      </c>
      <c r="M1744">
        <v>0.77</v>
      </c>
      <c r="N1744" t="s">
        <v>33</v>
      </c>
    </row>
    <row r="1745" spans="1:14" x14ac:dyDescent="0.25">
      <c r="A1745">
        <v>1744</v>
      </c>
      <c r="B1745" t="s">
        <v>43</v>
      </c>
      <c r="C1745">
        <v>2013</v>
      </c>
      <c r="D1745">
        <v>5.3</v>
      </c>
      <c r="E1745" t="s">
        <v>15</v>
      </c>
      <c r="F1745">
        <v>36303</v>
      </c>
      <c r="G1745" t="s">
        <v>22</v>
      </c>
      <c r="H1745">
        <v>18695.509999999998</v>
      </c>
      <c r="I1745" t="s">
        <v>49</v>
      </c>
      <c r="J1745" t="s">
        <v>32</v>
      </c>
      <c r="K1745" t="s">
        <v>50</v>
      </c>
      <c r="L1745">
        <v>13</v>
      </c>
      <c r="M1745">
        <v>0.51</v>
      </c>
      <c r="N1745" t="s">
        <v>20</v>
      </c>
    </row>
    <row r="1746" spans="1:14" x14ac:dyDescent="0.25">
      <c r="A1746">
        <v>1745</v>
      </c>
      <c r="B1746" t="s">
        <v>43</v>
      </c>
      <c r="C1746">
        <v>2023</v>
      </c>
      <c r="D1746">
        <v>1.1000000000000001</v>
      </c>
      <c r="E1746" t="s">
        <v>27</v>
      </c>
      <c r="F1746">
        <v>19589</v>
      </c>
      <c r="G1746" t="s">
        <v>30</v>
      </c>
      <c r="H1746">
        <v>87936.63</v>
      </c>
      <c r="I1746" t="s">
        <v>48</v>
      </c>
      <c r="J1746" t="s">
        <v>32</v>
      </c>
      <c r="K1746" t="s">
        <v>50</v>
      </c>
      <c r="L1746">
        <v>3</v>
      </c>
      <c r="M1746">
        <v>4.49</v>
      </c>
      <c r="N1746" t="s">
        <v>20</v>
      </c>
    </row>
    <row r="1747" spans="1:14" x14ac:dyDescent="0.25">
      <c r="A1747">
        <v>1746</v>
      </c>
      <c r="B1747" t="s">
        <v>36</v>
      </c>
      <c r="C1747">
        <v>2022</v>
      </c>
      <c r="D1747">
        <v>3.6</v>
      </c>
      <c r="E1747" t="s">
        <v>27</v>
      </c>
      <c r="F1747">
        <v>265026</v>
      </c>
      <c r="G1747" t="s">
        <v>30</v>
      </c>
      <c r="H1747">
        <v>31996.91</v>
      </c>
      <c r="I1747" t="s">
        <v>54</v>
      </c>
      <c r="J1747" t="s">
        <v>32</v>
      </c>
      <c r="K1747" t="s">
        <v>26</v>
      </c>
      <c r="L1747">
        <v>4</v>
      </c>
      <c r="M1747">
        <v>0.12</v>
      </c>
      <c r="N1747" t="s">
        <v>33</v>
      </c>
    </row>
    <row r="1748" spans="1:14" x14ac:dyDescent="0.25">
      <c r="A1748">
        <v>1747</v>
      </c>
      <c r="B1748" t="s">
        <v>21</v>
      </c>
      <c r="C1748">
        <v>2021</v>
      </c>
      <c r="D1748">
        <v>4.8</v>
      </c>
      <c r="E1748" t="s">
        <v>15</v>
      </c>
      <c r="F1748">
        <v>180394</v>
      </c>
      <c r="G1748" t="s">
        <v>16</v>
      </c>
      <c r="H1748">
        <v>61180.41</v>
      </c>
      <c r="I1748" t="s">
        <v>47</v>
      </c>
      <c r="J1748" t="s">
        <v>46</v>
      </c>
      <c r="K1748" t="s">
        <v>26</v>
      </c>
      <c r="L1748">
        <v>5</v>
      </c>
      <c r="M1748">
        <v>0.34</v>
      </c>
      <c r="N1748" t="s">
        <v>20</v>
      </c>
    </row>
    <row r="1749" spans="1:14" x14ac:dyDescent="0.25">
      <c r="A1749">
        <v>1748</v>
      </c>
      <c r="B1749" t="s">
        <v>29</v>
      </c>
      <c r="C1749">
        <v>2006</v>
      </c>
      <c r="D1749">
        <v>5.7</v>
      </c>
      <c r="E1749" t="s">
        <v>15</v>
      </c>
      <c r="F1749">
        <v>129236</v>
      </c>
      <c r="G1749" t="s">
        <v>16</v>
      </c>
      <c r="H1749">
        <v>56940.01</v>
      </c>
      <c r="I1749" t="s">
        <v>31</v>
      </c>
      <c r="J1749" t="s">
        <v>46</v>
      </c>
      <c r="K1749" t="s">
        <v>19</v>
      </c>
      <c r="L1749">
        <v>20</v>
      </c>
      <c r="M1749">
        <v>0.44</v>
      </c>
      <c r="N1749" t="s">
        <v>33</v>
      </c>
    </row>
    <row r="1750" spans="1:14" x14ac:dyDescent="0.25">
      <c r="A1750">
        <v>1749</v>
      </c>
      <c r="B1750" t="s">
        <v>24</v>
      </c>
      <c r="C1750">
        <v>2020</v>
      </c>
      <c r="D1750">
        <v>5.5</v>
      </c>
      <c r="E1750" t="s">
        <v>15</v>
      </c>
      <c r="F1750">
        <v>271889</v>
      </c>
      <c r="G1750" t="s">
        <v>16</v>
      </c>
      <c r="H1750">
        <v>57910.1</v>
      </c>
      <c r="I1750" t="s">
        <v>45</v>
      </c>
      <c r="J1750" t="s">
        <v>18</v>
      </c>
      <c r="K1750" t="s">
        <v>26</v>
      </c>
      <c r="L1750">
        <v>6</v>
      </c>
      <c r="M1750">
        <v>0.21</v>
      </c>
      <c r="N1750" t="s">
        <v>20</v>
      </c>
    </row>
    <row r="1751" spans="1:14" x14ac:dyDescent="0.25">
      <c r="A1751">
        <v>1750</v>
      </c>
      <c r="B1751" t="s">
        <v>21</v>
      </c>
      <c r="C1751">
        <v>2006</v>
      </c>
      <c r="D1751">
        <v>5.0999999999999996</v>
      </c>
      <c r="E1751" t="s">
        <v>15</v>
      </c>
      <c r="F1751">
        <v>15861</v>
      </c>
      <c r="G1751" t="s">
        <v>30</v>
      </c>
      <c r="H1751">
        <v>73719.070000000007</v>
      </c>
      <c r="I1751" t="s">
        <v>60</v>
      </c>
      <c r="J1751" t="s">
        <v>46</v>
      </c>
      <c r="K1751" t="s">
        <v>50</v>
      </c>
      <c r="L1751">
        <v>20</v>
      </c>
      <c r="M1751">
        <v>4.6500000000000004</v>
      </c>
      <c r="N1751" t="s">
        <v>20</v>
      </c>
    </row>
    <row r="1752" spans="1:14" x14ac:dyDescent="0.25">
      <c r="A1752">
        <v>1751</v>
      </c>
      <c r="B1752" t="s">
        <v>29</v>
      </c>
      <c r="C1752">
        <v>2000</v>
      </c>
      <c r="D1752">
        <v>5.4</v>
      </c>
      <c r="E1752" t="s">
        <v>27</v>
      </c>
      <c r="F1752">
        <v>91707</v>
      </c>
      <c r="G1752" t="s">
        <v>22</v>
      </c>
      <c r="H1752">
        <v>41260.39</v>
      </c>
      <c r="I1752" t="s">
        <v>31</v>
      </c>
      <c r="J1752" t="s">
        <v>18</v>
      </c>
      <c r="K1752" t="s">
        <v>19</v>
      </c>
      <c r="L1752">
        <v>26</v>
      </c>
      <c r="M1752">
        <v>0.45</v>
      </c>
      <c r="N1752" t="s">
        <v>33</v>
      </c>
    </row>
    <row r="1753" spans="1:14" x14ac:dyDescent="0.25">
      <c r="A1753">
        <v>1752</v>
      </c>
      <c r="B1753" t="s">
        <v>29</v>
      </c>
      <c r="C1753">
        <v>2016</v>
      </c>
      <c r="D1753">
        <v>2</v>
      </c>
      <c r="E1753" t="s">
        <v>15</v>
      </c>
      <c r="F1753">
        <v>255043</v>
      </c>
      <c r="G1753" t="s">
        <v>16</v>
      </c>
      <c r="H1753">
        <v>35314.5</v>
      </c>
      <c r="I1753" t="s">
        <v>31</v>
      </c>
      <c r="J1753" t="s">
        <v>32</v>
      </c>
      <c r="K1753" t="s">
        <v>26</v>
      </c>
      <c r="L1753">
        <v>10</v>
      </c>
      <c r="M1753">
        <v>0.14000000000000001</v>
      </c>
      <c r="N1753" t="s">
        <v>33</v>
      </c>
    </row>
    <row r="1754" spans="1:14" x14ac:dyDescent="0.25">
      <c r="A1754">
        <v>1753</v>
      </c>
      <c r="B1754" t="s">
        <v>52</v>
      </c>
      <c r="C1754">
        <v>2008</v>
      </c>
      <c r="D1754">
        <v>2.4</v>
      </c>
      <c r="E1754" t="s">
        <v>15</v>
      </c>
      <c r="F1754">
        <v>133909</v>
      </c>
      <c r="G1754" t="s">
        <v>22</v>
      </c>
      <c r="H1754">
        <v>86019.28</v>
      </c>
      <c r="I1754" t="s">
        <v>53</v>
      </c>
      <c r="J1754" t="s">
        <v>18</v>
      </c>
      <c r="K1754" t="s">
        <v>19</v>
      </c>
      <c r="L1754">
        <v>18</v>
      </c>
      <c r="M1754">
        <v>0.64</v>
      </c>
      <c r="N1754" t="s">
        <v>33</v>
      </c>
    </row>
    <row r="1755" spans="1:14" x14ac:dyDescent="0.25">
      <c r="A1755">
        <v>1754</v>
      </c>
      <c r="B1755" t="s">
        <v>24</v>
      </c>
      <c r="C1755">
        <v>2020</v>
      </c>
      <c r="D1755">
        <v>2.4</v>
      </c>
      <c r="E1755" t="s">
        <v>15</v>
      </c>
      <c r="F1755">
        <v>54380</v>
      </c>
      <c r="G1755" t="s">
        <v>30</v>
      </c>
      <c r="H1755">
        <v>25909.03</v>
      </c>
      <c r="I1755" t="s">
        <v>25</v>
      </c>
      <c r="J1755" t="s">
        <v>41</v>
      </c>
      <c r="K1755" t="s">
        <v>19</v>
      </c>
      <c r="L1755">
        <v>6</v>
      </c>
      <c r="M1755">
        <v>0.48</v>
      </c>
      <c r="N1755" t="s">
        <v>20</v>
      </c>
    </row>
    <row r="1756" spans="1:14" x14ac:dyDescent="0.25">
      <c r="A1756">
        <v>1755</v>
      </c>
      <c r="B1756" t="s">
        <v>52</v>
      </c>
      <c r="C1756">
        <v>2012</v>
      </c>
      <c r="D1756">
        <v>2.9</v>
      </c>
      <c r="E1756" t="s">
        <v>15</v>
      </c>
      <c r="F1756">
        <v>105025</v>
      </c>
      <c r="G1756" t="s">
        <v>30</v>
      </c>
      <c r="H1756">
        <v>22123.37</v>
      </c>
      <c r="I1756" t="s">
        <v>56</v>
      </c>
      <c r="J1756" t="s">
        <v>32</v>
      </c>
      <c r="K1756" t="s">
        <v>19</v>
      </c>
      <c r="L1756">
        <v>14</v>
      </c>
      <c r="M1756">
        <v>0.21</v>
      </c>
      <c r="N1756" t="s">
        <v>33</v>
      </c>
    </row>
    <row r="1757" spans="1:14" x14ac:dyDescent="0.25">
      <c r="A1757">
        <v>1756</v>
      </c>
      <c r="B1757" t="s">
        <v>36</v>
      </c>
      <c r="C1757">
        <v>2020</v>
      </c>
      <c r="D1757">
        <v>3</v>
      </c>
      <c r="E1757" t="s">
        <v>15</v>
      </c>
      <c r="F1757">
        <v>180903</v>
      </c>
      <c r="G1757" t="s">
        <v>16</v>
      </c>
      <c r="H1757">
        <v>6482.71</v>
      </c>
      <c r="I1757" t="s">
        <v>37</v>
      </c>
      <c r="J1757" t="s">
        <v>32</v>
      </c>
      <c r="K1757" t="s">
        <v>26</v>
      </c>
      <c r="L1757">
        <v>6</v>
      </c>
      <c r="M1757">
        <v>0.04</v>
      </c>
      <c r="N1757" t="s">
        <v>33</v>
      </c>
    </row>
    <row r="1758" spans="1:14" x14ac:dyDescent="0.25">
      <c r="A1758">
        <v>1757</v>
      </c>
      <c r="B1758" t="s">
        <v>52</v>
      </c>
      <c r="C1758">
        <v>2018</v>
      </c>
      <c r="D1758">
        <v>3.7</v>
      </c>
      <c r="E1758" t="s">
        <v>15</v>
      </c>
      <c r="F1758">
        <v>220421</v>
      </c>
      <c r="G1758" t="s">
        <v>22</v>
      </c>
      <c r="H1758">
        <v>25004.89</v>
      </c>
      <c r="I1758" t="s">
        <v>56</v>
      </c>
      <c r="J1758" t="s">
        <v>18</v>
      </c>
      <c r="K1758" t="s">
        <v>26</v>
      </c>
      <c r="L1758">
        <v>8</v>
      </c>
      <c r="M1758">
        <v>0.11</v>
      </c>
      <c r="N1758" t="s">
        <v>33</v>
      </c>
    </row>
    <row r="1759" spans="1:14" x14ac:dyDescent="0.25">
      <c r="A1759">
        <v>1758</v>
      </c>
      <c r="B1759" t="s">
        <v>14</v>
      </c>
      <c r="C1759">
        <v>2020</v>
      </c>
      <c r="D1759">
        <v>1.8</v>
      </c>
      <c r="E1759" t="s">
        <v>15</v>
      </c>
      <c r="F1759">
        <v>244497</v>
      </c>
      <c r="G1759" t="s">
        <v>16</v>
      </c>
      <c r="H1759">
        <v>54260.49</v>
      </c>
      <c r="I1759" t="s">
        <v>39</v>
      </c>
      <c r="J1759" t="s">
        <v>18</v>
      </c>
      <c r="K1759" t="s">
        <v>26</v>
      </c>
      <c r="L1759">
        <v>6</v>
      </c>
      <c r="M1759">
        <v>0.22</v>
      </c>
      <c r="N1759" t="s">
        <v>20</v>
      </c>
    </row>
    <row r="1760" spans="1:14" x14ac:dyDescent="0.25">
      <c r="A1760">
        <v>1759</v>
      </c>
      <c r="B1760" t="s">
        <v>52</v>
      </c>
      <c r="C1760">
        <v>2018</v>
      </c>
      <c r="D1760">
        <v>4.5</v>
      </c>
      <c r="E1760" t="s">
        <v>27</v>
      </c>
      <c r="F1760">
        <v>160592</v>
      </c>
      <c r="G1760" t="s">
        <v>30</v>
      </c>
      <c r="H1760">
        <v>56158.34</v>
      </c>
      <c r="I1760" t="s">
        <v>53</v>
      </c>
      <c r="J1760" t="s">
        <v>46</v>
      </c>
      <c r="K1760" t="s">
        <v>26</v>
      </c>
      <c r="L1760">
        <v>8</v>
      </c>
      <c r="M1760">
        <v>0.35</v>
      </c>
      <c r="N1760" t="s">
        <v>33</v>
      </c>
    </row>
    <row r="1761" spans="1:14" x14ac:dyDescent="0.25">
      <c r="A1761">
        <v>1760</v>
      </c>
      <c r="B1761" t="s">
        <v>14</v>
      </c>
      <c r="C1761">
        <v>2021</v>
      </c>
      <c r="D1761">
        <v>1.8</v>
      </c>
      <c r="E1761" t="s">
        <v>27</v>
      </c>
      <c r="F1761">
        <v>44397</v>
      </c>
      <c r="G1761" t="s">
        <v>22</v>
      </c>
      <c r="H1761">
        <v>29169.95</v>
      </c>
      <c r="I1761" t="s">
        <v>58</v>
      </c>
      <c r="J1761" t="s">
        <v>18</v>
      </c>
      <c r="K1761" t="s">
        <v>50</v>
      </c>
      <c r="L1761">
        <v>5</v>
      </c>
      <c r="M1761">
        <v>0.66</v>
      </c>
      <c r="N1761" t="s">
        <v>20</v>
      </c>
    </row>
    <row r="1762" spans="1:14" x14ac:dyDescent="0.25">
      <c r="A1762">
        <v>1761</v>
      </c>
      <c r="B1762" t="s">
        <v>21</v>
      </c>
      <c r="C1762">
        <v>2016</v>
      </c>
      <c r="D1762">
        <v>2.6</v>
      </c>
      <c r="E1762" t="s">
        <v>27</v>
      </c>
      <c r="F1762">
        <v>277132</v>
      </c>
      <c r="G1762" t="s">
        <v>16</v>
      </c>
      <c r="H1762">
        <v>11866.05</v>
      </c>
      <c r="I1762" t="s">
        <v>23</v>
      </c>
      <c r="J1762" t="s">
        <v>18</v>
      </c>
      <c r="K1762" t="s">
        <v>26</v>
      </c>
      <c r="L1762">
        <v>10</v>
      </c>
      <c r="M1762">
        <v>0.04</v>
      </c>
      <c r="N1762" t="s">
        <v>20</v>
      </c>
    </row>
    <row r="1763" spans="1:14" x14ac:dyDescent="0.25">
      <c r="A1763">
        <v>1762</v>
      </c>
      <c r="B1763" t="s">
        <v>43</v>
      </c>
      <c r="C1763">
        <v>2022</v>
      </c>
      <c r="D1763">
        <v>3.5</v>
      </c>
      <c r="E1763" t="s">
        <v>15</v>
      </c>
      <c r="F1763">
        <v>158795</v>
      </c>
      <c r="G1763" t="s">
        <v>30</v>
      </c>
      <c r="H1763">
        <v>75740.88</v>
      </c>
      <c r="I1763" t="s">
        <v>55</v>
      </c>
      <c r="J1763" t="s">
        <v>18</v>
      </c>
      <c r="K1763" t="s">
        <v>26</v>
      </c>
      <c r="L1763">
        <v>4</v>
      </c>
      <c r="M1763">
        <v>0.48</v>
      </c>
      <c r="N1763" t="s">
        <v>20</v>
      </c>
    </row>
    <row r="1764" spans="1:14" x14ac:dyDescent="0.25">
      <c r="A1764">
        <v>1763</v>
      </c>
      <c r="B1764" t="s">
        <v>29</v>
      </c>
      <c r="C1764">
        <v>2022</v>
      </c>
      <c r="D1764">
        <v>5</v>
      </c>
      <c r="E1764" t="s">
        <v>27</v>
      </c>
      <c r="F1764">
        <v>33800</v>
      </c>
      <c r="G1764" t="s">
        <v>16</v>
      </c>
      <c r="H1764">
        <v>77007.66</v>
      </c>
      <c r="I1764" t="s">
        <v>40</v>
      </c>
      <c r="J1764" t="s">
        <v>32</v>
      </c>
      <c r="K1764" t="s">
        <v>50</v>
      </c>
      <c r="L1764">
        <v>4</v>
      </c>
      <c r="M1764">
        <v>2.2799999999999998</v>
      </c>
      <c r="N1764" t="s">
        <v>33</v>
      </c>
    </row>
    <row r="1765" spans="1:14" x14ac:dyDescent="0.25">
      <c r="A1765">
        <v>1764</v>
      </c>
      <c r="B1765" t="s">
        <v>14</v>
      </c>
      <c r="C1765">
        <v>2009</v>
      </c>
      <c r="D1765">
        <v>4.7</v>
      </c>
      <c r="E1765" t="s">
        <v>15</v>
      </c>
      <c r="F1765">
        <v>158502</v>
      </c>
      <c r="G1765" t="s">
        <v>22</v>
      </c>
      <c r="H1765">
        <v>99794.46</v>
      </c>
      <c r="I1765" t="s">
        <v>39</v>
      </c>
      <c r="J1765" t="s">
        <v>18</v>
      </c>
      <c r="K1765" t="s">
        <v>26</v>
      </c>
      <c r="L1765">
        <v>17</v>
      </c>
      <c r="M1765">
        <v>0.63</v>
      </c>
      <c r="N1765" t="s">
        <v>20</v>
      </c>
    </row>
    <row r="1766" spans="1:14" x14ac:dyDescent="0.25">
      <c r="A1766">
        <v>1765</v>
      </c>
      <c r="B1766" t="s">
        <v>24</v>
      </c>
      <c r="C1766">
        <v>2009</v>
      </c>
      <c r="D1766">
        <v>4.2</v>
      </c>
      <c r="E1766" t="s">
        <v>15</v>
      </c>
      <c r="F1766">
        <v>199548</v>
      </c>
      <c r="G1766" t="s">
        <v>22</v>
      </c>
      <c r="H1766">
        <v>90502.81</v>
      </c>
      <c r="I1766" t="s">
        <v>34</v>
      </c>
      <c r="J1766" t="s">
        <v>32</v>
      </c>
      <c r="K1766" t="s">
        <v>26</v>
      </c>
      <c r="L1766">
        <v>17</v>
      </c>
      <c r="M1766">
        <v>0.45</v>
      </c>
      <c r="N1766" t="s">
        <v>20</v>
      </c>
    </row>
    <row r="1767" spans="1:14" x14ac:dyDescent="0.25">
      <c r="A1767">
        <v>1766</v>
      </c>
      <c r="B1767" t="s">
        <v>52</v>
      </c>
      <c r="C1767">
        <v>2003</v>
      </c>
      <c r="D1767">
        <v>1.8</v>
      </c>
      <c r="E1767" t="s">
        <v>15</v>
      </c>
      <c r="F1767">
        <v>257653</v>
      </c>
      <c r="G1767" t="s">
        <v>22</v>
      </c>
      <c r="H1767">
        <v>92975.9</v>
      </c>
      <c r="I1767" t="s">
        <v>53</v>
      </c>
      <c r="J1767" t="s">
        <v>32</v>
      </c>
      <c r="K1767" t="s">
        <v>26</v>
      </c>
      <c r="L1767">
        <v>23</v>
      </c>
      <c r="M1767">
        <v>0.36</v>
      </c>
      <c r="N1767" t="s">
        <v>33</v>
      </c>
    </row>
    <row r="1768" spans="1:14" x14ac:dyDescent="0.25">
      <c r="A1768">
        <v>1767</v>
      </c>
      <c r="B1768" t="s">
        <v>14</v>
      </c>
      <c r="C1768">
        <v>2007</v>
      </c>
      <c r="D1768">
        <v>3.7</v>
      </c>
      <c r="E1768" t="s">
        <v>15</v>
      </c>
      <c r="F1768">
        <v>52284</v>
      </c>
      <c r="G1768" t="s">
        <v>22</v>
      </c>
      <c r="H1768">
        <v>80829.36</v>
      </c>
      <c r="I1768" t="s">
        <v>39</v>
      </c>
      <c r="J1768" t="s">
        <v>18</v>
      </c>
      <c r="K1768" t="s">
        <v>19</v>
      </c>
      <c r="L1768">
        <v>19</v>
      </c>
      <c r="M1768">
        <v>1.55</v>
      </c>
      <c r="N1768" t="s">
        <v>20</v>
      </c>
    </row>
    <row r="1769" spans="1:14" x14ac:dyDescent="0.25">
      <c r="A1769">
        <v>1768</v>
      </c>
      <c r="B1769" t="s">
        <v>24</v>
      </c>
      <c r="C1769">
        <v>2021</v>
      </c>
      <c r="D1769">
        <v>1.4</v>
      </c>
      <c r="E1769" t="s">
        <v>27</v>
      </c>
      <c r="F1769">
        <v>56232</v>
      </c>
      <c r="G1769" t="s">
        <v>22</v>
      </c>
      <c r="H1769">
        <v>63472.77</v>
      </c>
      <c r="I1769" t="s">
        <v>25</v>
      </c>
      <c r="J1769" t="s">
        <v>32</v>
      </c>
      <c r="K1769" t="s">
        <v>19</v>
      </c>
      <c r="L1769">
        <v>5</v>
      </c>
      <c r="M1769">
        <v>1.1299999999999999</v>
      </c>
      <c r="N1769" t="s">
        <v>20</v>
      </c>
    </row>
    <row r="1770" spans="1:14" x14ac:dyDescent="0.25">
      <c r="A1770">
        <v>1769</v>
      </c>
      <c r="B1770" t="s">
        <v>43</v>
      </c>
      <c r="C1770">
        <v>2019</v>
      </c>
      <c r="D1770">
        <v>2.9</v>
      </c>
      <c r="E1770" t="s">
        <v>15</v>
      </c>
      <c r="F1770">
        <v>44420</v>
      </c>
      <c r="G1770" t="s">
        <v>16</v>
      </c>
      <c r="H1770">
        <v>17211.87</v>
      </c>
      <c r="I1770" t="s">
        <v>49</v>
      </c>
      <c r="J1770" t="s">
        <v>41</v>
      </c>
      <c r="K1770" t="s">
        <v>50</v>
      </c>
      <c r="L1770">
        <v>7</v>
      </c>
      <c r="M1770">
        <v>0.39</v>
      </c>
      <c r="N1770" t="s">
        <v>20</v>
      </c>
    </row>
    <row r="1771" spans="1:14" x14ac:dyDescent="0.25">
      <c r="A1771">
        <v>1770</v>
      </c>
      <c r="B1771" t="s">
        <v>43</v>
      </c>
      <c r="C1771">
        <v>2019</v>
      </c>
      <c r="D1771">
        <v>3.1</v>
      </c>
      <c r="E1771" t="s">
        <v>15</v>
      </c>
      <c r="F1771">
        <v>299854</v>
      </c>
      <c r="G1771" t="s">
        <v>16</v>
      </c>
      <c r="H1771">
        <v>64119.76</v>
      </c>
      <c r="I1771" t="s">
        <v>44</v>
      </c>
      <c r="J1771" t="s">
        <v>32</v>
      </c>
      <c r="K1771" t="s">
        <v>26</v>
      </c>
      <c r="L1771">
        <v>7</v>
      </c>
      <c r="M1771">
        <v>0.21</v>
      </c>
      <c r="N1771" t="s">
        <v>20</v>
      </c>
    </row>
    <row r="1772" spans="1:14" x14ac:dyDescent="0.25">
      <c r="A1772">
        <v>1771</v>
      </c>
      <c r="B1772" t="s">
        <v>52</v>
      </c>
      <c r="C1772">
        <v>2017</v>
      </c>
      <c r="D1772">
        <v>1.2</v>
      </c>
      <c r="E1772" t="s">
        <v>27</v>
      </c>
      <c r="F1772">
        <v>92035</v>
      </c>
      <c r="G1772" t="s">
        <v>16</v>
      </c>
      <c r="H1772">
        <v>10315.81</v>
      </c>
      <c r="I1772" t="s">
        <v>53</v>
      </c>
      <c r="J1772" t="s">
        <v>32</v>
      </c>
      <c r="K1772" t="s">
        <v>19</v>
      </c>
      <c r="L1772">
        <v>9</v>
      </c>
      <c r="M1772">
        <v>0.11</v>
      </c>
      <c r="N1772" t="s">
        <v>33</v>
      </c>
    </row>
    <row r="1773" spans="1:14" x14ac:dyDescent="0.25">
      <c r="A1773">
        <v>1772</v>
      </c>
      <c r="B1773" t="s">
        <v>36</v>
      </c>
      <c r="C1773">
        <v>2013</v>
      </c>
      <c r="D1773">
        <v>2.4</v>
      </c>
      <c r="E1773" t="s">
        <v>27</v>
      </c>
      <c r="F1773">
        <v>293427</v>
      </c>
      <c r="G1773" t="s">
        <v>16</v>
      </c>
      <c r="H1773">
        <v>89103.42</v>
      </c>
      <c r="I1773" t="s">
        <v>51</v>
      </c>
      <c r="J1773" t="s">
        <v>18</v>
      </c>
      <c r="K1773" t="s">
        <v>26</v>
      </c>
      <c r="L1773">
        <v>13</v>
      </c>
      <c r="M1773">
        <v>0.3</v>
      </c>
      <c r="N1773" t="s">
        <v>33</v>
      </c>
    </row>
    <row r="1774" spans="1:14" x14ac:dyDescent="0.25">
      <c r="A1774">
        <v>1773</v>
      </c>
      <c r="B1774" t="s">
        <v>52</v>
      </c>
      <c r="C1774">
        <v>2017</v>
      </c>
      <c r="D1774">
        <v>5.8</v>
      </c>
      <c r="E1774" t="s">
        <v>27</v>
      </c>
      <c r="F1774">
        <v>197241</v>
      </c>
      <c r="G1774" t="s">
        <v>30</v>
      </c>
      <c r="H1774">
        <v>50773.03</v>
      </c>
      <c r="I1774" t="s">
        <v>56</v>
      </c>
      <c r="J1774" t="s">
        <v>32</v>
      </c>
      <c r="K1774" t="s">
        <v>26</v>
      </c>
      <c r="L1774">
        <v>9</v>
      </c>
      <c r="M1774">
        <v>0.26</v>
      </c>
      <c r="N1774" t="s">
        <v>33</v>
      </c>
    </row>
    <row r="1775" spans="1:14" x14ac:dyDescent="0.25">
      <c r="A1775">
        <v>1774</v>
      </c>
      <c r="B1775" t="s">
        <v>21</v>
      </c>
      <c r="C1775">
        <v>2013</v>
      </c>
      <c r="D1775">
        <v>5.8</v>
      </c>
      <c r="E1775" t="s">
        <v>15</v>
      </c>
      <c r="F1775">
        <v>193529</v>
      </c>
      <c r="G1775" t="s">
        <v>30</v>
      </c>
      <c r="H1775">
        <v>71259.92</v>
      </c>
      <c r="I1775" t="s">
        <v>60</v>
      </c>
      <c r="J1775" t="s">
        <v>46</v>
      </c>
      <c r="K1775" t="s">
        <v>26</v>
      </c>
      <c r="L1775">
        <v>13</v>
      </c>
      <c r="M1775">
        <v>0.37</v>
      </c>
      <c r="N1775" t="s">
        <v>20</v>
      </c>
    </row>
    <row r="1776" spans="1:14" x14ac:dyDescent="0.25">
      <c r="A1776">
        <v>1775</v>
      </c>
      <c r="B1776" t="s">
        <v>14</v>
      </c>
      <c r="C1776">
        <v>2019</v>
      </c>
      <c r="D1776">
        <v>2.8</v>
      </c>
      <c r="E1776" t="s">
        <v>27</v>
      </c>
      <c r="F1776">
        <v>249863</v>
      </c>
      <c r="G1776" t="s">
        <v>16</v>
      </c>
      <c r="H1776">
        <v>9963.15</v>
      </c>
      <c r="I1776" t="s">
        <v>17</v>
      </c>
      <c r="J1776" t="s">
        <v>18</v>
      </c>
      <c r="K1776" t="s">
        <v>26</v>
      </c>
      <c r="L1776">
        <v>7</v>
      </c>
      <c r="M1776">
        <v>0.04</v>
      </c>
      <c r="N1776" t="s">
        <v>20</v>
      </c>
    </row>
    <row r="1777" spans="1:14" x14ac:dyDescent="0.25">
      <c r="A1777">
        <v>1776</v>
      </c>
      <c r="B1777" t="s">
        <v>29</v>
      </c>
      <c r="C1777">
        <v>2020</v>
      </c>
      <c r="D1777">
        <v>1.2</v>
      </c>
      <c r="E1777" t="s">
        <v>15</v>
      </c>
      <c r="F1777">
        <v>25968</v>
      </c>
      <c r="G1777" t="s">
        <v>30</v>
      </c>
      <c r="H1777">
        <v>55753.599999999999</v>
      </c>
      <c r="I1777" t="s">
        <v>38</v>
      </c>
      <c r="J1777" t="s">
        <v>32</v>
      </c>
      <c r="K1777" t="s">
        <v>50</v>
      </c>
      <c r="L1777">
        <v>6</v>
      </c>
      <c r="M1777">
        <v>2.15</v>
      </c>
      <c r="N1777" t="s">
        <v>33</v>
      </c>
    </row>
    <row r="1778" spans="1:14" x14ac:dyDescent="0.25">
      <c r="A1778">
        <v>1777</v>
      </c>
      <c r="B1778" t="s">
        <v>36</v>
      </c>
      <c r="C1778">
        <v>2023</v>
      </c>
      <c r="D1778">
        <v>1.9</v>
      </c>
      <c r="E1778" t="s">
        <v>15</v>
      </c>
      <c r="F1778">
        <v>62508</v>
      </c>
      <c r="G1778" t="s">
        <v>30</v>
      </c>
      <c r="H1778">
        <v>33620.019999999997</v>
      </c>
      <c r="I1778" t="s">
        <v>57</v>
      </c>
      <c r="J1778" t="s">
        <v>41</v>
      </c>
      <c r="K1778" t="s">
        <v>19</v>
      </c>
      <c r="L1778">
        <v>3</v>
      </c>
      <c r="M1778">
        <v>0.54</v>
      </c>
      <c r="N1778" t="s">
        <v>33</v>
      </c>
    </row>
    <row r="1779" spans="1:14" x14ac:dyDescent="0.25">
      <c r="A1779">
        <v>1778</v>
      </c>
      <c r="B1779" t="s">
        <v>52</v>
      </c>
      <c r="C1779">
        <v>2014</v>
      </c>
      <c r="D1779">
        <v>3</v>
      </c>
      <c r="E1779" t="s">
        <v>27</v>
      </c>
      <c r="F1779">
        <v>235863</v>
      </c>
      <c r="G1779" t="s">
        <v>22</v>
      </c>
      <c r="H1779">
        <v>32071.99</v>
      </c>
      <c r="I1779" t="s">
        <v>53</v>
      </c>
      <c r="J1779" t="s">
        <v>41</v>
      </c>
      <c r="K1779" t="s">
        <v>26</v>
      </c>
      <c r="L1779">
        <v>12</v>
      </c>
      <c r="M1779">
        <v>0.14000000000000001</v>
      </c>
      <c r="N1779" t="s">
        <v>33</v>
      </c>
    </row>
    <row r="1780" spans="1:14" x14ac:dyDescent="0.25">
      <c r="A1780">
        <v>1779</v>
      </c>
      <c r="B1780" t="s">
        <v>24</v>
      </c>
      <c r="C1780">
        <v>2021</v>
      </c>
      <c r="D1780">
        <v>5.7</v>
      </c>
      <c r="E1780" t="s">
        <v>27</v>
      </c>
      <c r="F1780">
        <v>194292</v>
      </c>
      <c r="G1780" t="s">
        <v>16</v>
      </c>
      <c r="H1780">
        <v>42017.31</v>
      </c>
      <c r="I1780" t="s">
        <v>34</v>
      </c>
      <c r="J1780" t="s">
        <v>18</v>
      </c>
      <c r="K1780" t="s">
        <v>26</v>
      </c>
      <c r="L1780">
        <v>5</v>
      </c>
      <c r="M1780">
        <v>0.22</v>
      </c>
      <c r="N1780" t="s">
        <v>20</v>
      </c>
    </row>
    <row r="1781" spans="1:14" x14ac:dyDescent="0.25">
      <c r="A1781">
        <v>1780</v>
      </c>
      <c r="B1781" t="s">
        <v>36</v>
      </c>
      <c r="C1781">
        <v>2003</v>
      </c>
      <c r="D1781">
        <v>1.7</v>
      </c>
      <c r="E1781" t="s">
        <v>27</v>
      </c>
      <c r="F1781">
        <v>85366</v>
      </c>
      <c r="G1781" t="s">
        <v>30</v>
      </c>
      <c r="H1781">
        <v>5060.75</v>
      </c>
      <c r="I1781" t="s">
        <v>54</v>
      </c>
      <c r="J1781" t="s">
        <v>18</v>
      </c>
      <c r="K1781" t="s">
        <v>19</v>
      </c>
      <c r="L1781">
        <v>23</v>
      </c>
      <c r="M1781">
        <v>0.06</v>
      </c>
      <c r="N1781" t="s">
        <v>33</v>
      </c>
    </row>
    <row r="1782" spans="1:14" x14ac:dyDescent="0.25">
      <c r="A1782">
        <v>1781</v>
      </c>
      <c r="B1782" t="s">
        <v>14</v>
      </c>
      <c r="C1782">
        <v>2012</v>
      </c>
      <c r="D1782">
        <v>4.8</v>
      </c>
      <c r="E1782" t="s">
        <v>15</v>
      </c>
      <c r="F1782">
        <v>5738</v>
      </c>
      <c r="G1782" t="s">
        <v>30</v>
      </c>
      <c r="H1782">
        <v>49332.78</v>
      </c>
      <c r="I1782" t="s">
        <v>39</v>
      </c>
      <c r="J1782" t="s">
        <v>18</v>
      </c>
      <c r="K1782" t="s">
        <v>50</v>
      </c>
      <c r="L1782">
        <v>14</v>
      </c>
      <c r="M1782">
        <v>8.6</v>
      </c>
      <c r="N1782" t="s">
        <v>20</v>
      </c>
    </row>
    <row r="1783" spans="1:14" x14ac:dyDescent="0.25">
      <c r="A1783">
        <v>1782</v>
      </c>
      <c r="B1783" t="s">
        <v>36</v>
      </c>
      <c r="C1783">
        <v>2022</v>
      </c>
      <c r="D1783">
        <v>1.5</v>
      </c>
      <c r="E1783" t="s">
        <v>15</v>
      </c>
      <c r="F1783">
        <v>3098</v>
      </c>
      <c r="G1783" t="s">
        <v>16</v>
      </c>
      <c r="H1783">
        <v>51223.83</v>
      </c>
      <c r="I1783" t="s">
        <v>37</v>
      </c>
      <c r="J1783" t="s">
        <v>46</v>
      </c>
      <c r="K1783" t="s">
        <v>50</v>
      </c>
      <c r="L1783">
        <v>4</v>
      </c>
      <c r="M1783">
        <v>16.53</v>
      </c>
      <c r="N1783" t="s">
        <v>33</v>
      </c>
    </row>
    <row r="1784" spans="1:14" x14ac:dyDescent="0.25">
      <c r="A1784">
        <v>1783</v>
      </c>
      <c r="B1784" t="s">
        <v>14</v>
      </c>
      <c r="C1784">
        <v>2007</v>
      </c>
      <c r="D1784">
        <v>5.9</v>
      </c>
      <c r="E1784" t="s">
        <v>15</v>
      </c>
      <c r="F1784">
        <v>95424</v>
      </c>
      <c r="G1784" t="s">
        <v>22</v>
      </c>
      <c r="H1784">
        <v>86997.440000000002</v>
      </c>
      <c r="I1784" t="s">
        <v>17</v>
      </c>
      <c r="J1784" t="s">
        <v>18</v>
      </c>
      <c r="K1784" t="s">
        <v>19</v>
      </c>
      <c r="L1784">
        <v>19</v>
      </c>
      <c r="M1784">
        <v>0.91</v>
      </c>
      <c r="N1784" t="s">
        <v>20</v>
      </c>
    </row>
    <row r="1785" spans="1:14" x14ac:dyDescent="0.25">
      <c r="A1785">
        <v>1784</v>
      </c>
      <c r="B1785" t="s">
        <v>52</v>
      </c>
      <c r="C1785">
        <v>2017</v>
      </c>
      <c r="D1785">
        <v>2.9</v>
      </c>
      <c r="E1785" t="s">
        <v>15</v>
      </c>
      <c r="F1785">
        <v>204705</v>
      </c>
      <c r="G1785" t="s">
        <v>16</v>
      </c>
      <c r="H1785">
        <v>47609.93</v>
      </c>
      <c r="I1785" t="s">
        <v>59</v>
      </c>
      <c r="J1785" t="s">
        <v>41</v>
      </c>
      <c r="K1785" t="s">
        <v>26</v>
      </c>
      <c r="L1785">
        <v>9</v>
      </c>
      <c r="M1785">
        <v>0.23</v>
      </c>
      <c r="N1785" t="s">
        <v>33</v>
      </c>
    </row>
    <row r="1786" spans="1:14" x14ac:dyDescent="0.25">
      <c r="A1786">
        <v>1785</v>
      </c>
      <c r="B1786" t="s">
        <v>14</v>
      </c>
      <c r="C1786">
        <v>2011</v>
      </c>
      <c r="D1786">
        <v>4.9000000000000004</v>
      </c>
      <c r="E1786" t="s">
        <v>15</v>
      </c>
      <c r="F1786">
        <v>78672</v>
      </c>
      <c r="G1786" t="s">
        <v>22</v>
      </c>
      <c r="H1786">
        <v>39537.85</v>
      </c>
      <c r="I1786" t="s">
        <v>17</v>
      </c>
      <c r="J1786" t="s">
        <v>18</v>
      </c>
      <c r="K1786" t="s">
        <v>19</v>
      </c>
      <c r="L1786">
        <v>15</v>
      </c>
      <c r="M1786">
        <v>0.5</v>
      </c>
      <c r="N1786" t="s">
        <v>20</v>
      </c>
    </row>
    <row r="1787" spans="1:14" x14ac:dyDescent="0.25">
      <c r="A1787">
        <v>1786</v>
      </c>
      <c r="B1787" t="s">
        <v>36</v>
      </c>
      <c r="C1787">
        <v>2022</v>
      </c>
      <c r="D1787">
        <v>2.7</v>
      </c>
      <c r="E1787" t="s">
        <v>15</v>
      </c>
      <c r="F1787">
        <v>139325</v>
      </c>
      <c r="G1787" t="s">
        <v>30</v>
      </c>
      <c r="H1787">
        <v>99500.97</v>
      </c>
      <c r="I1787" t="s">
        <v>37</v>
      </c>
      <c r="J1787" t="s">
        <v>46</v>
      </c>
      <c r="K1787" t="s">
        <v>19</v>
      </c>
      <c r="L1787">
        <v>4</v>
      </c>
      <c r="M1787">
        <v>0.71</v>
      </c>
      <c r="N1787" t="s">
        <v>33</v>
      </c>
    </row>
    <row r="1788" spans="1:14" x14ac:dyDescent="0.25">
      <c r="A1788">
        <v>1787</v>
      </c>
      <c r="B1788" t="s">
        <v>24</v>
      </c>
      <c r="C1788">
        <v>2013</v>
      </c>
      <c r="D1788">
        <v>4.0999999999999996</v>
      </c>
      <c r="E1788" t="s">
        <v>27</v>
      </c>
      <c r="F1788">
        <v>125349</v>
      </c>
      <c r="G1788" t="s">
        <v>22</v>
      </c>
      <c r="H1788">
        <v>59265.27</v>
      </c>
      <c r="I1788" t="s">
        <v>34</v>
      </c>
      <c r="J1788" t="s">
        <v>46</v>
      </c>
      <c r="K1788" t="s">
        <v>19</v>
      </c>
      <c r="L1788">
        <v>13</v>
      </c>
      <c r="M1788">
        <v>0.47</v>
      </c>
      <c r="N1788" t="s">
        <v>20</v>
      </c>
    </row>
    <row r="1789" spans="1:14" x14ac:dyDescent="0.25">
      <c r="A1789">
        <v>1788</v>
      </c>
      <c r="B1789" t="s">
        <v>43</v>
      </c>
      <c r="C1789">
        <v>2001</v>
      </c>
      <c r="D1789">
        <v>2</v>
      </c>
      <c r="E1789" t="s">
        <v>15</v>
      </c>
      <c r="F1789">
        <v>50969</v>
      </c>
      <c r="G1789" t="s">
        <v>22</v>
      </c>
      <c r="H1789">
        <v>49898.25</v>
      </c>
      <c r="I1789" t="s">
        <v>44</v>
      </c>
      <c r="J1789" t="s">
        <v>32</v>
      </c>
      <c r="K1789" t="s">
        <v>19</v>
      </c>
      <c r="L1789">
        <v>25</v>
      </c>
      <c r="M1789">
        <v>0.98</v>
      </c>
      <c r="N1789" t="s">
        <v>20</v>
      </c>
    </row>
    <row r="1790" spans="1:14" x14ac:dyDescent="0.25">
      <c r="A1790">
        <v>1789</v>
      </c>
      <c r="B1790" t="s">
        <v>36</v>
      </c>
      <c r="C1790">
        <v>2017</v>
      </c>
      <c r="D1790">
        <v>1.7</v>
      </c>
      <c r="E1790" t="s">
        <v>27</v>
      </c>
      <c r="F1790">
        <v>90744</v>
      </c>
      <c r="G1790" t="s">
        <v>16</v>
      </c>
      <c r="H1790">
        <v>52113.9</v>
      </c>
      <c r="I1790" t="s">
        <v>57</v>
      </c>
      <c r="J1790" t="s">
        <v>41</v>
      </c>
      <c r="K1790" t="s">
        <v>19</v>
      </c>
      <c r="L1790">
        <v>9</v>
      </c>
      <c r="M1790">
        <v>0.56999999999999995</v>
      </c>
      <c r="N1790" t="s">
        <v>33</v>
      </c>
    </row>
    <row r="1791" spans="1:14" x14ac:dyDescent="0.25">
      <c r="A1791">
        <v>1790</v>
      </c>
      <c r="B1791" t="s">
        <v>14</v>
      </c>
      <c r="C1791">
        <v>2023</v>
      </c>
      <c r="D1791">
        <v>5.7</v>
      </c>
      <c r="E1791" t="s">
        <v>27</v>
      </c>
      <c r="F1791">
        <v>201495</v>
      </c>
      <c r="G1791" t="s">
        <v>30</v>
      </c>
      <c r="H1791">
        <v>81872.22</v>
      </c>
      <c r="I1791" t="s">
        <v>39</v>
      </c>
      <c r="J1791" t="s">
        <v>18</v>
      </c>
      <c r="K1791" t="s">
        <v>26</v>
      </c>
      <c r="L1791">
        <v>3</v>
      </c>
      <c r="M1791">
        <v>0.41</v>
      </c>
      <c r="N1791" t="s">
        <v>20</v>
      </c>
    </row>
    <row r="1792" spans="1:14" x14ac:dyDescent="0.25">
      <c r="A1792">
        <v>1791</v>
      </c>
      <c r="B1792" t="s">
        <v>43</v>
      </c>
      <c r="C1792">
        <v>2001</v>
      </c>
      <c r="D1792">
        <v>5.6</v>
      </c>
      <c r="E1792" t="s">
        <v>27</v>
      </c>
      <c r="F1792">
        <v>117286</v>
      </c>
      <c r="G1792" t="s">
        <v>16</v>
      </c>
      <c r="H1792">
        <v>37364.26</v>
      </c>
      <c r="I1792" t="s">
        <v>48</v>
      </c>
      <c r="J1792" t="s">
        <v>32</v>
      </c>
      <c r="K1792" t="s">
        <v>19</v>
      </c>
      <c r="L1792">
        <v>25</v>
      </c>
      <c r="M1792">
        <v>0.32</v>
      </c>
      <c r="N1792" t="s">
        <v>20</v>
      </c>
    </row>
    <row r="1793" spans="1:14" x14ac:dyDescent="0.25">
      <c r="A1793">
        <v>1792</v>
      </c>
      <c r="B1793" t="s">
        <v>14</v>
      </c>
      <c r="C1793">
        <v>2010</v>
      </c>
      <c r="D1793">
        <v>5.4</v>
      </c>
      <c r="E1793" t="s">
        <v>27</v>
      </c>
      <c r="F1793">
        <v>75028</v>
      </c>
      <c r="G1793" t="s">
        <v>16</v>
      </c>
      <c r="H1793">
        <v>41970.239999999998</v>
      </c>
      <c r="I1793" t="s">
        <v>39</v>
      </c>
      <c r="J1793" t="s">
        <v>18</v>
      </c>
      <c r="K1793" t="s">
        <v>19</v>
      </c>
      <c r="L1793">
        <v>16</v>
      </c>
      <c r="M1793">
        <v>0.56000000000000005</v>
      </c>
      <c r="N1793" t="s">
        <v>20</v>
      </c>
    </row>
    <row r="1794" spans="1:14" x14ac:dyDescent="0.25">
      <c r="A1794">
        <v>1793</v>
      </c>
      <c r="B1794" t="s">
        <v>24</v>
      </c>
      <c r="C1794">
        <v>2008</v>
      </c>
      <c r="D1794">
        <v>4.0999999999999996</v>
      </c>
      <c r="E1794" t="s">
        <v>27</v>
      </c>
      <c r="F1794">
        <v>297565</v>
      </c>
      <c r="G1794" t="s">
        <v>30</v>
      </c>
      <c r="H1794">
        <v>76807.97</v>
      </c>
      <c r="I1794" t="s">
        <v>45</v>
      </c>
      <c r="J1794" t="s">
        <v>46</v>
      </c>
      <c r="K1794" t="s">
        <v>26</v>
      </c>
      <c r="L1794">
        <v>18</v>
      </c>
      <c r="M1794">
        <v>0.26</v>
      </c>
      <c r="N1794" t="s">
        <v>20</v>
      </c>
    </row>
    <row r="1795" spans="1:14" x14ac:dyDescent="0.25">
      <c r="A1795">
        <v>1794</v>
      </c>
      <c r="B1795" t="s">
        <v>14</v>
      </c>
      <c r="C1795">
        <v>2011</v>
      </c>
      <c r="D1795">
        <v>5</v>
      </c>
      <c r="E1795" t="s">
        <v>15</v>
      </c>
      <c r="F1795">
        <v>38575</v>
      </c>
      <c r="G1795" t="s">
        <v>16</v>
      </c>
      <c r="H1795">
        <v>11933.46</v>
      </c>
      <c r="I1795" t="s">
        <v>39</v>
      </c>
      <c r="J1795" t="s">
        <v>18</v>
      </c>
      <c r="K1795" t="s">
        <v>50</v>
      </c>
      <c r="L1795">
        <v>15</v>
      </c>
      <c r="M1795">
        <v>0.31</v>
      </c>
      <c r="N1795" t="s">
        <v>20</v>
      </c>
    </row>
    <row r="1796" spans="1:14" x14ac:dyDescent="0.25">
      <c r="A1796">
        <v>1795</v>
      </c>
      <c r="B1796" t="s">
        <v>52</v>
      </c>
      <c r="C1796">
        <v>2016</v>
      </c>
      <c r="D1796">
        <v>1.3</v>
      </c>
      <c r="E1796" t="s">
        <v>15</v>
      </c>
      <c r="F1796">
        <v>3192</v>
      </c>
      <c r="G1796" t="s">
        <v>16</v>
      </c>
      <c r="H1796">
        <v>87191.07</v>
      </c>
      <c r="I1796" t="s">
        <v>61</v>
      </c>
      <c r="J1796" t="s">
        <v>32</v>
      </c>
      <c r="K1796" t="s">
        <v>50</v>
      </c>
      <c r="L1796">
        <v>10</v>
      </c>
      <c r="M1796">
        <v>27.32</v>
      </c>
      <c r="N1796" t="s">
        <v>33</v>
      </c>
    </row>
    <row r="1797" spans="1:14" x14ac:dyDescent="0.25">
      <c r="A1797">
        <v>1796</v>
      </c>
      <c r="B1797" t="s">
        <v>29</v>
      </c>
      <c r="C1797">
        <v>2014</v>
      </c>
      <c r="D1797">
        <v>2.7</v>
      </c>
      <c r="E1797" t="s">
        <v>15</v>
      </c>
      <c r="F1797">
        <v>111116</v>
      </c>
      <c r="G1797" t="s">
        <v>22</v>
      </c>
      <c r="H1797">
        <v>45869.26</v>
      </c>
      <c r="I1797" t="s">
        <v>40</v>
      </c>
      <c r="J1797" t="s">
        <v>41</v>
      </c>
      <c r="K1797" t="s">
        <v>19</v>
      </c>
      <c r="L1797">
        <v>12</v>
      </c>
      <c r="M1797">
        <v>0.41</v>
      </c>
      <c r="N1797" t="s">
        <v>33</v>
      </c>
    </row>
    <row r="1798" spans="1:14" x14ac:dyDescent="0.25">
      <c r="A1798">
        <v>1797</v>
      </c>
      <c r="B1798" t="s">
        <v>36</v>
      </c>
      <c r="C1798">
        <v>2016</v>
      </c>
      <c r="D1798">
        <v>2.6</v>
      </c>
      <c r="E1798" t="s">
        <v>15</v>
      </c>
      <c r="F1798">
        <v>81311</v>
      </c>
      <c r="G1798" t="s">
        <v>16</v>
      </c>
      <c r="H1798">
        <v>60222.83</v>
      </c>
      <c r="I1798" t="s">
        <v>57</v>
      </c>
      <c r="J1798" t="s">
        <v>46</v>
      </c>
      <c r="K1798" t="s">
        <v>19</v>
      </c>
      <c r="L1798">
        <v>10</v>
      </c>
      <c r="M1798">
        <v>0.74</v>
      </c>
      <c r="N1798" t="s">
        <v>33</v>
      </c>
    </row>
    <row r="1799" spans="1:14" x14ac:dyDescent="0.25">
      <c r="A1799">
        <v>1798</v>
      </c>
      <c r="B1799" t="s">
        <v>29</v>
      </c>
      <c r="C1799">
        <v>2017</v>
      </c>
      <c r="D1799">
        <v>4.2</v>
      </c>
      <c r="E1799" t="s">
        <v>27</v>
      </c>
      <c r="F1799">
        <v>80781</v>
      </c>
      <c r="G1799" t="s">
        <v>30</v>
      </c>
      <c r="H1799">
        <v>76960.240000000005</v>
      </c>
      <c r="I1799" t="s">
        <v>40</v>
      </c>
      <c r="J1799" t="s">
        <v>18</v>
      </c>
      <c r="K1799" t="s">
        <v>19</v>
      </c>
      <c r="L1799">
        <v>9</v>
      </c>
      <c r="M1799">
        <v>0.95</v>
      </c>
      <c r="N1799" t="s">
        <v>33</v>
      </c>
    </row>
    <row r="1800" spans="1:14" x14ac:dyDescent="0.25">
      <c r="A1800">
        <v>1799</v>
      </c>
      <c r="B1800" t="s">
        <v>14</v>
      </c>
      <c r="C1800">
        <v>2021</v>
      </c>
      <c r="D1800">
        <v>2.8</v>
      </c>
      <c r="E1800" t="s">
        <v>27</v>
      </c>
      <c r="F1800">
        <v>36527</v>
      </c>
      <c r="G1800" t="s">
        <v>16</v>
      </c>
      <c r="H1800">
        <v>30274.93</v>
      </c>
      <c r="I1800" t="s">
        <v>28</v>
      </c>
      <c r="J1800" t="s">
        <v>18</v>
      </c>
      <c r="K1800" t="s">
        <v>50</v>
      </c>
      <c r="L1800">
        <v>5</v>
      </c>
      <c r="M1800">
        <v>0.83</v>
      </c>
      <c r="N1800" t="s">
        <v>20</v>
      </c>
    </row>
    <row r="1801" spans="1:14" x14ac:dyDescent="0.25">
      <c r="A1801">
        <v>1800</v>
      </c>
      <c r="B1801" t="s">
        <v>24</v>
      </c>
      <c r="C1801">
        <v>2005</v>
      </c>
      <c r="D1801">
        <v>1.7</v>
      </c>
      <c r="E1801" t="s">
        <v>27</v>
      </c>
      <c r="F1801">
        <v>52181</v>
      </c>
      <c r="G1801" t="s">
        <v>22</v>
      </c>
      <c r="H1801">
        <v>89579.85</v>
      </c>
      <c r="I1801" t="s">
        <v>25</v>
      </c>
      <c r="J1801" t="s">
        <v>32</v>
      </c>
      <c r="K1801" t="s">
        <v>19</v>
      </c>
      <c r="L1801">
        <v>21</v>
      </c>
      <c r="M1801">
        <v>1.72</v>
      </c>
      <c r="N1801" t="s">
        <v>20</v>
      </c>
    </row>
    <row r="1802" spans="1:14" x14ac:dyDescent="0.25">
      <c r="A1802">
        <v>1801</v>
      </c>
      <c r="B1802" t="s">
        <v>36</v>
      </c>
      <c r="C1802">
        <v>2016</v>
      </c>
      <c r="D1802">
        <v>4</v>
      </c>
      <c r="E1802" t="s">
        <v>15</v>
      </c>
      <c r="F1802">
        <v>91472</v>
      </c>
      <c r="G1802" t="s">
        <v>16</v>
      </c>
      <c r="H1802">
        <v>98026.37</v>
      </c>
      <c r="I1802" t="s">
        <v>54</v>
      </c>
      <c r="J1802" t="s">
        <v>18</v>
      </c>
      <c r="K1802" t="s">
        <v>19</v>
      </c>
      <c r="L1802">
        <v>10</v>
      </c>
      <c r="M1802">
        <v>1.07</v>
      </c>
      <c r="N1802" t="s">
        <v>33</v>
      </c>
    </row>
    <row r="1803" spans="1:14" x14ac:dyDescent="0.25">
      <c r="A1803">
        <v>1802</v>
      </c>
      <c r="B1803" t="s">
        <v>14</v>
      </c>
      <c r="C1803">
        <v>2022</v>
      </c>
      <c r="D1803">
        <v>5.0999999999999996</v>
      </c>
      <c r="E1803" t="s">
        <v>15</v>
      </c>
      <c r="F1803">
        <v>81219</v>
      </c>
      <c r="G1803" t="s">
        <v>16</v>
      </c>
      <c r="H1803">
        <v>51956.06</v>
      </c>
      <c r="I1803" t="s">
        <v>28</v>
      </c>
      <c r="J1803" t="s">
        <v>18</v>
      </c>
      <c r="K1803" t="s">
        <v>19</v>
      </c>
      <c r="L1803">
        <v>4</v>
      </c>
      <c r="M1803">
        <v>0.64</v>
      </c>
      <c r="N1803" t="s">
        <v>20</v>
      </c>
    </row>
    <row r="1804" spans="1:14" x14ac:dyDescent="0.25">
      <c r="A1804">
        <v>1803</v>
      </c>
      <c r="B1804" t="s">
        <v>43</v>
      </c>
      <c r="C1804">
        <v>2023</v>
      </c>
      <c r="D1804">
        <v>2.9</v>
      </c>
      <c r="E1804" t="s">
        <v>15</v>
      </c>
      <c r="F1804">
        <v>119783</v>
      </c>
      <c r="G1804" t="s">
        <v>16</v>
      </c>
      <c r="H1804">
        <v>94009.05</v>
      </c>
      <c r="I1804" t="s">
        <v>49</v>
      </c>
      <c r="J1804" t="s">
        <v>46</v>
      </c>
      <c r="K1804" t="s">
        <v>19</v>
      </c>
      <c r="L1804">
        <v>3</v>
      </c>
      <c r="M1804">
        <v>0.78</v>
      </c>
      <c r="N1804" t="s">
        <v>20</v>
      </c>
    </row>
    <row r="1805" spans="1:14" x14ac:dyDescent="0.25">
      <c r="A1805">
        <v>1804</v>
      </c>
      <c r="B1805" t="s">
        <v>21</v>
      </c>
      <c r="C1805">
        <v>2017</v>
      </c>
      <c r="D1805">
        <v>1.7</v>
      </c>
      <c r="E1805" t="s">
        <v>15</v>
      </c>
      <c r="F1805">
        <v>161554</v>
      </c>
      <c r="G1805" t="s">
        <v>22</v>
      </c>
      <c r="H1805">
        <v>5107.22</v>
      </c>
      <c r="I1805" t="s">
        <v>47</v>
      </c>
      <c r="J1805" t="s">
        <v>18</v>
      </c>
      <c r="K1805" t="s">
        <v>26</v>
      </c>
      <c r="L1805">
        <v>9</v>
      </c>
      <c r="M1805">
        <v>0.03</v>
      </c>
      <c r="N1805" t="s">
        <v>20</v>
      </c>
    </row>
    <row r="1806" spans="1:14" x14ac:dyDescent="0.25">
      <c r="A1806">
        <v>1805</v>
      </c>
      <c r="B1806" t="s">
        <v>14</v>
      </c>
      <c r="C1806">
        <v>2007</v>
      </c>
      <c r="D1806">
        <v>2</v>
      </c>
      <c r="E1806" t="s">
        <v>27</v>
      </c>
      <c r="F1806">
        <v>179300</v>
      </c>
      <c r="G1806" t="s">
        <v>30</v>
      </c>
      <c r="H1806">
        <v>89952.59</v>
      </c>
      <c r="I1806" t="s">
        <v>28</v>
      </c>
      <c r="J1806" t="s">
        <v>18</v>
      </c>
      <c r="K1806" t="s">
        <v>26</v>
      </c>
      <c r="L1806">
        <v>19</v>
      </c>
      <c r="M1806">
        <v>0.5</v>
      </c>
      <c r="N1806" t="s">
        <v>20</v>
      </c>
    </row>
    <row r="1807" spans="1:14" x14ac:dyDescent="0.25">
      <c r="A1807">
        <v>1806</v>
      </c>
      <c r="B1807" t="s">
        <v>29</v>
      </c>
      <c r="C1807">
        <v>2008</v>
      </c>
      <c r="D1807">
        <v>2.2000000000000002</v>
      </c>
      <c r="E1807" t="s">
        <v>27</v>
      </c>
      <c r="F1807">
        <v>83265</v>
      </c>
      <c r="G1807" t="s">
        <v>30</v>
      </c>
      <c r="H1807">
        <v>34549.31</v>
      </c>
      <c r="I1807" t="s">
        <v>40</v>
      </c>
      <c r="J1807" t="s">
        <v>46</v>
      </c>
      <c r="K1807" t="s">
        <v>19</v>
      </c>
      <c r="L1807">
        <v>18</v>
      </c>
      <c r="M1807">
        <v>0.41</v>
      </c>
      <c r="N1807" t="s">
        <v>33</v>
      </c>
    </row>
    <row r="1808" spans="1:14" x14ac:dyDescent="0.25">
      <c r="A1808">
        <v>1807</v>
      </c>
      <c r="B1808" t="s">
        <v>36</v>
      </c>
      <c r="C1808">
        <v>2005</v>
      </c>
      <c r="D1808">
        <v>2.5</v>
      </c>
      <c r="E1808" t="s">
        <v>15</v>
      </c>
      <c r="F1808">
        <v>50126</v>
      </c>
      <c r="G1808" t="s">
        <v>22</v>
      </c>
      <c r="H1808">
        <v>34592.07</v>
      </c>
      <c r="I1808" t="s">
        <v>37</v>
      </c>
      <c r="J1808" t="s">
        <v>32</v>
      </c>
      <c r="K1808" t="s">
        <v>19</v>
      </c>
      <c r="L1808">
        <v>21</v>
      </c>
      <c r="M1808">
        <v>0.69</v>
      </c>
      <c r="N1808" t="s">
        <v>33</v>
      </c>
    </row>
    <row r="1809" spans="1:14" x14ac:dyDescent="0.25">
      <c r="A1809">
        <v>1808</v>
      </c>
      <c r="B1809" t="s">
        <v>29</v>
      </c>
      <c r="C1809">
        <v>2004</v>
      </c>
      <c r="D1809">
        <v>4.2</v>
      </c>
      <c r="E1809" t="s">
        <v>15</v>
      </c>
      <c r="F1809">
        <v>282689</v>
      </c>
      <c r="G1809" t="s">
        <v>22</v>
      </c>
      <c r="H1809">
        <v>26668.44</v>
      </c>
      <c r="I1809" t="s">
        <v>38</v>
      </c>
      <c r="J1809" t="s">
        <v>18</v>
      </c>
      <c r="K1809" t="s">
        <v>26</v>
      </c>
      <c r="L1809">
        <v>22</v>
      </c>
      <c r="M1809">
        <v>0.09</v>
      </c>
      <c r="N1809" t="s">
        <v>33</v>
      </c>
    </row>
    <row r="1810" spans="1:14" x14ac:dyDescent="0.25">
      <c r="A1810">
        <v>1809</v>
      </c>
      <c r="B1810" t="s">
        <v>36</v>
      </c>
      <c r="C1810">
        <v>2011</v>
      </c>
      <c r="D1810">
        <v>4</v>
      </c>
      <c r="E1810" t="s">
        <v>27</v>
      </c>
      <c r="F1810">
        <v>55114</v>
      </c>
      <c r="G1810" t="s">
        <v>16</v>
      </c>
      <c r="H1810">
        <v>35116.32</v>
      </c>
      <c r="I1810" t="s">
        <v>51</v>
      </c>
      <c r="J1810" t="s">
        <v>32</v>
      </c>
      <c r="K1810" t="s">
        <v>19</v>
      </c>
      <c r="L1810">
        <v>15</v>
      </c>
      <c r="M1810">
        <v>0.64</v>
      </c>
      <c r="N1810" t="s">
        <v>33</v>
      </c>
    </row>
    <row r="1811" spans="1:14" x14ac:dyDescent="0.25">
      <c r="A1811">
        <v>1810</v>
      </c>
      <c r="B1811" t="s">
        <v>14</v>
      </c>
      <c r="C1811">
        <v>2010</v>
      </c>
      <c r="D1811">
        <v>4.5</v>
      </c>
      <c r="E1811" t="s">
        <v>27</v>
      </c>
      <c r="F1811">
        <v>206422</v>
      </c>
      <c r="G1811" t="s">
        <v>30</v>
      </c>
      <c r="H1811">
        <v>25281.040000000001</v>
      </c>
      <c r="I1811" t="s">
        <v>17</v>
      </c>
      <c r="J1811" t="s">
        <v>18</v>
      </c>
      <c r="K1811" t="s">
        <v>26</v>
      </c>
      <c r="L1811">
        <v>16</v>
      </c>
      <c r="M1811">
        <v>0.12</v>
      </c>
      <c r="N1811" t="s">
        <v>20</v>
      </c>
    </row>
    <row r="1812" spans="1:14" x14ac:dyDescent="0.25">
      <c r="A1812">
        <v>1811</v>
      </c>
      <c r="B1812" t="s">
        <v>52</v>
      </c>
      <c r="C1812">
        <v>2000</v>
      </c>
      <c r="D1812">
        <v>2.8</v>
      </c>
      <c r="E1812" t="s">
        <v>27</v>
      </c>
      <c r="F1812">
        <v>188873</v>
      </c>
      <c r="G1812" t="s">
        <v>22</v>
      </c>
      <c r="H1812">
        <v>91057.57</v>
      </c>
      <c r="I1812" t="s">
        <v>56</v>
      </c>
      <c r="J1812" t="s">
        <v>18</v>
      </c>
      <c r="K1812" t="s">
        <v>26</v>
      </c>
      <c r="L1812">
        <v>26</v>
      </c>
      <c r="M1812">
        <v>0.48</v>
      </c>
      <c r="N1812" t="s">
        <v>33</v>
      </c>
    </row>
    <row r="1813" spans="1:14" x14ac:dyDescent="0.25">
      <c r="A1813">
        <v>1812</v>
      </c>
      <c r="B1813" t="s">
        <v>43</v>
      </c>
      <c r="C1813">
        <v>2010</v>
      </c>
      <c r="D1813">
        <v>5.0999999999999996</v>
      </c>
      <c r="E1813" t="s">
        <v>27</v>
      </c>
      <c r="F1813">
        <v>276034</v>
      </c>
      <c r="G1813" t="s">
        <v>30</v>
      </c>
      <c r="H1813">
        <v>90407.25</v>
      </c>
      <c r="I1813" t="s">
        <v>55</v>
      </c>
      <c r="J1813" t="s">
        <v>41</v>
      </c>
      <c r="K1813" t="s">
        <v>26</v>
      </c>
      <c r="L1813">
        <v>16</v>
      </c>
      <c r="M1813">
        <v>0.33</v>
      </c>
      <c r="N1813" t="s">
        <v>20</v>
      </c>
    </row>
    <row r="1814" spans="1:14" x14ac:dyDescent="0.25">
      <c r="A1814">
        <v>1813</v>
      </c>
      <c r="B1814" t="s">
        <v>14</v>
      </c>
      <c r="C1814">
        <v>2018</v>
      </c>
      <c r="D1814">
        <v>2</v>
      </c>
      <c r="E1814" t="s">
        <v>15</v>
      </c>
      <c r="F1814">
        <v>121284</v>
      </c>
      <c r="G1814" t="s">
        <v>16</v>
      </c>
      <c r="H1814">
        <v>14710.07</v>
      </c>
      <c r="I1814" t="s">
        <v>58</v>
      </c>
      <c r="J1814" t="s">
        <v>18</v>
      </c>
      <c r="K1814" t="s">
        <v>19</v>
      </c>
      <c r="L1814">
        <v>8</v>
      </c>
      <c r="M1814">
        <v>0.12</v>
      </c>
      <c r="N1814" t="s">
        <v>20</v>
      </c>
    </row>
    <row r="1815" spans="1:14" x14ac:dyDescent="0.25">
      <c r="A1815">
        <v>1814</v>
      </c>
      <c r="B1815" t="s">
        <v>29</v>
      </c>
      <c r="C1815">
        <v>2008</v>
      </c>
      <c r="D1815">
        <v>3.3</v>
      </c>
      <c r="E1815" t="s">
        <v>27</v>
      </c>
      <c r="F1815">
        <v>194469</v>
      </c>
      <c r="G1815" t="s">
        <v>22</v>
      </c>
      <c r="H1815">
        <v>18571.55</v>
      </c>
      <c r="I1815" t="s">
        <v>40</v>
      </c>
      <c r="J1815" t="s">
        <v>18</v>
      </c>
      <c r="K1815" t="s">
        <v>26</v>
      </c>
      <c r="L1815">
        <v>18</v>
      </c>
      <c r="M1815">
        <v>0.1</v>
      </c>
      <c r="N1815" t="s">
        <v>33</v>
      </c>
    </row>
    <row r="1816" spans="1:14" x14ac:dyDescent="0.25">
      <c r="A1816">
        <v>1815</v>
      </c>
      <c r="B1816" t="s">
        <v>21</v>
      </c>
      <c r="C1816">
        <v>2001</v>
      </c>
      <c r="D1816">
        <v>5</v>
      </c>
      <c r="E1816" t="s">
        <v>27</v>
      </c>
      <c r="F1816">
        <v>142290</v>
      </c>
      <c r="G1816" t="s">
        <v>30</v>
      </c>
      <c r="H1816">
        <v>86891.77</v>
      </c>
      <c r="I1816" t="s">
        <v>23</v>
      </c>
      <c r="J1816" t="s">
        <v>32</v>
      </c>
      <c r="K1816" t="s">
        <v>19</v>
      </c>
      <c r="L1816">
        <v>25</v>
      </c>
      <c r="M1816">
        <v>0.61</v>
      </c>
      <c r="N1816" t="s">
        <v>20</v>
      </c>
    </row>
    <row r="1817" spans="1:14" x14ac:dyDescent="0.25">
      <c r="A1817">
        <v>1816</v>
      </c>
      <c r="B1817" t="s">
        <v>21</v>
      </c>
      <c r="C1817">
        <v>2011</v>
      </c>
      <c r="D1817">
        <v>1.9</v>
      </c>
      <c r="E1817" t="s">
        <v>27</v>
      </c>
      <c r="F1817">
        <v>88241</v>
      </c>
      <c r="G1817" t="s">
        <v>30</v>
      </c>
      <c r="H1817">
        <v>42899.09</v>
      </c>
      <c r="I1817" t="s">
        <v>42</v>
      </c>
      <c r="J1817" t="s">
        <v>46</v>
      </c>
      <c r="K1817" t="s">
        <v>19</v>
      </c>
      <c r="L1817">
        <v>15</v>
      </c>
      <c r="M1817">
        <v>0.49</v>
      </c>
      <c r="N1817" t="s">
        <v>20</v>
      </c>
    </row>
    <row r="1818" spans="1:14" x14ac:dyDescent="0.25">
      <c r="A1818">
        <v>1817</v>
      </c>
      <c r="B1818" t="s">
        <v>24</v>
      </c>
      <c r="C1818">
        <v>2003</v>
      </c>
      <c r="D1818">
        <v>1.5</v>
      </c>
      <c r="E1818" t="s">
        <v>27</v>
      </c>
      <c r="F1818">
        <v>296866</v>
      </c>
      <c r="G1818" t="s">
        <v>16</v>
      </c>
      <c r="H1818">
        <v>21080.81</v>
      </c>
      <c r="I1818" t="s">
        <v>34</v>
      </c>
      <c r="J1818" t="s">
        <v>41</v>
      </c>
      <c r="K1818" t="s">
        <v>26</v>
      </c>
      <c r="L1818">
        <v>23</v>
      </c>
      <c r="M1818">
        <v>7.0000000000000007E-2</v>
      </c>
      <c r="N1818" t="s">
        <v>20</v>
      </c>
    </row>
    <row r="1819" spans="1:14" x14ac:dyDescent="0.25">
      <c r="A1819">
        <v>1818</v>
      </c>
      <c r="B1819" t="s">
        <v>36</v>
      </c>
      <c r="C1819">
        <v>2003</v>
      </c>
      <c r="D1819">
        <v>5.4</v>
      </c>
      <c r="E1819" t="s">
        <v>15</v>
      </c>
      <c r="F1819">
        <v>182615</v>
      </c>
      <c r="G1819" t="s">
        <v>22</v>
      </c>
      <c r="H1819">
        <v>53513.59</v>
      </c>
      <c r="I1819" t="s">
        <v>51</v>
      </c>
      <c r="J1819" t="s">
        <v>41</v>
      </c>
      <c r="K1819" t="s">
        <v>26</v>
      </c>
      <c r="L1819">
        <v>23</v>
      </c>
      <c r="M1819">
        <v>0.28999999999999998</v>
      </c>
      <c r="N1819" t="s">
        <v>33</v>
      </c>
    </row>
    <row r="1820" spans="1:14" x14ac:dyDescent="0.25">
      <c r="A1820">
        <v>1819</v>
      </c>
      <c r="B1820" t="s">
        <v>29</v>
      </c>
      <c r="C1820">
        <v>2017</v>
      </c>
      <c r="D1820">
        <v>2.7</v>
      </c>
      <c r="E1820" t="s">
        <v>15</v>
      </c>
      <c r="F1820">
        <v>30921</v>
      </c>
      <c r="G1820" t="s">
        <v>30</v>
      </c>
      <c r="H1820">
        <v>44583.46</v>
      </c>
      <c r="I1820" t="s">
        <v>40</v>
      </c>
      <c r="J1820" t="s">
        <v>46</v>
      </c>
      <c r="K1820" t="s">
        <v>50</v>
      </c>
      <c r="L1820">
        <v>9</v>
      </c>
      <c r="M1820">
        <v>1.44</v>
      </c>
      <c r="N1820" t="s">
        <v>33</v>
      </c>
    </row>
    <row r="1821" spans="1:14" x14ac:dyDescent="0.25">
      <c r="A1821">
        <v>1820</v>
      </c>
      <c r="B1821" t="s">
        <v>24</v>
      </c>
      <c r="C1821">
        <v>2014</v>
      </c>
      <c r="D1821">
        <v>4.4000000000000004</v>
      </c>
      <c r="E1821" t="s">
        <v>15</v>
      </c>
      <c r="F1821">
        <v>161686</v>
      </c>
      <c r="G1821" t="s">
        <v>16</v>
      </c>
      <c r="H1821">
        <v>25820.35</v>
      </c>
      <c r="I1821" t="s">
        <v>45</v>
      </c>
      <c r="J1821" t="s">
        <v>46</v>
      </c>
      <c r="K1821" t="s">
        <v>26</v>
      </c>
      <c r="L1821">
        <v>12</v>
      </c>
      <c r="M1821">
        <v>0.16</v>
      </c>
      <c r="N1821" t="s">
        <v>20</v>
      </c>
    </row>
    <row r="1822" spans="1:14" x14ac:dyDescent="0.25">
      <c r="A1822">
        <v>1821</v>
      </c>
      <c r="B1822" t="s">
        <v>29</v>
      </c>
      <c r="C1822">
        <v>2018</v>
      </c>
      <c r="D1822">
        <v>1.1000000000000001</v>
      </c>
      <c r="E1822" t="s">
        <v>15</v>
      </c>
      <c r="F1822">
        <v>192261</v>
      </c>
      <c r="G1822" t="s">
        <v>30</v>
      </c>
      <c r="H1822">
        <v>73471.460000000006</v>
      </c>
      <c r="I1822" t="s">
        <v>62</v>
      </c>
      <c r="J1822" t="s">
        <v>32</v>
      </c>
      <c r="K1822" t="s">
        <v>26</v>
      </c>
      <c r="L1822">
        <v>8</v>
      </c>
      <c r="M1822">
        <v>0.38</v>
      </c>
      <c r="N1822" t="s">
        <v>33</v>
      </c>
    </row>
    <row r="1823" spans="1:14" x14ac:dyDescent="0.25">
      <c r="A1823">
        <v>1822</v>
      </c>
      <c r="B1823" t="s">
        <v>36</v>
      </c>
      <c r="C1823">
        <v>2012</v>
      </c>
      <c r="D1823">
        <v>4.5</v>
      </c>
      <c r="E1823" t="s">
        <v>15</v>
      </c>
      <c r="F1823">
        <v>17601</v>
      </c>
      <c r="G1823" t="s">
        <v>16</v>
      </c>
      <c r="H1823">
        <v>64972.480000000003</v>
      </c>
      <c r="I1823" t="s">
        <v>57</v>
      </c>
      <c r="J1823" t="s">
        <v>46</v>
      </c>
      <c r="K1823" t="s">
        <v>50</v>
      </c>
      <c r="L1823">
        <v>14</v>
      </c>
      <c r="M1823">
        <v>3.69</v>
      </c>
      <c r="N1823" t="s">
        <v>33</v>
      </c>
    </row>
    <row r="1824" spans="1:14" x14ac:dyDescent="0.25">
      <c r="A1824">
        <v>1823</v>
      </c>
      <c r="B1824" t="s">
        <v>14</v>
      </c>
      <c r="C1824">
        <v>2018</v>
      </c>
      <c r="D1824">
        <v>2.6</v>
      </c>
      <c r="E1824" t="s">
        <v>15</v>
      </c>
      <c r="F1824">
        <v>93332</v>
      </c>
      <c r="G1824" t="s">
        <v>30</v>
      </c>
      <c r="H1824">
        <v>14467.85</v>
      </c>
      <c r="I1824" t="s">
        <v>17</v>
      </c>
      <c r="J1824" t="s">
        <v>18</v>
      </c>
      <c r="K1824" t="s">
        <v>19</v>
      </c>
      <c r="L1824">
        <v>8</v>
      </c>
      <c r="M1824">
        <v>0.16</v>
      </c>
      <c r="N1824" t="s">
        <v>20</v>
      </c>
    </row>
    <row r="1825" spans="1:14" x14ac:dyDescent="0.25">
      <c r="A1825">
        <v>1824</v>
      </c>
      <c r="B1825" t="s">
        <v>14</v>
      </c>
      <c r="C1825">
        <v>2016</v>
      </c>
      <c r="D1825">
        <v>1.3</v>
      </c>
      <c r="E1825" t="s">
        <v>27</v>
      </c>
      <c r="F1825">
        <v>202615</v>
      </c>
      <c r="G1825" t="s">
        <v>30</v>
      </c>
      <c r="H1825">
        <v>92911.74</v>
      </c>
      <c r="I1825" t="s">
        <v>39</v>
      </c>
      <c r="J1825" t="s">
        <v>18</v>
      </c>
      <c r="K1825" t="s">
        <v>26</v>
      </c>
      <c r="L1825">
        <v>10</v>
      </c>
      <c r="M1825">
        <v>0.46</v>
      </c>
      <c r="N1825" t="s">
        <v>20</v>
      </c>
    </row>
    <row r="1826" spans="1:14" x14ac:dyDescent="0.25">
      <c r="A1826">
        <v>1825</v>
      </c>
      <c r="B1826" t="s">
        <v>21</v>
      </c>
      <c r="C1826">
        <v>2005</v>
      </c>
      <c r="D1826">
        <v>4</v>
      </c>
      <c r="E1826" t="s">
        <v>27</v>
      </c>
      <c r="F1826">
        <v>235572</v>
      </c>
      <c r="G1826" t="s">
        <v>16</v>
      </c>
      <c r="H1826">
        <v>58054.65</v>
      </c>
      <c r="I1826" t="s">
        <v>23</v>
      </c>
      <c r="J1826" t="s">
        <v>18</v>
      </c>
      <c r="K1826" t="s">
        <v>26</v>
      </c>
      <c r="L1826">
        <v>21</v>
      </c>
      <c r="M1826">
        <v>0.25</v>
      </c>
      <c r="N1826" t="s">
        <v>20</v>
      </c>
    </row>
    <row r="1827" spans="1:14" x14ac:dyDescent="0.25">
      <c r="A1827">
        <v>1826</v>
      </c>
      <c r="B1827" t="s">
        <v>14</v>
      </c>
      <c r="C1827">
        <v>2015</v>
      </c>
      <c r="D1827">
        <v>2.2000000000000002</v>
      </c>
      <c r="E1827" t="s">
        <v>27</v>
      </c>
      <c r="F1827">
        <v>290144</v>
      </c>
      <c r="G1827" t="s">
        <v>22</v>
      </c>
      <c r="H1827">
        <v>28769.43</v>
      </c>
      <c r="I1827" t="s">
        <v>17</v>
      </c>
      <c r="J1827" t="s">
        <v>18</v>
      </c>
      <c r="K1827" t="s">
        <v>26</v>
      </c>
      <c r="L1827">
        <v>11</v>
      </c>
      <c r="M1827">
        <v>0.1</v>
      </c>
      <c r="N1827" t="s">
        <v>20</v>
      </c>
    </row>
    <row r="1828" spans="1:14" x14ac:dyDescent="0.25">
      <c r="A1828">
        <v>1827</v>
      </c>
      <c r="B1828" t="s">
        <v>14</v>
      </c>
      <c r="C1828">
        <v>2023</v>
      </c>
      <c r="D1828">
        <v>2.9</v>
      </c>
      <c r="E1828" t="s">
        <v>27</v>
      </c>
      <c r="F1828">
        <v>130439</v>
      </c>
      <c r="G1828" t="s">
        <v>16</v>
      </c>
      <c r="H1828">
        <v>24597.72</v>
      </c>
      <c r="I1828" t="s">
        <v>39</v>
      </c>
      <c r="J1828" t="s">
        <v>18</v>
      </c>
      <c r="K1828" t="s">
        <v>19</v>
      </c>
      <c r="L1828">
        <v>3</v>
      </c>
      <c r="M1828">
        <v>0.19</v>
      </c>
      <c r="N1828" t="s">
        <v>20</v>
      </c>
    </row>
    <row r="1829" spans="1:14" x14ac:dyDescent="0.25">
      <c r="A1829">
        <v>1828</v>
      </c>
      <c r="B1829" t="s">
        <v>52</v>
      </c>
      <c r="C1829">
        <v>2011</v>
      </c>
      <c r="D1829">
        <v>1.4</v>
      </c>
      <c r="E1829" t="s">
        <v>15</v>
      </c>
      <c r="F1829">
        <v>239691</v>
      </c>
      <c r="G1829" t="s">
        <v>22</v>
      </c>
      <c r="H1829">
        <v>17915.060000000001</v>
      </c>
      <c r="I1829" t="s">
        <v>61</v>
      </c>
      <c r="J1829" t="s">
        <v>41</v>
      </c>
      <c r="K1829" t="s">
        <v>26</v>
      </c>
      <c r="L1829">
        <v>15</v>
      </c>
      <c r="M1829">
        <v>7.0000000000000007E-2</v>
      </c>
      <c r="N1829" t="s">
        <v>33</v>
      </c>
    </row>
    <row r="1830" spans="1:14" x14ac:dyDescent="0.25">
      <c r="A1830">
        <v>1829</v>
      </c>
      <c r="B1830" t="s">
        <v>21</v>
      </c>
      <c r="C1830">
        <v>2018</v>
      </c>
      <c r="D1830">
        <v>1.7</v>
      </c>
      <c r="E1830" t="s">
        <v>27</v>
      </c>
      <c r="F1830">
        <v>119277</v>
      </c>
      <c r="G1830" t="s">
        <v>30</v>
      </c>
      <c r="H1830">
        <v>45340.55</v>
      </c>
      <c r="I1830" t="s">
        <v>47</v>
      </c>
      <c r="J1830" t="s">
        <v>18</v>
      </c>
      <c r="K1830" t="s">
        <v>19</v>
      </c>
      <c r="L1830">
        <v>8</v>
      </c>
      <c r="M1830">
        <v>0.38</v>
      </c>
      <c r="N1830" t="s">
        <v>20</v>
      </c>
    </row>
    <row r="1831" spans="1:14" x14ac:dyDescent="0.25">
      <c r="A1831">
        <v>1830</v>
      </c>
      <c r="B1831" t="s">
        <v>24</v>
      </c>
      <c r="C1831">
        <v>2004</v>
      </c>
      <c r="D1831">
        <v>2.5</v>
      </c>
      <c r="E1831" t="s">
        <v>15</v>
      </c>
      <c r="F1831">
        <v>292527</v>
      </c>
      <c r="G1831" t="s">
        <v>30</v>
      </c>
      <c r="H1831">
        <v>17876.400000000001</v>
      </c>
      <c r="I1831" t="s">
        <v>45</v>
      </c>
      <c r="J1831" t="s">
        <v>46</v>
      </c>
      <c r="K1831" t="s">
        <v>26</v>
      </c>
      <c r="L1831">
        <v>22</v>
      </c>
      <c r="M1831">
        <v>0.06</v>
      </c>
      <c r="N1831" t="s">
        <v>20</v>
      </c>
    </row>
    <row r="1832" spans="1:14" x14ac:dyDescent="0.25">
      <c r="A1832">
        <v>1831</v>
      </c>
      <c r="B1832" t="s">
        <v>43</v>
      </c>
      <c r="C1832">
        <v>2016</v>
      </c>
      <c r="D1832">
        <v>1.4</v>
      </c>
      <c r="E1832" t="s">
        <v>27</v>
      </c>
      <c r="F1832">
        <v>142857</v>
      </c>
      <c r="G1832" t="s">
        <v>16</v>
      </c>
      <c r="H1832">
        <v>44502.559999999998</v>
      </c>
      <c r="I1832" t="s">
        <v>44</v>
      </c>
      <c r="J1832" t="s">
        <v>18</v>
      </c>
      <c r="K1832" t="s">
        <v>19</v>
      </c>
      <c r="L1832">
        <v>10</v>
      </c>
      <c r="M1832">
        <v>0.31</v>
      </c>
      <c r="N1832" t="s">
        <v>20</v>
      </c>
    </row>
    <row r="1833" spans="1:14" x14ac:dyDescent="0.25">
      <c r="A1833">
        <v>1832</v>
      </c>
      <c r="B1833" t="s">
        <v>52</v>
      </c>
      <c r="C1833">
        <v>2022</v>
      </c>
      <c r="D1833">
        <v>5.6</v>
      </c>
      <c r="E1833" t="s">
        <v>27</v>
      </c>
      <c r="F1833">
        <v>40910</v>
      </c>
      <c r="G1833" t="s">
        <v>16</v>
      </c>
      <c r="H1833">
        <v>19133.189999999999</v>
      </c>
      <c r="I1833" t="s">
        <v>59</v>
      </c>
      <c r="J1833" t="s">
        <v>18</v>
      </c>
      <c r="K1833" t="s">
        <v>50</v>
      </c>
      <c r="L1833">
        <v>4</v>
      </c>
      <c r="M1833">
        <v>0.47</v>
      </c>
      <c r="N1833" t="s">
        <v>33</v>
      </c>
    </row>
    <row r="1834" spans="1:14" x14ac:dyDescent="0.25">
      <c r="A1834">
        <v>1833</v>
      </c>
      <c r="B1834" t="s">
        <v>24</v>
      </c>
      <c r="C1834">
        <v>2000</v>
      </c>
      <c r="D1834">
        <v>1</v>
      </c>
      <c r="E1834" t="s">
        <v>27</v>
      </c>
      <c r="F1834">
        <v>170100</v>
      </c>
      <c r="G1834" t="s">
        <v>22</v>
      </c>
      <c r="H1834">
        <v>67396.710000000006</v>
      </c>
      <c r="I1834" t="s">
        <v>35</v>
      </c>
      <c r="J1834" t="s">
        <v>32</v>
      </c>
      <c r="K1834" t="s">
        <v>26</v>
      </c>
      <c r="L1834">
        <v>26</v>
      </c>
      <c r="M1834">
        <v>0.4</v>
      </c>
      <c r="N1834" t="s">
        <v>20</v>
      </c>
    </row>
    <row r="1835" spans="1:14" x14ac:dyDescent="0.25">
      <c r="A1835">
        <v>1834</v>
      </c>
      <c r="B1835" t="s">
        <v>36</v>
      </c>
      <c r="C1835">
        <v>2023</v>
      </c>
      <c r="D1835">
        <v>3.4</v>
      </c>
      <c r="E1835" t="s">
        <v>15</v>
      </c>
      <c r="F1835">
        <v>155927</v>
      </c>
      <c r="G1835" t="s">
        <v>22</v>
      </c>
      <c r="H1835">
        <v>79597.990000000005</v>
      </c>
      <c r="I1835" t="s">
        <v>54</v>
      </c>
      <c r="J1835" t="s">
        <v>46</v>
      </c>
      <c r="K1835" t="s">
        <v>26</v>
      </c>
      <c r="L1835">
        <v>3</v>
      </c>
      <c r="M1835">
        <v>0.51</v>
      </c>
      <c r="N1835" t="s">
        <v>33</v>
      </c>
    </row>
    <row r="1836" spans="1:14" x14ac:dyDescent="0.25">
      <c r="A1836">
        <v>1835</v>
      </c>
      <c r="B1836" t="s">
        <v>52</v>
      </c>
      <c r="C1836">
        <v>2022</v>
      </c>
      <c r="D1836">
        <v>1.6</v>
      </c>
      <c r="E1836" t="s">
        <v>27</v>
      </c>
      <c r="F1836">
        <v>286425</v>
      </c>
      <c r="G1836" t="s">
        <v>22</v>
      </c>
      <c r="H1836">
        <v>57204.66</v>
      </c>
      <c r="I1836" t="s">
        <v>53</v>
      </c>
      <c r="J1836" t="s">
        <v>46</v>
      </c>
      <c r="K1836" t="s">
        <v>26</v>
      </c>
      <c r="L1836">
        <v>4</v>
      </c>
      <c r="M1836">
        <v>0.2</v>
      </c>
      <c r="N1836" t="s">
        <v>33</v>
      </c>
    </row>
    <row r="1837" spans="1:14" x14ac:dyDescent="0.25">
      <c r="A1837">
        <v>1836</v>
      </c>
      <c r="B1837" t="s">
        <v>24</v>
      </c>
      <c r="C1837">
        <v>2009</v>
      </c>
      <c r="D1837">
        <v>2.5</v>
      </c>
      <c r="E1837" t="s">
        <v>15</v>
      </c>
      <c r="F1837">
        <v>4841</v>
      </c>
      <c r="G1837" t="s">
        <v>16</v>
      </c>
      <c r="H1837">
        <v>69605.399999999994</v>
      </c>
      <c r="I1837" t="s">
        <v>25</v>
      </c>
      <c r="J1837" t="s">
        <v>46</v>
      </c>
      <c r="K1837" t="s">
        <v>50</v>
      </c>
      <c r="L1837">
        <v>17</v>
      </c>
      <c r="M1837">
        <v>14.38</v>
      </c>
      <c r="N1837" t="s">
        <v>20</v>
      </c>
    </row>
    <row r="1838" spans="1:14" x14ac:dyDescent="0.25">
      <c r="A1838">
        <v>1837</v>
      </c>
      <c r="B1838" t="s">
        <v>36</v>
      </c>
      <c r="C1838">
        <v>2014</v>
      </c>
      <c r="D1838">
        <v>5.6</v>
      </c>
      <c r="E1838" t="s">
        <v>15</v>
      </c>
      <c r="F1838">
        <v>97204</v>
      </c>
      <c r="G1838" t="s">
        <v>30</v>
      </c>
      <c r="H1838">
        <v>94145.98</v>
      </c>
      <c r="I1838" t="s">
        <v>57</v>
      </c>
      <c r="J1838" t="s">
        <v>32</v>
      </c>
      <c r="K1838" t="s">
        <v>19</v>
      </c>
      <c r="L1838">
        <v>12</v>
      </c>
      <c r="M1838">
        <v>0.97</v>
      </c>
      <c r="N1838" t="s">
        <v>33</v>
      </c>
    </row>
    <row r="1839" spans="1:14" x14ac:dyDescent="0.25">
      <c r="A1839">
        <v>1838</v>
      </c>
      <c r="B1839" t="s">
        <v>21</v>
      </c>
      <c r="C1839">
        <v>2022</v>
      </c>
      <c r="D1839">
        <v>1.8</v>
      </c>
      <c r="E1839" t="s">
        <v>27</v>
      </c>
      <c r="F1839">
        <v>60155</v>
      </c>
      <c r="G1839" t="s">
        <v>16</v>
      </c>
      <c r="H1839">
        <v>65645.3</v>
      </c>
      <c r="I1839" t="s">
        <v>60</v>
      </c>
      <c r="J1839" t="s">
        <v>46</v>
      </c>
      <c r="K1839" t="s">
        <v>19</v>
      </c>
      <c r="L1839">
        <v>4</v>
      </c>
      <c r="M1839">
        <v>1.0900000000000001</v>
      </c>
      <c r="N1839" t="s">
        <v>20</v>
      </c>
    </row>
    <row r="1840" spans="1:14" x14ac:dyDescent="0.25">
      <c r="A1840">
        <v>1839</v>
      </c>
      <c r="B1840" t="s">
        <v>43</v>
      </c>
      <c r="C1840">
        <v>2020</v>
      </c>
      <c r="D1840">
        <v>5.8</v>
      </c>
      <c r="E1840" t="s">
        <v>15</v>
      </c>
      <c r="F1840">
        <v>259589</v>
      </c>
      <c r="G1840" t="s">
        <v>30</v>
      </c>
      <c r="H1840">
        <v>39595.03</v>
      </c>
      <c r="I1840" t="s">
        <v>49</v>
      </c>
      <c r="J1840" t="s">
        <v>46</v>
      </c>
      <c r="K1840" t="s">
        <v>26</v>
      </c>
      <c r="L1840">
        <v>6</v>
      </c>
      <c r="M1840">
        <v>0.15</v>
      </c>
      <c r="N1840" t="s">
        <v>20</v>
      </c>
    </row>
    <row r="1841" spans="1:14" x14ac:dyDescent="0.25">
      <c r="A1841">
        <v>1840</v>
      </c>
      <c r="B1841" t="s">
        <v>36</v>
      </c>
      <c r="C1841">
        <v>2020</v>
      </c>
      <c r="D1841">
        <v>2</v>
      </c>
      <c r="E1841" t="s">
        <v>15</v>
      </c>
      <c r="F1841">
        <v>261140</v>
      </c>
      <c r="G1841" t="s">
        <v>16</v>
      </c>
      <c r="H1841">
        <v>47700.62</v>
      </c>
      <c r="I1841" t="s">
        <v>37</v>
      </c>
      <c r="J1841" t="s">
        <v>18</v>
      </c>
      <c r="K1841" t="s">
        <v>26</v>
      </c>
      <c r="L1841">
        <v>6</v>
      </c>
      <c r="M1841">
        <v>0.18</v>
      </c>
      <c r="N1841" t="s">
        <v>33</v>
      </c>
    </row>
    <row r="1842" spans="1:14" x14ac:dyDescent="0.25">
      <c r="A1842">
        <v>1841</v>
      </c>
      <c r="B1842" t="s">
        <v>14</v>
      </c>
      <c r="C1842">
        <v>2010</v>
      </c>
      <c r="D1842">
        <v>4.7</v>
      </c>
      <c r="E1842" t="s">
        <v>27</v>
      </c>
      <c r="F1842">
        <v>148515</v>
      </c>
      <c r="G1842" t="s">
        <v>16</v>
      </c>
      <c r="H1842">
        <v>86749.9</v>
      </c>
      <c r="I1842" t="s">
        <v>28</v>
      </c>
      <c r="J1842" t="s">
        <v>18</v>
      </c>
      <c r="K1842" t="s">
        <v>19</v>
      </c>
      <c r="L1842">
        <v>16</v>
      </c>
      <c r="M1842">
        <v>0.57999999999999996</v>
      </c>
      <c r="N1842" t="s">
        <v>20</v>
      </c>
    </row>
    <row r="1843" spans="1:14" x14ac:dyDescent="0.25">
      <c r="A1843">
        <v>1842</v>
      </c>
      <c r="B1843" t="s">
        <v>29</v>
      </c>
      <c r="C1843">
        <v>2012</v>
      </c>
      <c r="D1843">
        <v>3.7</v>
      </c>
      <c r="E1843" t="s">
        <v>27</v>
      </c>
      <c r="F1843">
        <v>132994</v>
      </c>
      <c r="G1843" t="s">
        <v>22</v>
      </c>
      <c r="H1843">
        <v>17418.43</v>
      </c>
      <c r="I1843" t="s">
        <v>40</v>
      </c>
      <c r="J1843" t="s">
        <v>46</v>
      </c>
      <c r="K1843" t="s">
        <v>19</v>
      </c>
      <c r="L1843">
        <v>14</v>
      </c>
      <c r="M1843">
        <v>0.13</v>
      </c>
      <c r="N1843" t="s">
        <v>33</v>
      </c>
    </row>
    <row r="1844" spans="1:14" x14ac:dyDescent="0.25">
      <c r="A1844">
        <v>1843</v>
      </c>
      <c r="B1844" t="s">
        <v>36</v>
      </c>
      <c r="C1844">
        <v>2004</v>
      </c>
      <c r="D1844">
        <v>5.4</v>
      </c>
      <c r="E1844" t="s">
        <v>27</v>
      </c>
      <c r="F1844">
        <v>294120</v>
      </c>
      <c r="G1844" t="s">
        <v>30</v>
      </c>
      <c r="H1844">
        <v>35945.019999999997</v>
      </c>
      <c r="I1844" t="s">
        <v>54</v>
      </c>
      <c r="J1844" t="s">
        <v>41</v>
      </c>
      <c r="K1844" t="s">
        <v>26</v>
      </c>
      <c r="L1844">
        <v>22</v>
      </c>
      <c r="M1844">
        <v>0.12</v>
      </c>
      <c r="N1844" t="s">
        <v>33</v>
      </c>
    </row>
    <row r="1845" spans="1:14" x14ac:dyDescent="0.25">
      <c r="A1845">
        <v>1844</v>
      </c>
      <c r="B1845" t="s">
        <v>36</v>
      </c>
      <c r="C1845">
        <v>2000</v>
      </c>
      <c r="D1845">
        <v>3.8</v>
      </c>
      <c r="E1845" t="s">
        <v>27</v>
      </c>
      <c r="F1845">
        <v>143063</v>
      </c>
      <c r="G1845" t="s">
        <v>16</v>
      </c>
      <c r="H1845">
        <v>59841.61</v>
      </c>
      <c r="I1845" t="s">
        <v>51</v>
      </c>
      <c r="J1845" t="s">
        <v>41</v>
      </c>
      <c r="K1845" t="s">
        <v>19</v>
      </c>
      <c r="L1845">
        <v>26</v>
      </c>
      <c r="M1845">
        <v>0.42</v>
      </c>
      <c r="N1845" t="s">
        <v>33</v>
      </c>
    </row>
    <row r="1846" spans="1:14" x14ac:dyDescent="0.25">
      <c r="A1846">
        <v>1845</v>
      </c>
      <c r="B1846" t="s">
        <v>43</v>
      </c>
      <c r="C1846">
        <v>2023</v>
      </c>
      <c r="D1846">
        <v>3.7</v>
      </c>
      <c r="E1846" t="s">
        <v>27</v>
      </c>
      <c r="F1846">
        <v>104405</v>
      </c>
      <c r="G1846" t="s">
        <v>16</v>
      </c>
      <c r="H1846">
        <v>69257.009999999995</v>
      </c>
      <c r="I1846" t="s">
        <v>55</v>
      </c>
      <c r="J1846" t="s">
        <v>46</v>
      </c>
      <c r="K1846" t="s">
        <v>19</v>
      </c>
      <c r="L1846">
        <v>3</v>
      </c>
      <c r="M1846">
        <v>0.66</v>
      </c>
      <c r="N1846" t="s">
        <v>20</v>
      </c>
    </row>
    <row r="1847" spans="1:14" x14ac:dyDescent="0.25">
      <c r="A1847">
        <v>1846</v>
      </c>
      <c r="B1847" t="s">
        <v>29</v>
      </c>
      <c r="C1847">
        <v>2011</v>
      </c>
      <c r="D1847">
        <v>2</v>
      </c>
      <c r="E1847" t="s">
        <v>27</v>
      </c>
      <c r="F1847">
        <v>53744</v>
      </c>
      <c r="G1847" t="s">
        <v>30</v>
      </c>
      <c r="H1847">
        <v>77532.41</v>
      </c>
      <c r="I1847" t="s">
        <v>62</v>
      </c>
      <c r="J1847" t="s">
        <v>41</v>
      </c>
      <c r="K1847" t="s">
        <v>19</v>
      </c>
      <c r="L1847">
        <v>15</v>
      </c>
      <c r="M1847">
        <v>1.44</v>
      </c>
      <c r="N1847" t="s">
        <v>33</v>
      </c>
    </row>
    <row r="1848" spans="1:14" x14ac:dyDescent="0.25">
      <c r="A1848">
        <v>1847</v>
      </c>
      <c r="B1848" t="s">
        <v>14</v>
      </c>
      <c r="C1848">
        <v>2010</v>
      </c>
      <c r="D1848">
        <v>1.8</v>
      </c>
      <c r="E1848" t="s">
        <v>15</v>
      </c>
      <c r="F1848">
        <v>2473</v>
      </c>
      <c r="G1848" t="s">
        <v>16</v>
      </c>
      <c r="H1848">
        <v>35229.65</v>
      </c>
      <c r="I1848" t="s">
        <v>39</v>
      </c>
      <c r="J1848" t="s">
        <v>18</v>
      </c>
      <c r="K1848" t="s">
        <v>50</v>
      </c>
      <c r="L1848">
        <v>16</v>
      </c>
      <c r="M1848">
        <v>14.25</v>
      </c>
      <c r="N1848" t="s">
        <v>20</v>
      </c>
    </row>
    <row r="1849" spans="1:14" x14ac:dyDescent="0.25">
      <c r="A1849">
        <v>1848</v>
      </c>
      <c r="B1849" t="s">
        <v>24</v>
      </c>
      <c r="C1849">
        <v>2016</v>
      </c>
      <c r="D1849">
        <v>5.6</v>
      </c>
      <c r="E1849" t="s">
        <v>27</v>
      </c>
      <c r="F1849">
        <v>139180</v>
      </c>
      <c r="G1849" t="s">
        <v>30</v>
      </c>
      <c r="H1849">
        <v>18856.62</v>
      </c>
      <c r="I1849" t="s">
        <v>45</v>
      </c>
      <c r="J1849" t="s">
        <v>18</v>
      </c>
      <c r="K1849" t="s">
        <v>19</v>
      </c>
      <c r="L1849">
        <v>10</v>
      </c>
      <c r="M1849">
        <v>0.14000000000000001</v>
      </c>
      <c r="N1849" t="s">
        <v>20</v>
      </c>
    </row>
    <row r="1850" spans="1:14" x14ac:dyDescent="0.25">
      <c r="A1850">
        <v>1849</v>
      </c>
      <c r="B1850" t="s">
        <v>24</v>
      </c>
      <c r="C1850">
        <v>2003</v>
      </c>
      <c r="D1850">
        <v>2.6</v>
      </c>
      <c r="E1850" t="s">
        <v>27</v>
      </c>
      <c r="F1850">
        <v>28715</v>
      </c>
      <c r="G1850" t="s">
        <v>22</v>
      </c>
      <c r="H1850">
        <v>95709.72</v>
      </c>
      <c r="I1850" t="s">
        <v>45</v>
      </c>
      <c r="J1850" t="s">
        <v>32</v>
      </c>
      <c r="K1850" t="s">
        <v>50</v>
      </c>
      <c r="L1850">
        <v>23</v>
      </c>
      <c r="M1850">
        <v>3.33</v>
      </c>
      <c r="N1850" t="s">
        <v>20</v>
      </c>
    </row>
    <row r="1851" spans="1:14" x14ac:dyDescent="0.25">
      <c r="A1851">
        <v>1850</v>
      </c>
      <c r="B1851" t="s">
        <v>36</v>
      </c>
      <c r="C1851">
        <v>2014</v>
      </c>
      <c r="D1851">
        <v>2.9</v>
      </c>
      <c r="E1851" t="s">
        <v>15</v>
      </c>
      <c r="F1851">
        <v>244826</v>
      </c>
      <c r="G1851" t="s">
        <v>22</v>
      </c>
      <c r="H1851">
        <v>12257.26</v>
      </c>
      <c r="I1851" t="s">
        <v>37</v>
      </c>
      <c r="J1851" t="s">
        <v>18</v>
      </c>
      <c r="K1851" t="s">
        <v>26</v>
      </c>
      <c r="L1851">
        <v>12</v>
      </c>
      <c r="M1851">
        <v>0.05</v>
      </c>
      <c r="N1851" t="s">
        <v>33</v>
      </c>
    </row>
    <row r="1852" spans="1:14" x14ac:dyDescent="0.25">
      <c r="A1852">
        <v>1851</v>
      </c>
      <c r="B1852" t="s">
        <v>29</v>
      </c>
      <c r="C1852">
        <v>2008</v>
      </c>
      <c r="D1852">
        <v>4.8</v>
      </c>
      <c r="E1852" t="s">
        <v>27</v>
      </c>
      <c r="F1852">
        <v>253856</v>
      </c>
      <c r="G1852" t="s">
        <v>30</v>
      </c>
      <c r="H1852">
        <v>14101.51</v>
      </c>
      <c r="I1852" t="s">
        <v>31</v>
      </c>
      <c r="J1852" t="s">
        <v>41</v>
      </c>
      <c r="K1852" t="s">
        <v>26</v>
      </c>
      <c r="L1852">
        <v>18</v>
      </c>
      <c r="M1852">
        <v>0.06</v>
      </c>
      <c r="N1852" t="s">
        <v>33</v>
      </c>
    </row>
    <row r="1853" spans="1:14" x14ac:dyDescent="0.25">
      <c r="A1853">
        <v>1852</v>
      </c>
      <c r="B1853" t="s">
        <v>29</v>
      </c>
      <c r="C1853">
        <v>2020</v>
      </c>
      <c r="D1853">
        <v>2.7</v>
      </c>
      <c r="E1853" t="s">
        <v>15</v>
      </c>
      <c r="F1853">
        <v>239419</v>
      </c>
      <c r="G1853" t="s">
        <v>22</v>
      </c>
      <c r="H1853">
        <v>52019.54</v>
      </c>
      <c r="I1853" t="s">
        <v>40</v>
      </c>
      <c r="J1853" t="s">
        <v>41</v>
      </c>
      <c r="K1853" t="s">
        <v>26</v>
      </c>
      <c r="L1853">
        <v>6</v>
      </c>
      <c r="M1853">
        <v>0.22</v>
      </c>
      <c r="N1853" t="s">
        <v>33</v>
      </c>
    </row>
    <row r="1854" spans="1:14" x14ac:dyDescent="0.25">
      <c r="A1854">
        <v>1853</v>
      </c>
      <c r="B1854" t="s">
        <v>14</v>
      </c>
      <c r="C1854">
        <v>2019</v>
      </c>
      <c r="D1854">
        <v>5.8</v>
      </c>
      <c r="E1854" t="s">
        <v>27</v>
      </c>
      <c r="F1854">
        <v>252508</v>
      </c>
      <c r="G1854" t="s">
        <v>30</v>
      </c>
      <c r="H1854">
        <v>82830.75</v>
      </c>
      <c r="I1854" t="s">
        <v>58</v>
      </c>
      <c r="J1854" t="s">
        <v>18</v>
      </c>
      <c r="K1854" t="s">
        <v>26</v>
      </c>
      <c r="L1854">
        <v>7</v>
      </c>
      <c r="M1854">
        <v>0.33</v>
      </c>
      <c r="N1854" t="s">
        <v>20</v>
      </c>
    </row>
    <row r="1855" spans="1:14" x14ac:dyDescent="0.25">
      <c r="A1855">
        <v>1854</v>
      </c>
      <c r="B1855" t="s">
        <v>43</v>
      </c>
      <c r="C1855">
        <v>2018</v>
      </c>
      <c r="D1855">
        <v>4.7</v>
      </c>
      <c r="E1855" t="s">
        <v>27</v>
      </c>
      <c r="F1855">
        <v>299461</v>
      </c>
      <c r="G1855" t="s">
        <v>16</v>
      </c>
      <c r="H1855">
        <v>78577.89</v>
      </c>
      <c r="I1855" t="s">
        <v>49</v>
      </c>
      <c r="J1855" t="s">
        <v>41</v>
      </c>
      <c r="K1855" t="s">
        <v>26</v>
      </c>
      <c r="L1855">
        <v>8</v>
      </c>
      <c r="M1855">
        <v>0.26</v>
      </c>
      <c r="N1855" t="s">
        <v>20</v>
      </c>
    </row>
    <row r="1856" spans="1:14" x14ac:dyDescent="0.25">
      <c r="A1856">
        <v>1855</v>
      </c>
      <c r="B1856" t="s">
        <v>21</v>
      </c>
      <c r="C1856">
        <v>2018</v>
      </c>
      <c r="D1856">
        <v>4</v>
      </c>
      <c r="E1856" t="s">
        <v>15</v>
      </c>
      <c r="F1856">
        <v>164434</v>
      </c>
      <c r="G1856" t="s">
        <v>16</v>
      </c>
      <c r="H1856">
        <v>94081.43</v>
      </c>
      <c r="I1856" t="s">
        <v>47</v>
      </c>
      <c r="J1856" t="s">
        <v>41</v>
      </c>
      <c r="K1856" t="s">
        <v>26</v>
      </c>
      <c r="L1856">
        <v>8</v>
      </c>
      <c r="M1856">
        <v>0.56999999999999995</v>
      </c>
      <c r="N1856" t="s">
        <v>20</v>
      </c>
    </row>
    <row r="1857" spans="1:14" x14ac:dyDescent="0.25">
      <c r="A1857">
        <v>1856</v>
      </c>
      <c r="B1857" t="s">
        <v>24</v>
      </c>
      <c r="C1857">
        <v>2011</v>
      </c>
      <c r="D1857">
        <v>5.4</v>
      </c>
      <c r="E1857" t="s">
        <v>27</v>
      </c>
      <c r="F1857">
        <v>54604</v>
      </c>
      <c r="G1857" t="s">
        <v>30</v>
      </c>
      <c r="H1857">
        <v>18452.240000000002</v>
      </c>
      <c r="I1857" t="s">
        <v>25</v>
      </c>
      <c r="J1857" t="s">
        <v>46</v>
      </c>
      <c r="K1857" t="s">
        <v>19</v>
      </c>
      <c r="L1857">
        <v>15</v>
      </c>
      <c r="M1857">
        <v>0.34</v>
      </c>
      <c r="N1857" t="s">
        <v>20</v>
      </c>
    </row>
    <row r="1858" spans="1:14" x14ac:dyDescent="0.25">
      <c r="A1858">
        <v>1857</v>
      </c>
      <c r="B1858" t="s">
        <v>43</v>
      </c>
      <c r="C1858">
        <v>2004</v>
      </c>
      <c r="D1858">
        <v>1.2</v>
      </c>
      <c r="E1858" t="s">
        <v>15</v>
      </c>
      <c r="F1858">
        <v>4889</v>
      </c>
      <c r="G1858" t="s">
        <v>16</v>
      </c>
      <c r="H1858">
        <v>40694.089999999997</v>
      </c>
      <c r="I1858" t="s">
        <v>48</v>
      </c>
      <c r="J1858" t="s">
        <v>46</v>
      </c>
      <c r="K1858" t="s">
        <v>50</v>
      </c>
      <c r="L1858">
        <v>22</v>
      </c>
      <c r="M1858">
        <v>8.32</v>
      </c>
      <c r="N1858" t="s">
        <v>20</v>
      </c>
    </row>
    <row r="1859" spans="1:14" x14ac:dyDescent="0.25">
      <c r="A1859">
        <v>1858</v>
      </c>
      <c r="B1859" t="s">
        <v>52</v>
      </c>
      <c r="C1859">
        <v>2009</v>
      </c>
      <c r="D1859">
        <v>2.2999999999999998</v>
      </c>
      <c r="E1859" t="s">
        <v>27</v>
      </c>
      <c r="F1859">
        <v>220629</v>
      </c>
      <c r="G1859" t="s">
        <v>22</v>
      </c>
      <c r="H1859">
        <v>31803.5</v>
      </c>
      <c r="I1859" t="s">
        <v>59</v>
      </c>
      <c r="J1859" t="s">
        <v>18</v>
      </c>
      <c r="K1859" t="s">
        <v>26</v>
      </c>
      <c r="L1859">
        <v>17</v>
      </c>
      <c r="M1859">
        <v>0.14000000000000001</v>
      </c>
      <c r="N1859" t="s">
        <v>33</v>
      </c>
    </row>
    <row r="1860" spans="1:14" x14ac:dyDescent="0.25">
      <c r="A1860">
        <v>1859</v>
      </c>
      <c r="B1860" t="s">
        <v>24</v>
      </c>
      <c r="C1860">
        <v>2016</v>
      </c>
      <c r="D1860">
        <v>3.3</v>
      </c>
      <c r="E1860" t="s">
        <v>27</v>
      </c>
      <c r="F1860">
        <v>294115</v>
      </c>
      <c r="G1860" t="s">
        <v>16</v>
      </c>
      <c r="H1860">
        <v>86782.66</v>
      </c>
      <c r="I1860" t="s">
        <v>34</v>
      </c>
      <c r="J1860" t="s">
        <v>41</v>
      </c>
      <c r="K1860" t="s">
        <v>26</v>
      </c>
      <c r="L1860">
        <v>10</v>
      </c>
      <c r="M1860">
        <v>0.3</v>
      </c>
      <c r="N1860" t="s">
        <v>20</v>
      </c>
    </row>
    <row r="1861" spans="1:14" x14ac:dyDescent="0.25">
      <c r="A1861">
        <v>1860</v>
      </c>
      <c r="B1861" t="s">
        <v>43</v>
      </c>
      <c r="C1861">
        <v>2004</v>
      </c>
      <c r="D1861">
        <v>2.1</v>
      </c>
      <c r="E1861" t="s">
        <v>15</v>
      </c>
      <c r="F1861">
        <v>50551</v>
      </c>
      <c r="G1861" t="s">
        <v>16</v>
      </c>
      <c r="H1861">
        <v>51393.69</v>
      </c>
      <c r="I1861" t="s">
        <v>48</v>
      </c>
      <c r="J1861" t="s">
        <v>18</v>
      </c>
      <c r="K1861" t="s">
        <v>19</v>
      </c>
      <c r="L1861">
        <v>22</v>
      </c>
      <c r="M1861">
        <v>1.02</v>
      </c>
      <c r="N1861" t="s">
        <v>20</v>
      </c>
    </row>
    <row r="1862" spans="1:14" x14ac:dyDescent="0.25">
      <c r="A1862">
        <v>1861</v>
      </c>
      <c r="B1862" t="s">
        <v>24</v>
      </c>
      <c r="C1862">
        <v>2021</v>
      </c>
      <c r="D1862">
        <v>4.7</v>
      </c>
      <c r="E1862" t="s">
        <v>27</v>
      </c>
      <c r="F1862">
        <v>134273</v>
      </c>
      <c r="G1862" t="s">
        <v>30</v>
      </c>
      <c r="H1862">
        <v>7550.55</v>
      </c>
      <c r="I1862" t="s">
        <v>34</v>
      </c>
      <c r="J1862" t="s">
        <v>18</v>
      </c>
      <c r="K1862" t="s">
        <v>19</v>
      </c>
      <c r="L1862">
        <v>5</v>
      </c>
      <c r="M1862">
        <v>0.06</v>
      </c>
      <c r="N1862" t="s">
        <v>20</v>
      </c>
    </row>
    <row r="1863" spans="1:14" x14ac:dyDescent="0.25">
      <c r="A1863">
        <v>1862</v>
      </c>
      <c r="B1863" t="s">
        <v>21</v>
      </c>
      <c r="C1863">
        <v>2015</v>
      </c>
      <c r="D1863">
        <v>5.6</v>
      </c>
      <c r="E1863" t="s">
        <v>27</v>
      </c>
      <c r="F1863">
        <v>237230</v>
      </c>
      <c r="G1863" t="s">
        <v>22</v>
      </c>
      <c r="H1863">
        <v>72256.62</v>
      </c>
      <c r="I1863" t="s">
        <v>60</v>
      </c>
      <c r="J1863" t="s">
        <v>32</v>
      </c>
      <c r="K1863" t="s">
        <v>26</v>
      </c>
      <c r="L1863">
        <v>11</v>
      </c>
      <c r="M1863">
        <v>0.3</v>
      </c>
      <c r="N1863" t="s">
        <v>20</v>
      </c>
    </row>
    <row r="1864" spans="1:14" x14ac:dyDescent="0.25">
      <c r="A1864">
        <v>1863</v>
      </c>
      <c r="B1864" t="s">
        <v>52</v>
      </c>
      <c r="C1864">
        <v>2006</v>
      </c>
      <c r="D1864">
        <v>3.1</v>
      </c>
      <c r="E1864" t="s">
        <v>15</v>
      </c>
      <c r="F1864">
        <v>236139</v>
      </c>
      <c r="G1864" t="s">
        <v>16</v>
      </c>
      <c r="H1864">
        <v>41926.32</v>
      </c>
      <c r="I1864" t="s">
        <v>53</v>
      </c>
      <c r="J1864" t="s">
        <v>41</v>
      </c>
      <c r="K1864" t="s">
        <v>26</v>
      </c>
      <c r="L1864">
        <v>20</v>
      </c>
      <c r="M1864">
        <v>0.18</v>
      </c>
      <c r="N1864" t="s">
        <v>33</v>
      </c>
    </row>
    <row r="1865" spans="1:14" x14ac:dyDescent="0.25">
      <c r="A1865">
        <v>1864</v>
      </c>
      <c r="B1865" t="s">
        <v>21</v>
      </c>
      <c r="C1865">
        <v>2008</v>
      </c>
      <c r="D1865">
        <v>2.7</v>
      </c>
      <c r="E1865" t="s">
        <v>27</v>
      </c>
      <c r="F1865">
        <v>108957</v>
      </c>
      <c r="G1865" t="s">
        <v>16</v>
      </c>
      <c r="H1865">
        <v>55458.94</v>
      </c>
      <c r="I1865" t="s">
        <v>23</v>
      </c>
      <c r="J1865" t="s">
        <v>41</v>
      </c>
      <c r="K1865" t="s">
        <v>19</v>
      </c>
      <c r="L1865">
        <v>18</v>
      </c>
      <c r="M1865">
        <v>0.51</v>
      </c>
      <c r="N1865" t="s">
        <v>20</v>
      </c>
    </row>
    <row r="1866" spans="1:14" x14ac:dyDescent="0.25">
      <c r="A1866">
        <v>1865</v>
      </c>
      <c r="B1866" t="s">
        <v>14</v>
      </c>
      <c r="C1866">
        <v>2002</v>
      </c>
      <c r="D1866">
        <v>5.8</v>
      </c>
      <c r="E1866" t="s">
        <v>15</v>
      </c>
      <c r="F1866">
        <v>89882</v>
      </c>
      <c r="G1866" t="s">
        <v>30</v>
      </c>
      <c r="H1866">
        <v>89909.81</v>
      </c>
      <c r="I1866" t="s">
        <v>17</v>
      </c>
      <c r="J1866" t="s">
        <v>18</v>
      </c>
      <c r="K1866" t="s">
        <v>19</v>
      </c>
      <c r="L1866">
        <v>24</v>
      </c>
      <c r="M1866">
        <v>1</v>
      </c>
      <c r="N1866" t="s">
        <v>20</v>
      </c>
    </row>
    <row r="1867" spans="1:14" x14ac:dyDescent="0.25">
      <c r="A1867">
        <v>1866</v>
      </c>
      <c r="B1867" t="s">
        <v>52</v>
      </c>
      <c r="C1867">
        <v>2014</v>
      </c>
      <c r="D1867">
        <v>3.2</v>
      </c>
      <c r="E1867" t="s">
        <v>27</v>
      </c>
      <c r="F1867">
        <v>210323</v>
      </c>
      <c r="G1867" t="s">
        <v>30</v>
      </c>
      <c r="H1867">
        <v>29390.09</v>
      </c>
      <c r="I1867" t="s">
        <v>61</v>
      </c>
      <c r="J1867" t="s">
        <v>18</v>
      </c>
      <c r="K1867" t="s">
        <v>26</v>
      </c>
      <c r="L1867">
        <v>12</v>
      </c>
      <c r="M1867">
        <v>0.14000000000000001</v>
      </c>
      <c r="N1867" t="s">
        <v>33</v>
      </c>
    </row>
    <row r="1868" spans="1:14" x14ac:dyDescent="0.25">
      <c r="A1868">
        <v>1867</v>
      </c>
      <c r="B1868" t="s">
        <v>36</v>
      </c>
      <c r="C1868">
        <v>2015</v>
      </c>
      <c r="D1868">
        <v>3.4</v>
      </c>
      <c r="E1868" t="s">
        <v>15</v>
      </c>
      <c r="F1868">
        <v>267825</v>
      </c>
      <c r="G1868" t="s">
        <v>22</v>
      </c>
      <c r="H1868">
        <v>27825.14</v>
      </c>
      <c r="I1868" t="s">
        <v>54</v>
      </c>
      <c r="J1868" t="s">
        <v>41</v>
      </c>
      <c r="K1868" t="s">
        <v>26</v>
      </c>
      <c r="L1868">
        <v>11</v>
      </c>
      <c r="M1868">
        <v>0.1</v>
      </c>
      <c r="N1868" t="s">
        <v>33</v>
      </c>
    </row>
    <row r="1869" spans="1:14" x14ac:dyDescent="0.25">
      <c r="A1869">
        <v>1868</v>
      </c>
      <c r="B1869" t="s">
        <v>43</v>
      </c>
      <c r="C1869">
        <v>2017</v>
      </c>
      <c r="D1869">
        <v>2.8</v>
      </c>
      <c r="E1869" t="s">
        <v>27</v>
      </c>
      <c r="F1869">
        <v>101982</v>
      </c>
      <c r="G1869" t="s">
        <v>16</v>
      </c>
      <c r="H1869">
        <v>30003.29</v>
      </c>
      <c r="I1869" t="s">
        <v>49</v>
      </c>
      <c r="J1869" t="s">
        <v>18</v>
      </c>
      <c r="K1869" t="s">
        <v>19</v>
      </c>
      <c r="L1869">
        <v>9</v>
      </c>
      <c r="M1869">
        <v>0.28999999999999998</v>
      </c>
      <c r="N1869" t="s">
        <v>20</v>
      </c>
    </row>
    <row r="1870" spans="1:14" x14ac:dyDescent="0.25">
      <c r="A1870">
        <v>1869</v>
      </c>
      <c r="B1870" t="s">
        <v>52</v>
      </c>
      <c r="C1870">
        <v>2013</v>
      </c>
      <c r="D1870">
        <v>5.5</v>
      </c>
      <c r="E1870" t="s">
        <v>15</v>
      </c>
      <c r="F1870">
        <v>46870</v>
      </c>
      <c r="G1870" t="s">
        <v>30</v>
      </c>
      <c r="H1870">
        <v>37120.26</v>
      </c>
      <c r="I1870" t="s">
        <v>59</v>
      </c>
      <c r="J1870" t="s">
        <v>32</v>
      </c>
      <c r="K1870" t="s">
        <v>50</v>
      </c>
      <c r="L1870">
        <v>13</v>
      </c>
      <c r="M1870">
        <v>0.79</v>
      </c>
      <c r="N1870" t="s">
        <v>33</v>
      </c>
    </row>
    <row r="1871" spans="1:14" x14ac:dyDescent="0.25">
      <c r="A1871">
        <v>1870</v>
      </c>
      <c r="B1871" t="s">
        <v>14</v>
      </c>
      <c r="C1871">
        <v>2002</v>
      </c>
      <c r="D1871">
        <v>3.8</v>
      </c>
      <c r="E1871" t="s">
        <v>15</v>
      </c>
      <c r="F1871">
        <v>213328</v>
      </c>
      <c r="G1871" t="s">
        <v>30</v>
      </c>
      <c r="H1871">
        <v>15198.63</v>
      </c>
      <c r="I1871" t="s">
        <v>17</v>
      </c>
      <c r="J1871" t="s">
        <v>18</v>
      </c>
      <c r="K1871" t="s">
        <v>26</v>
      </c>
      <c r="L1871">
        <v>24</v>
      </c>
      <c r="M1871">
        <v>7.0000000000000007E-2</v>
      </c>
      <c r="N1871" t="s">
        <v>20</v>
      </c>
    </row>
    <row r="1872" spans="1:14" x14ac:dyDescent="0.25">
      <c r="A1872">
        <v>1871</v>
      </c>
      <c r="B1872" t="s">
        <v>14</v>
      </c>
      <c r="C1872">
        <v>2011</v>
      </c>
      <c r="D1872">
        <v>4.8</v>
      </c>
      <c r="E1872" t="s">
        <v>27</v>
      </c>
      <c r="F1872">
        <v>159224</v>
      </c>
      <c r="G1872" t="s">
        <v>30</v>
      </c>
      <c r="H1872">
        <v>71235.87</v>
      </c>
      <c r="I1872" t="s">
        <v>28</v>
      </c>
      <c r="J1872" t="s">
        <v>18</v>
      </c>
      <c r="K1872" t="s">
        <v>26</v>
      </c>
      <c r="L1872">
        <v>15</v>
      </c>
      <c r="M1872">
        <v>0.45</v>
      </c>
      <c r="N1872" t="s">
        <v>20</v>
      </c>
    </row>
    <row r="1873" spans="1:14" x14ac:dyDescent="0.25">
      <c r="A1873">
        <v>1872</v>
      </c>
      <c r="B1873" t="s">
        <v>21</v>
      </c>
      <c r="C1873">
        <v>2008</v>
      </c>
      <c r="D1873">
        <v>5.0999999999999996</v>
      </c>
      <c r="E1873" t="s">
        <v>27</v>
      </c>
      <c r="F1873">
        <v>50061</v>
      </c>
      <c r="G1873" t="s">
        <v>22</v>
      </c>
      <c r="H1873">
        <v>24702.880000000001</v>
      </c>
      <c r="I1873" t="s">
        <v>60</v>
      </c>
      <c r="J1873" t="s">
        <v>41</v>
      </c>
      <c r="K1873" t="s">
        <v>19</v>
      </c>
      <c r="L1873">
        <v>18</v>
      </c>
      <c r="M1873">
        <v>0.49</v>
      </c>
      <c r="N1873" t="s">
        <v>20</v>
      </c>
    </row>
    <row r="1874" spans="1:14" x14ac:dyDescent="0.25">
      <c r="A1874">
        <v>1873</v>
      </c>
      <c r="B1874" t="s">
        <v>24</v>
      </c>
      <c r="C1874">
        <v>2006</v>
      </c>
      <c r="D1874">
        <v>2.7</v>
      </c>
      <c r="E1874" t="s">
        <v>15</v>
      </c>
      <c r="F1874">
        <v>188691</v>
      </c>
      <c r="G1874" t="s">
        <v>30</v>
      </c>
      <c r="H1874">
        <v>92983.85</v>
      </c>
      <c r="I1874" t="s">
        <v>25</v>
      </c>
      <c r="J1874" t="s">
        <v>46</v>
      </c>
      <c r="K1874" t="s">
        <v>26</v>
      </c>
      <c r="L1874">
        <v>20</v>
      </c>
      <c r="M1874">
        <v>0.49</v>
      </c>
      <c r="N1874" t="s">
        <v>20</v>
      </c>
    </row>
    <row r="1875" spans="1:14" x14ac:dyDescent="0.25">
      <c r="A1875">
        <v>1874</v>
      </c>
      <c r="B1875" t="s">
        <v>52</v>
      </c>
      <c r="C1875">
        <v>2008</v>
      </c>
      <c r="D1875">
        <v>3.2</v>
      </c>
      <c r="E1875" t="s">
        <v>27</v>
      </c>
      <c r="F1875">
        <v>58235</v>
      </c>
      <c r="G1875" t="s">
        <v>22</v>
      </c>
      <c r="H1875">
        <v>25490.2</v>
      </c>
      <c r="I1875" t="s">
        <v>56</v>
      </c>
      <c r="J1875" t="s">
        <v>18</v>
      </c>
      <c r="K1875" t="s">
        <v>19</v>
      </c>
      <c r="L1875">
        <v>18</v>
      </c>
      <c r="M1875">
        <v>0.44</v>
      </c>
      <c r="N1875" t="s">
        <v>33</v>
      </c>
    </row>
    <row r="1876" spans="1:14" x14ac:dyDescent="0.25">
      <c r="A1876">
        <v>1875</v>
      </c>
      <c r="B1876" t="s">
        <v>43</v>
      </c>
      <c r="C1876">
        <v>2012</v>
      </c>
      <c r="D1876">
        <v>5.2</v>
      </c>
      <c r="E1876" t="s">
        <v>15</v>
      </c>
      <c r="F1876">
        <v>90073</v>
      </c>
      <c r="G1876" t="s">
        <v>22</v>
      </c>
      <c r="H1876">
        <v>29285.99</v>
      </c>
      <c r="I1876" t="s">
        <v>48</v>
      </c>
      <c r="J1876" t="s">
        <v>18</v>
      </c>
      <c r="K1876" t="s">
        <v>19</v>
      </c>
      <c r="L1876">
        <v>14</v>
      </c>
      <c r="M1876">
        <v>0.33</v>
      </c>
      <c r="N1876" t="s">
        <v>20</v>
      </c>
    </row>
    <row r="1877" spans="1:14" x14ac:dyDescent="0.25">
      <c r="A1877">
        <v>1876</v>
      </c>
      <c r="B1877" t="s">
        <v>52</v>
      </c>
      <c r="C1877">
        <v>2017</v>
      </c>
      <c r="D1877">
        <v>2.8</v>
      </c>
      <c r="E1877" t="s">
        <v>27</v>
      </c>
      <c r="F1877">
        <v>11217</v>
      </c>
      <c r="G1877" t="s">
        <v>16</v>
      </c>
      <c r="H1877">
        <v>33216.92</v>
      </c>
      <c r="I1877" t="s">
        <v>61</v>
      </c>
      <c r="J1877" t="s">
        <v>46</v>
      </c>
      <c r="K1877" t="s">
        <v>50</v>
      </c>
      <c r="L1877">
        <v>9</v>
      </c>
      <c r="M1877">
        <v>2.96</v>
      </c>
      <c r="N1877" t="s">
        <v>33</v>
      </c>
    </row>
    <row r="1878" spans="1:14" x14ac:dyDescent="0.25">
      <c r="A1878">
        <v>1877</v>
      </c>
      <c r="B1878" t="s">
        <v>29</v>
      </c>
      <c r="C1878">
        <v>2004</v>
      </c>
      <c r="D1878">
        <v>5</v>
      </c>
      <c r="E1878" t="s">
        <v>27</v>
      </c>
      <c r="F1878">
        <v>295885</v>
      </c>
      <c r="G1878" t="s">
        <v>16</v>
      </c>
      <c r="H1878">
        <v>78011.12</v>
      </c>
      <c r="I1878" t="s">
        <v>31</v>
      </c>
      <c r="J1878" t="s">
        <v>46</v>
      </c>
      <c r="K1878" t="s">
        <v>26</v>
      </c>
      <c r="L1878">
        <v>22</v>
      </c>
      <c r="M1878">
        <v>0.26</v>
      </c>
      <c r="N1878" t="s">
        <v>33</v>
      </c>
    </row>
    <row r="1879" spans="1:14" x14ac:dyDescent="0.25">
      <c r="A1879">
        <v>1878</v>
      </c>
      <c r="B1879" t="s">
        <v>24</v>
      </c>
      <c r="C1879">
        <v>2012</v>
      </c>
      <c r="D1879">
        <v>5.7</v>
      </c>
      <c r="E1879" t="s">
        <v>15</v>
      </c>
      <c r="F1879">
        <v>192386</v>
      </c>
      <c r="G1879" t="s">
        <v>22</v>
      </c>
      <c r="H1879">
        <v>45622.62</v>
      </c>
      <c r="I1879" t="s">
        <v>35</v>
      </c>
      <c r="J1879" t="s">
        <v>46</v>
      </c>
      <c r="K1879" t="s">
        <v>26</v>
      </c>
      <c r="L1879">
        <v>14</v>
      </c>
      <c r="M1879">
        <v>0.24</v>
      </c>
      <c r="N1879" t="s">
        <v>20</v>
      </c>
    </row>
    <row r="1880" spans="1:14" x14ac:dyDescent="0.25">
      <c r="A1880">
        <v>1879</v>
      </c>
      <c r="B1880" t="s">
        <v>43</v>
      </c>
      <c r="C1880">
        <v>2003</v>
      </c>
      <c r="D1880">
        <v>4.0999999999999996</v>
      </c>
      <c r="E1880" t="s">
        <v>15</v>
      </c>
      <c r="F1880">
        <v>263552</v>
      </c>
      <c r="G1880" t="s">
        <v>16</v>
      </c>
      <c r="H1880">
        <v>82836.789999999994</v>
      </c>
      <c r="I1880" t="s">
        <v>55</v>
      </c>
      <c r="J1880" t="s">
        <v>41</v>
      </c>
      <c r="K1880" t="s">
        <v>26</v>
      </c>
      <c r="L1880">
        <v>23</v>
      </c>
      <c r="M1880">
        <v>0.31</v>
      </c>
      <c r="N1880" t="s">
        <v>20</v>
      </c>
    </row>
    <row r="1881" spans="1:14" x14ac:dyDescent="0.25">
      <c r="A1881">
        <v>1880</v>
      </c>
      <c r="B1881" t="s">
        <v>43</v>
      </c>
      <c r="C1881">
        <v>2001</v>
      </c>
      <c r="D1881">
        <v>4.7</v>
      </c>
      <c r="E1881" t="s">
        <v>27</v>
      </c>
      <c r="F1881">
        <v>42903</v>
      </c>
      <c r="G1881" t="s">
        <v>16</v>
      </c>
      <c r="H1881">
        <v>79561.100000000006</v>
      </c>
      <c r="I1881" t="s">
        <v>44</v>
      </c>
      <c r="J1881" t="s">
        <v>41</v>
      </c>
      <c r="K1881" t="s">
        <v>50</v>
      </c>
      <c r="L1881">
        <v>25</v>
      </c>
      <c r="M1881">
        <v>1.85</v>
      </c>
      <c r="N1881" t="s">
        <v>20</v>
      </c>
    </row>
    <row r="1882" spans="1:14" x14ac:dyDescent="0.25">
      <c r="A1882">
        <v>1881</v>
      </c>
      <c r="B1882" t="s">
        <v>36</v>
      </c>
      <c r="C1882">
        <v>2015</v>
      </c>
      <c r="D1882">
        <v>5</v>
      </c>
      <c r="E1882" t="s">
        <v>27</v>
      </c>
      <c r="F1882">
        <v>215280</v>
      </c>
      <c r="G1882" t="s">
        <v>30</v>
      </c>
      <c r="H1882">
        <v>93301.59</v>
      </c>
      <c r="I1882" t="s">
        <v>54</v>
      </c>
      <c r="J1882" t="s">
        <v>18</v>
      </c>
      <c r="K1882" t="s">
        <v>26</v>
      </c>
      <c r="L1882">
        <v>11</v>
      </c>
      <c r="M1882">
        <v>0.43</v>
      </c>
      <c r="N1882" t="s">
        <v>33</v>
      </c>
    </row>
    <row r="1883" spans="1:14" x14ac:dyDescent="0.25">
      <c r="A1883">
        <v>1882</v>
      </c>
      <c r="B1883" t="s">
        <v>21</v>
      </c>
      <c r="C1883">
        <v>2008</v>
      </c>
      <c r="D1883">
        <v>5.2</v>
      </c>
      <c r="E1883" t="s">
        <v>27</v>
      </c>
      <c r="F1883">
        <v>107042</v>
      </c>
      <c r="G1883" t="s">
        <v>16</v>
      </c>
      <c r="H1883">
        <v>76877.39</v>
      </c>
      <c r="I1883" t="s">
        <v>60</v>
      </c>
      <c r="J1883" t="s">
        <v>18</v>
      </c>
      <c r="K1883" t="s">
        <v>19</v>
      </c>
      <c r="L1883">
        <v>18</v>
      </c>
      <c r="M1883">
        <v>0.72</v>
      </c>
      <c r="N1883" t="s">
        <v>20</v>
      </c>
    </row>
    <row r="1884" spans="1:14" x14ac:dyDescent="0.25">
      <c r="A1884">
        <v>1883</v>
      </c>
      <c r="B1884" t="s">
        <v>36</v>
      </c>
      <c r="C1884">
        <v>2008</v>
      </c>
      <c r="D1884">
        <v>3</v>
      </c>
      <c r="E1884" t="s">
        <v>27</v>
      </c>
      <c r="F1884">
        <v>243725</v>
      </c>
      <c r="G1884" t="s">
        <v>22</v>
      </c>
      <c r="H1884">
        <v>9931.56</v>
      </c>
      <c r="I1884" t="s">
        <v>51</v>
      </c>
      <c r="J1884" t="s">
        <v>32</v>
      </c>
      <c r="K1884" t="s">
        <v>26</v>
      </c>
      <c r="L1884">
        <v>18</v>
      </c>
      <c r="M1884">
        <v>0.04</v>
      </c>
      <c r="N1884" t="s">
        <v>33</v>
      </c>
    </row>
    <row r="1885" spans="1:14" x14ac:dyDescent="0.25">
      <c r="A1885">
        <v>1884</v>
      </c>
      <c r="B1885" t="s">
        <v>43</v>
      </c>
      <c r="C1885">
        <v>2005</v>
      </c>
      <c r="D1885">
        <v>1.3</v>
      </c>
      <c r="E1885" t="s">
        <v>27</v>
      </c>
      <c r="F1885">
        <v>132290</v>
      </c>
      <c r="G1885" t="s">
        <v>16</v>
      </c>
      <c r="H1885">
        <v>84541.72</v>
      </c>
      <c r="I1885" t="s">
        <v>49</v>
      </c>
      <c r="J1885" t="s">
        <v>41</v>
      </c>
      <c r="K1885" t="s">
        <v>19</v>
      </c>
      <c r="L1885">
        <v>21</v>
      </c>
      <c r="M1885">
        <v>0.64</v>
      </c>
      <c r="N1885" t="s">
        <v>20</v>
      </c>
    </row>
    <row r="1886" spans="1:14" x14ac:dyDescent="0.25">
      <c r="A1886">
        <v>1885</v>
      </c>
      <c r="B1886" t="s">
        <v>24</v>
      </c>
      <c r="C1886">
        <v>2010</v>
      </c>
      <c r="D1886">
        <v>3</v>
      </c>
      <c r="E1886" t="s">
        <v>15</v>
      </c>
      <c r="F1886">
        <v>181644</v>
      </c>
      <c r="G1886" t="s">
        <v>30</v>
      </c>
      <c r="H1886">
        <v>94116.9</v>
      </c>
      <c r="I1886" t="s">
        <v>35</v>
      </c>
      <c r="J1886" t="s">
        <v>18</v>
      </c>
      <c r="K1886" t="s">
        <v>26</v>
      </c>
      <c r="L1886">
        <v>16</v>
      </c>
      <c r="M1886">
        <v>0.52</v>
      </c>
      <c r="N1886" t="s">
        <v>20</v>
      </c>
    </row>
    <row r="1887" spans="1:14" x14ac:dyDescent="0.25">
      <c r="A1887">
        <v>1886</v>
      </c>
      <c r="B1887" t="s">
        <v>52</v>
      </c>
      <c r="C1887">
        <v>2021</v>
      </c>
      <c r="D1887">
        <v>4.4000000000000004</v>
      </c>
      <c r="E1887" t="s">
        <v>27</v>
      </c>
      <c r="F1887">
        <v>109268</v>
      </c>
      <c r="G1887" t="s">
        <v>22</v>
      </c>
      <c r="H1887">
        <v>99400.47</v>
      </c>
      <c r="I1887" t="s">
        <v>53</v>
      </c>
      <c r="J1887" t="s">
        <v>46</v>
      </c>
      <c r="K1887" t="s">
        <v>19</v>
      </c>
      <c r="L1887">
        <v>5</v>
      </c>
      <c r="M1887">
        <v>0.91</v>
      </c>
      <c r="N1887" t="s">
        <v>33</v>
      </c>
    </row>
    <row r="1888" spans="1:14" x14ac:dyDescent="0.25">
      <c r="A1888">
        <v>1887</v>
      </c>
      <c r="B1888" t="s">
        <v>52</v>
      </c>
      <c r="C1888">
        <v>2023</v>
      </c>
      <c r="D1888">
        <v>3.3</v>
      </c>
      <c r="E1888" t="s">
        <v>27</v>
      </c>
      <c r="F1888">
        <v>30105</v>
      </c>
      <c r="G1888" t="s">
        <v>16</v>
      </c>
      <c r="H1888">
        <v>16900.419999999998</v>
      </c>
      <c r="I1888" t="s">
        <v>56</v>
      </c>
      <c r="J1888" t="s">
        <v>46</v>
      </c>
      <c r="K1888" t="s">
        <v>50</v>
      </c>
      <c r="L1888">
        <v>3</v>
      </c>
      <c r="M1888">
        <v>0.56000000000000005</v>
      </c>
      <c r="N1888" t="s">
        <v>33</v>
      </c>
    </row>
    <row r="1889" spans="1:14" x14ac:dyDescent="0.25">
      <c r="A1889">
        <v>1888</v>
      </c>
      <c r="B1889" t="s">
        <v>24</v>
      </c>
      <c r="C1889">
        <v>2021</v>
      </c>
      <c r="D1889">
        <v>4.7</v>
      </c>
      <c r="E1889" t="s">
        <v>15</v>
      </c>
      <c r="F1889">
        <v>69634</v>
      </c>
      <c r="G1889" t="s">
        <v>22</v>
      </c>
      <c r="H1889">
        <v>63260.959999999999</v>
      </c>
      <c r="I1889" t="s">
        <v>25</v>
      </c>
      <c r="J1889" t="s">
        <v>41</v>
      </c>
      <c r="K1889" t="s">
        <v>19</v>
      </c>
      <c r="L1889">
        <v>5</v>
      </c>
      <c r="M1889">
        <v>0.91</v>
      </c>
      <c r="N1889" t="s">
        <v>20</v>
      </c>
    </row>
    <row r="1890" spans="1:14" x14ac:dyDescent="0.25">
      <c r="A1890">
        <v>1889</v>
      </c>
      <c r="B1890" t="s">
        <v>43</v>
      </c>
      <c r="C1890">
        <v>2000</v>
      </c>
      <c r="D1890">
        <v>2.8</v>
      </c>
      <c r="E1890" t="s">
        <v>15</v>
      </c>
      <c r="F1890">
        <v>138691</v>
      </c>
      <c r="G1890" t="s">
        <v>16</v>
      </c>
      <c r="H1890">
        <v>23948.57</v>
      </c>
      <c r="I1890" t="s">
        <v>49</v>
      </c>
      <c r="J1890" t="s">
        <v>46</v>
      </c>
      <c r="K1890" t="s">
        <v>19</v>
      </c>
      <c r="L1890">
        <v>26</v>
      </c>
      <c r="M1890">
        <v>0.17</v>
      </c>
      <c r="N1890" t="s">
        <v>20</v>
      </c>
    </row>
    <row r="1891" spans="1:14" x14ac:dyDescent="0.25">
      <c r="A1891">
        <v>1890</v>
      </c>
      <c r="B1891" t="s">
        <v>14</v>
      </c>
      <c r="C1891">
        <v>2003</v>
      </c>
      <c r="D1891">
        <v>4.2</v>
      </c>
      <c r="E1891" t="s">
        <v>15</v>
      </c>
      <c r="F1891">
        <v>18226</v>
      </c>
      <c r="G1891" t="s">
        <v>30</v>
      </c>
      <c r="H1891">
        <v>29938.42</v>
      </c>
      <c r="I1891" t="s">
        <v>39</v>
      </c>
      <c r="J1891" t="s">
        <v>18</v>
      </c>
      <c r="K1891" t="s">
        <v>50</v>
      </c>
      <c r="L1891">
        <v>23</v>
      </c>
      <c r="M1891">
        <v>1.64</v>
      </c>
      <c r="N1891" t="s">
        <v>20</v>
      </c>
    </row>
    <row r="1892" spans="1:14" x14ac:dyDescent="0.25">
      <c r="A1892">
        <v>1891</v>
      </c>
      <c r="B1892" t="s">
        <v>52</v>
      </c>
      <c r="C1892">
        <v>2012</v>
      </c>
      <c r="D1892">
        <v>1.9</v>
      </c>
      <c r="E1892" t="s">
        <v>27</v>
      </c>
      <c r="F1892">
        <v>25322</v>
      </c>
      <c r="G1892" t="s">
        <v>16</v>
      </c>
      <c r="H1892">
        <v>75830.509999999995</v>
      </c>
      <c r="I1892" t="s">
        <v>56</v>
      </c>
      <c r="J1892" t="s">
        <v>18</v>
      </c>
      <c r="K1892" t="s">
        <v>50</v>
      </c>
      <c r="L1892">
        <v>14</v>
      </c>
      <c r="M1892">
        <v>2.99</v>
      </c>
      <c r="N1892" t="s">
        <v>33</v>
      </c>
    </row>
    <row r="1893" spans="1:14" x14ac:dyDescent="0.25">
      <c r="A1893">
        <v>1892</v>
      </c>
      <c r="B1893" t="s">
        <v>14</v>
      </c>
      <c r="C1893">
        <v>2022</v>
      </c>
      <c r="D1893">
        <v>4.7</v>
      </c>
      <c r="E1893" t="s">
        <v>15</v>
      </c>
      <c r="F1893">
        <v>167284</v>
      </c>
      <c r="G1893" t="s">
        <v>22</v>
      </c>
      <c r="H1893">
        <v>97878.43</v>
      </c>
      <c r="I1893" t="s">
        <v>28</v>
      </c>
      <c r="J1893" t="s">
        <v>18</v>
      </c>
      <c r="K1893" t="s">
        <v>26</v>
      </c>
      <c r="L1893">
        <v>4</v>
      </c>
      <c r="M1893">
        <v>0.59</v>
      </c>
      <c r="N1893" t="s">
        <v>20</v>
      </c>
    </row>
    <row r="1894" spans="1:14" x14ac:dyDescent="0.25">
      <c r="A1894">
        <v>1893</v>
      </c>
      <c r="B1894" t="s">
        <v>52</v>
      </c>
      <c r="C1894">
        <v>2012</v>
      </c>
      <c r="D1894">
        <v>3.7</v>
      </c>
      <c r="E1894" t="s">
        <v>15</v>
      </c>
      <c r="F1894">
        <v>94835</v>
      </c>
      <c r="G1894" t="s">
        <v>22</v>
      </c>
      <c r="H1894">
        <v>61511.27</v>
      </c>
      <c r="I1894" t="s">
        <v>61</v>
      </c>
      <c r="J1894" t="s">
        <v>18</v>
      </c>
      <c r="K1894" t="s">
        <v>19</v>
      </c>
      <c r="L1894">
        <v>14</v>
      </c>
      <c r="M1894">
        <v>0.65</v>
      </c>
      <c r="N1894" t="s">
        <v>33</v>
      </c>
    </row>
    <row r="1895" spans="1:14" x14ac:dyDescent="0.25">
      <c r="A1895">
        <v>1894</v>
      </c>
      <c r="B1895" t="s">
        <v>52</v>
      </c>
      <c r="C1895">
        <v>2012</v>
      </c>
      <c r="D1895">
        <v>2</v>
      </c>
      <c r="E1895" t="s">
        <v>15</v>
      </c>
      <c r="F1895">
        <v>255027</v>
      </c>
      <c r="G1895" t="s">
        <v>22</v>
      </c>
      <c r="H1895">
        <v>85805.52</v>
      </c>
      <c r="I1895" t="s">
        <v>61</v>
      </c>
      <c r="J1895" t="s">
        <v>41</v>
      </c>
      <c r="K1895" t="s">
        <v>26</v>
      </c>
      <c r="L1895">
        <v>14</v>
      </c>
      <c r="M1895">
        <v>0.34</v>
      </c>
      <c r="N1895" t="s">
        <v>33</v>
      </c>
    </row>
    <row r="1896" spans="1:14" x14ac:dyDescent="0.25">
      <c r="A1896">
        <v>1895</v>
      </c>
      <c r="B1896" t="s">
        <v>21</v>
      </c>
      <c r="C1896">
        <v>2001</v>
      </c>
      <c r="D1896">
        <v>2.5</v>
      </c>
      <c r="E1896" t="s">
        <v>15</v>
      </c>
      <c r="F1896">
        <v>73079</v>
      </c>
      <c r="G1896" t="s">
        <v>16</v>
      </c>
      <c r="H1896">
        <v>5843.96</v>
      </c>
      <c r="I1896" t="s">
        <v>47</v>
      </c>
      <c r="J1896" t="s">
        <v>46</v>
      </c>
      <c r="K1896" t="s">
        <v>19</v>
      </c>
      <c r="L1896">
        <v>25</v>
      </c>
      <c r="M1896">
        <v>0.08</v>
      </c>
      <c r="N1896" t="s">
        <v>20</v>
      </c>
    </row>
    <row r="1897" spans="1:14" x14ac:dyDescent="0.25">
      <c r="A1897">
        <v>1896</v>
      </c>
      <c r="B1897" t="s">
        <v>21</v>
      </c>
      <c r="C1897">
        <v>2008</v>
      </c>
      <c r="D1897">
        <v>4.7</v>
      </c>
      <c r="E1897" t="s">
        <v>27</v>
      </c>
      <c r="F1897">
        <v>23946</v>
      </c>
      <c r="G1897" t="s">
        <v>16</v>
      </c>
      <c r="H1897">
        <v>8480.01</v>
      </c>
      <c r="I1897" t="s">
        <v>47</v>
      </c>
      <c r="J1897" t="s">
        <v>32</v>
      </c>
      <c r="K1897" t="s">
        <v>50</v>
      </c>
      <c r="L1897">
        <v>18</v>
      </c>
      <c r="M1897">
        <v>0.35</v>
      </c>
      <c r="N1897" t="s">
        <v>20</v>
      </c>
    </row>
    <row r="1898" spans="1:14" x14ac:dyDescent="0.25">
      <c r="A1898">
        <v>1897</v>
      </c>
      <c r="B1898" t="s">
        <v>29</v>
      </c>
      <c r="C1898">
        <v>2023</v>
      </c>
      <c r="D1898">
        <v>3.4</v>
      </c>
      <c r="E1898" t="s">
        <v>27</v>
      </c>
      <c r="F1898">
        <v>162812</v>
      </c>
      <c r="G1898" t="s">
        <v>16</v>
      </c>
      <c r="H1898">
        <v>61688.81</v>
      </c>
      <c r="I1898" t="s">
        <v>62</v>
      </c>
      <c r="J1898" t="s">
        <v>41</v>
      </c>
      <c r="K1898" t="s">
        <v>26</v>
      </c>
      <c r="L1898">
        <v>3</v>
      </c>
      <c r="M1898">
        <v>0.38</v>
      </c>
      <c r="N1898" t="s">
        <v>33</v>
      </c>
    </row>
    <row r="1899" spans="1:14" x14ac:dyDescent="0.25">
      <c r="A1899">
        <v>1898</v>
      </c>
      <c r="B1899" t="s">
        <v>36</v>
      </c>
      <c r="C1899">
        <v>2007</v>
      </c>
      <c r="D1899">
        <v>2.1</v>
      </c>
      <c r="E1899" t="s">
        <v>27</v>
      </c>
      <c r="F1899">
        <v>7253</v>
      </c>
      <c r="G1899" t="s">
        <v>30</v>
      </c>
      <c r="H1899">
        <v>41953.39</v>
      </c>
      <c r="I1899" t="s">
        <v>37</v>
      </c>
      <c r="J1899" t="s">
        <v>18</v>
      </c>
      <c r="K1899" t="s">
        <v>50</v>
      </c>
      <c r="L1899">
        <v>19</v>
      </c>
      <c r="M1899">
        <v>5.78</v>
      </c>
      <c r="N1899" t="s">
        <v>33</v>
      </c>
    </row>
    <row r="1900" spans="1:14" x14ac:dyDescent="0.25">
      <c r="A1900">
        <v>1899</v>
      </c>
      <c r="B1900" t="s">
        <v>24</v>
      </c>
      <c r="C1900">
        <v>2006</v>
      </c>
      <c r="D1900">
        <v>5.8</v>
      </c>
      <c r="E1900" t="s">
        <v>15</v>
      </c>
      <c r="F1900">
        <v>79311</v>
      </c>
      <c r="G1900" t="s">
        <v>30</v>
      </c>
      <c r="H1900">
        <v>89526.99</v>
      </c>
      <c r="I1900" t="s">
        <v>34</v>
      </c>
      <c r="J1900" t="s">
        <v>32</v>
      </c>
      <c r="K1900" t="s">
        <v>19</v>
      </c>
      <c r="L1900">
        <v>20</v>
      </c>
      <c r="M1900">
        <v>1.1299999999999999</v>
      </c>
      <c r="N1900" t="s">
        <v>20</v>
      </c>
    </row>
    <row r="1901" spans="1:14" x14ac:dyDescent="0.25">
      <c r="A1901">
        <v>1900</v>
      </c>
      <c r="B1901" t="s">
        <v>24</v>
      </c>
      <c r="C1901">
        <v>2003</v>
      </c>
      <c r="D1901">
        <v>4.5999999999999996</v>
      </c>
      <c r="E1901" t="s">
        <v>15</v>
      </c>
      <c r="F1901">
        <v>294957</v>
      </c>
      <c r="G1901" t="s">
        <v>30</v>
      </c>
      <c r="H1901">
        <v>33688.28</v>
      </c>
      <c r="I1901" t="s">
        <v>35</v>
      </c>
      <c r="J1901" t="s">
        <v>18</v>
      </c>
      <c r="K1901" t="s">
        <v>26</v>
      </c>
      <c r="L1901">
        <v>23</v>
      </c>
      <c r="M1901">
        <v>0.11</v>
      </c>
      <c r="N1901" t="s">
        <v>20</v>
      </c>
    </row>
    <row r="1902" spans="1:14" x14ac:dyDescent="0.25">
      <c r="A1902">
        <v>1901</v>
      </c>
      <c r="B1902" t="s">
        <v>24</v>
      </c>
      <c r="C1902">
        <v>2017</v>
      </c>
      <c r="D1902">
        <v>5.8</v>
      </c>
      <c r="E1902" t="s">
        <v>15</v>
      </c>
      <c r="F1902">
        <v>67593</v>
      </c>
      <c r="G1902" t="s">
        <v>22</v>
      </c>
      <c r="H1902">
        <v>46044.85</v>
      </c>
      <c r="I1902" t="s">
        <v>35</v>
      </c>
      <c r="J1902" t="s">
        <v>18</v>
      </c>
      <c r="K1902" t="s">
        <v>19</v>
      </c>
      <c r="L1902">
        <v>9</v>
      </c>
      <c r="M1902">
        <v>0.68</v>
      </c>
      <c r="N1902" t="s">
        <v>20</v>
      </c>
    </row>
    <row r="1903" spans="1:14" x14ac:dyDescent="0.25">
      <c r="A1903">
        <v>1902</v>
      </c>
      <c r="B1903" t="s">
        <v>29</v>
      </c>
      <c r="C1903">
        <v>2002</v>
      </c>
      <c r="D1903">
        <v>3.1</v>
      </c>
      <c r="E1903" t="s">
        <v>15</v>
      </c>
      <c r="F1903">
        <v>149485</v>
      </c>
      <c r="G1903" t="s">
        <v>22</v>
      </c>
      <c r="H1903">
        <v>55151.37</v>
      </c>
      <c r="I1903" t="s">
        <v>62</v>
      </c>
      <c r="J1903" t="s">
        <v>41</v>
      </c>
      <c r="K1903" t="s">
        <v>19</v>
      </c>
      <c r="L1903">
        <v>24</v>
      </c>
      <c r="M1903">
        <v>0.37</v>
      </c>
      <c r="N1903" t="s">
        <v>33</v>
      </c>
    </row>
    <row r="1904" spans="1:14" x14ac:dyDescent="0.25">
      <c r="A1904">
        <v>1903</v>
      </c>
      <c r="B1904" t="s">
        <v>21</v>
      </c>
      <c r="C1904">
        <v>2005</v>
      </c>
      <c r="D1904">
        <v>3.4</v>
      </c>
      <c r="E1904" t="s">
        <v>15</v>
      </c>
      <c r="F1904">
        <v>226833</v>
      </c>
      <c r="G1904" t="s">
        <v>22</v>
      </c>
      <c r="H1904">
        <v>30938.69</v>
      </c>
      <c r="I1904" t="s">
        <v>42</v>
      </c>
      <c r="J1904" t="s">
        <v>18</v>
      </c>
      <c r="K1904" t="s">
        <v>26</v>
      </c>
      <c r="L1904">
        <v>21</v>
      </c>
      <c r="M1904">
        <v>0.14000000000000001</v>
      </c>
      <c r="N1904" t="s">
        <v>20</v>
      </c>
    </row>
    <row r="1905" spans="1:14" x14ac:dyDescent="0.25">
      <c r="A1905">
        <v>1904</v>
      </c>
      <c r="B1905" t="s">
        <v>43</v>
      </c>
      <c r="C1905">
        <v>2011</v>
      </c>
      <c r="D1905">
        <v>5.5</v>
      </c>
      <c r="E1905" t="s">
        <v>15</v>
      </c>
      <c r="F1905">
        <v>38485</v>
      </c>
      <c r="G1905" t="s">
        <v>22</v>
      </c>
      <c r="H1905">
        <v>91307.01</v>
      </c>
      <c r="I1905" t="s">
        <v>49</v>
      </c>
      <c r="J1905" t="s">
        <v>32</v>
      </c>
      <c r="K1905" t="s">
        <v>50</v>
      </c>
      <c r="L1905">
        <v>15</v>
      </c>
      <c r="M1905">
        <v>2.37</v>
      </c>
      <c r="N1905" t="s">
        <v>20</v>
      </c>
    </row>
    <row r="1906" spans="1:14" x14ac:dyDescent="0.25">
      <c r="A1906">
        <v>1905</v>
      </c>
      <c r="B1906" t="s">
        <v>14</v>
      </c>
      <c r="C1906">
        <v>2011</v>
      </c>
      <c r="D1906">
        <v>3.6</v>
      </c>
      <c r="E1906" t="s">
        <v>27</v>
      </c>
      <c r="F1906">
        <v>199304</v>
      </c>
      <c r="G1906" t="s">
        <v>22</v>
      </c>
      <c r="H1906">
        <v>49130.69</v>
      </c>
      <c r="I1906" t="s">
        <v>17</v>
      </c>
      <c r="J1906" t="s">
        <v>18</v>
      </c>
      <c r="K1906" t="s">
        <v>26</v>
      </c>
      <c r="L1906">
        <v>15</v>
      </c>
      <c r="M1906">
        <v>0.25</v>
      </c>
      <c r="N1906" t="s">
        <v>20</v>
      </c>
    </row>
    <row r="1907" spans="1:14" x14ac:dyDescent="0.25">
      <c r="A1907">
        <v>1906</v>
      </c>
      <c r="B1907" t="s">
        <v>14</v>
      </c>
      <c r="C1907">
        <v>2020</v>
      </c>
      <c r="D1907">
        <v>4.5</v>
      </c>
      <c r="E1907" t="s">
        <v>27</v>
      </c>
      <c r="F1907">
        <v>278245</v>
      </c>
      <c r="G1907" t="s">
        <v>16</v>
      </c>
      <c r="H1907">
        <v>45294.78</v>
      </c>
      <c r="I1907" t="s">
        <v>28</v>
      </c>
      <c r="J1907" t="s">
        <v>18</v>
      </c>
      <c r="K1907" t="s">
        <v>26</v>
      </c>
      <c r="L1907">
        <v>6</v>
      </c>
      <c r="M1907">
        <v>0.16</v>
      </c>
      <c r="N1907" t="s">
        <v>20</v>
      </c>
    </row>
    <row r="1908" spans="1:14" x14ac:dyDescent="0.25">
      <c r="A1908">
        <v>1907</v>
      </c>
      <c r="B1908" t="s">
        <v>43</v>
      </c>
      <c r="C1908">
        <v>2007</v>
      </c>
      <c r="D1908">
        <v>2.2999999999999998</v>
      </c>
      <c r="E1908" t="s">
        <v>15</v>
      </c>
      <c r="F1908">
        <v>8831</v>
      </c>
      <c r="G1908" t="s">
        <v>22</v>
      </c>
      <c r="H1908">
        <v>85726.54</v>
      </c>
      <c r="I1908" t="s">
        <v>55</v>
      </c>
      <c r="J1908" t="s">
        <v>18</v>
      </c>
      <c r="K1908" t="s">
        <v>50</v>
      </c>
      <c r="L1908">
        <v>19</v>
      </c>
      <c r="M1908">
        <v>9.7100000000000009</v>
      </c>
      <c r="N1908" t="s">
        <v>20</v>
      </c>
    </row>
    <row r="1909" spans="1:14" x14ac:dyDescent="0.25">
      <c r="A1909">
        <v>1908</v>
      </c>
      <c r="B1909" t="s">
        <v>29</v>
      </c>
      <c r="C1909">
        <v>2021</v>
      </c>
      <c r="D1909">
        <v>3.2</v>
      </c>
      <c r="E1909" t="s">
        <v>27</v>
      </c>
      <c r="F1909">
        <v>5004</v>
      </c>
      <c r="G1909" t="s">
        <v>16</v>
      </c>
      <c r="H1909">
        <v>34637.949999999997</v>
      </c>
      <c r="I1909" t="s">
        <v>38</v>
      </c>
      <c r="J1909" t="s">
        <v>41</v>
      </c>
      <c r="K1909" t="s">
        <v>50</v>
      </c>
      <c r="L1909">
        <v>5</v>
      </c>
      <c r="M1909">
        <v>6.92</v>
      </c>
      <c r="N1909" t="s">
        <v>33</v>
      </c>
    </row>
    <row r="1910" spans="1:14" x14ac:dyDescent="0.25">
      <c r="A1910">
        <v>1909</v>
      </c>
      <c r="B1910" t="s">
        <v>43</v>
      </c>
      <c r="C1910">
        <v>2021</v>
      </c>
      <c r="D1910">
        <v>1.6</v>
      </c>
      <c r="E1910" t="s">
        <v>15</v>
      </c>
      <c r="F1910">
        <v>37170</v>
      </c>
      <c r="G1910" t="s">
        <v>30</v>
      </c>
      <c r="H1910">
        <v>82659.210000000006</v>
      </c>
      <c r="I1910" t="s">
        <v>44</v>
      </c>
      <c r="J1910" t="s">
        <v>32</v>
      </c>
      <c r="K1910" t="s">
        <v>50</v>
      </c>
      <c r="L1910">
        <v>5</v>
      </c>
      <c r="M1910">
        <v>2.2200000000000002</v>
      </c>
      <c r="N1910" t="s">
        <v>20</v>
      </c>
    </row>
    <row r="1911" spans="1:14" x14ac:dyDescent="0.25">
      <c r="A1911">
        <v>1910</v>
      </c>
      <c r="B1911" t="s">
        <v>24</v>
      </c>
      <c r="C1911">
        <v>2000</v>
      </c>
      <c r="D1911">
        <v>2</v>
      </c>
      <c r="E1911" t="s">
        <v>15</v>
      </c>
      <c r="F1911">
        <v>43555</v>
      </c>
      <c r="G1911" t="s">
        <v>30</v>
      </c>
      <c r="H1911">
        <v>16615.919999999998</v>
      </c>
      <c r="I1911" t="s">
        <v>45</v>
      </c>
      <c r="J1911" t="s">
        <v>41</v>
      </c>
      <c r="K1911" t="s">
        <v>50</v>
      </c>
      <c r="L1911">
        <v>26</v>
      </c>
      <c r="M1911">
        <v>0.38</v>
      </c>
      <c r="N1911" t="s">
        <v>20</v>
      </c>
    </row>
    <row r="1912" spans="1:14" x14ac:dyDescent="0.25">
      <c r="A1912">
        <v>1911</v>
      </c>
      <c r="B1912" t="s">
        <v>36</v>
      </c>
      <c r="C1912">
        <v>2003</v>
      </c>
      <c r="D1912">
        <v>1</v>
      </c>
      <c r="E1912" t="s">
        <v>27</v>
      </c>
      <c r="F1912">
        <v>118115</v>
      </c>
      <c r="G1912" t="s">
        <v>30</v>
      </c>
      <c r="H1912">
        <v>22364.91</v>
      </c>
      <c r="I1912" t="s">
        <v>51</v>
      </c>
      <c r="J1912" t="s">
        <v>46</v>
      </c>
      <c r="K1912" t="s">
        <v>19</v>
      </c>
      <c r="L1912">
        <v>23</v>
      </c>
      <c r="M1912">
        <v>0.19</v>
      </c>
      <c r="N1912" t="s">
        <v>33</v>
      </c>
    </row>
    <row r="1913" spans="1:14" x14ac:dyDescent="0.25">
      <c r="A1913">
        <v>1912</v>
      </c>
      <c r="B1913" t="s">
        <v>52</v>
      </c>
      <c r="C1913">
        <v>2020</v>
      </c>
      <c r="D1913">
        <v>1.2</v>
      </c>
      <c r="E1913" t="s">
        <v>15</v>
      </c>
      <c r="F1913">
        <v>178475</v>
      </c>
      <c r="G1913" t="s">
        <v>30</v>
      </c>
      <c r="H1913">
        <v>95329.96</v>
      </c>
      <c r="I1913" t="s">
        <v>56</v>
      </c>
      <c r="J1913" t="s">
        <v>18</v>
      </c>
      <c r="K1913" t="s">
        <v>26</v>
      </c>
      <c r="L1913">
        <v>6</v>
      </c>
      <c r="M1913">
        <v>0.53</v>
      </c>
      <c r="N1913" t="s">
        <v>33</v>
      </c>
    </row>
    <row r="1914" spans="1:14" x14ac:dyDescent="0.25">
      <c r="A1914">
        <v>1913</v>
      </c>
      <c r="B1914" t="s">
        <v>14</v>
      </c>
      <c r="C1914">
        <v>2010</v>
      </c>
      <c r="D1914">
        <v>5.9</v>
      </c>
      <c r="E1914" t="s">
        <v>27</v>
      </c>
      <c r="F1914">
        <v>298509</v>
      </c>
      <c r="G1914" t="s">
        <v>30</v>
      </c>
      <c r="H1914">
        <v>85032.51</v>
      </c>
      <c r="I1914" t="s">
        <v>39</v>
      </c>
      <c r="J1914" t="s">
        <v>18</v>
      </c>
      <c r="K1914" t="s">
        <v>26</v>
      </c>
      <c r="L1914">
        <v>16</v>
      </c>
      <c r="M1914">
        <v>0.28000000000000003</v>
      </c>
      <c r="N1914" t="s">
        <v>20</v>
      </c>
    </row>
    <row r="1915" spans="1:14" x14ac:dyDescent="0.25">
      <c r="A1915">
        <v>1914</v>
      </c>
      <c r="B1915" t="s">
        <v>21</v>
      </c>
      <c r="C1915">
        <v>2002</v>
      </c>
      <c r="D1915">
        <v>2.2000000000000002</v>
      </c>
      <c r="E1915" t="s">
        <v>15</v>
      </c>
      <c r="F1915">
        <v>207132</v>
      </c>
      <c r="G1915" t="s">
        <v>22</v>
      </c>
      <c r="H1915">
        <v>41850.400000000001</v>
      </c>
      <c r="I1915" t="s">
        <v>23</v>
      </c>
      <c r="J1915" t="s">
        <v>41</v>
      </c>
      <c r="K1915" t="s">
        <v>26</v>
      </c>
      <c r="L1915">
        <v>24</v>
      </c>
      <c r="M1915">
        <v>0.2</v>
      </c>
      <c r="N1915" t="s">
        <v>20</v>
      </c>
    </row>
    <row r="1916" spans="1:14" x14ac:dyDescent="0.25">
      <c r="A1916">
        <v>1915</v>
      </c>
      <c r="B1916" t="s">
        <v>21</v>
      </c>
      <c r="C1916">
        <v>2012</v>
      </c>
      <c r="D1916">
        <v>4.3</v>
      </c>
      <c r="E1916" t="s">
        <v>15</v>
      </c>
      <c r="F1916">
        <v>63471</v>
      </c>
      <c r="G1916" t="s">
        <v>22</v>
      </c>
      <c r="H1916">
        <v>65653.36</v>
      </c>
      <c r="I1916" t="s">
        <v>60</v>
      </c>
      <c r="J1916" t="s">
        <v>41</v>
      </c>
      <c r="K1916" t="s">
        <v>19</v>
      </c>
      <c r="L1916">
        <v>14</v>
      </c>
      <c r="M1916">
        <v>1.03</v>
      </c>
      <c r="N1916" t="s">
        <v>20</v>
      </c>
    </row>
    <row r="1917" spans="1:14" x14ac:dyDescent="0.25">
      <c r="A1917">
        <v>1916</v>
      </c>
      <c r="B1917" t="s">
        <v>29</v>
      </c>
      <c r="C1917">
        <v>2016</v>
      </c>
      <c r="D1917">
        <v>5.2</v>
      </c>
      <c r="E1917" t="s">
        <v>27</v>
      </c>
      <c r="F1917">
        <v>57287</v>
      </c>
      <c r="G1917" t="s">
        <v>22</v>
      </c>
      <c r="H1917">
        <v>94582.17</v>
      </c>
      <c r="I1917" t="s">
        <v>62</v>
      </c>
      <c r="J1917" t="s">
        <v>41</v>
      </c>
      <c r="K1917" t="s">
        <v>19</v>
      </c>
      <c r="L1917">
        <v>10</v>
      </c>
      <c r="M1917">
        <v>1.65</v>
      </c>
      <c r="N1917" t="s">
        <v>33</v>
      </c>
    </row>
    <row r="1918" spans="1:14" x14ac:dyDescent="0.25">
      <c r="A1918">
        <v>1917</v>
      </c>
      <c r="B1918" t="s">
        <v>21</v>
      </c>
      <c r="C1918">
        <v>2021</v>
      </c>
      <c r="D1918">
        <v>3.8</v>
      </c>
      <c r="E1918" t="s">
        <v>15</v>
      </c>
      <c r="F1918">
        <v>116475</v>
      </c>
      <c r="G1918" t="s">
        <v>30</v>
      </c>
      <c r="H1918">
        <v>25126.6</v>
      </c>
      <c r="I1918" t="s">
        <v>42</v>
      </c>
      <c r="J1918" t="s">
        <v>46</v>
      </c>
      <c r="K1918" t="s">
        <v>19</v>
      </c>
      <c r="L1918">
        <v>5</v>
      </c>
      <c r="M1918">
        <v>0.22</v>
      </c>
      <c r="N1918" t="s">
        <v>20</v>
      </c>
    </row>
    <row r="1919" spans="1:14" x14ac:dyDescent="0.25">
      <c r="A1919">
        <v>1918</v>
      </c>
      <c r="B1919" t="s">
        <v>24</v>
      </c>
      <c r="C1919">
        <v>2021</v>
      </c>
      <c r="D1919">
        <v>1.8</v>
      </c>
      <c r="E1919" t="s">
        <v>15</v>
      </c>
      <c r="F1919">
        <v>50151</v>
      </c>
      <c r="G1919" t="s">
        <v>30</v>
      </c>
      <c r="H1919">
        <v>10605.99</v>
      </c>
      <c r="I1919" t="s">
        <v>25</v>
      </c>
      <c r="J1919" t="s">
        <v>46</v>
      </c>
      <c r="K1919" t="s">
        <v>19</v>
      </c>
      <c r="L1919">
        <v>5</v>
      </c>
      <c r="M1919">
        <v>0.21</v>
      </c>
      <c r="N1919" t="s">
        <v>20</v>
      </c>
    </row>
    <row r="1920" spans="1:14" x14ac:dyDescent="0.25">
      <c r="A1920">
        <v>1919</v>
      </c>
      <c r="B1920" t="s">
        <v>14</v>
      </c>
      <c r="C1920">
        <v>2009</v>
      </c>
      <c r="D1920">
        <v>4.5999999999999996</v>
      </c>
      <c r="E1920" t="s">
        <v>15</v>
      </c>
      <c r="F1920">
        <v>67384</v>
      </c>
      <c r="G1920" t="s">
        <v>16</v>
      </c>
      <c r="H1920">
        <v>56059.47</v>
      </c>
      <c r="I1920" t="s">
        <v>17</v>
      </c>
      <c r="J1920" t="s">
        <v>18</v>
      </c>
      <c r="K1920" t="s">
        <v>19</v>
      </c>
      <c r="L1920">
        <v>17</v>
      </c>
      <c r="M1920">
        <v>0.83</v>
      </c>
      <c r="N1920" t="s">
        <v>20</v>
      </c>
    </row>
    <row r="1921" spans="1:14" x14ac:dyDescent="0.25">
      <c r="A1921">
        <v>1920</v>
      </c>
      <c r="B1921" t="s">
        <v>43</v>
      </c>
      <c r="C1921">
        <v>2020</v>
      </c>
      <c r="D1921">
        <v>4</v>
      </c>
      <c r="E1921" t="s">
        <v>27</v>
      </c>
      <c r="F1921">
        <v>33541</v>
      </c>
      <c r="G1921" t="s">
        <v>22</v>
      </c>
      <c r="H1921">
        <v>18546.7</v>
      </c>
      <c r="I1921" t="s">
        <v>49</v>
      </c>
      <c r="J1921" t="s">
        <v>18</v>
      </c>
      <c r="K1921" t="s">
        <v>50</v>
      </c>
      <c r="L1921">
        <v>6</v>
      </c>
      <c r="M1921">
        <v>0.55000000000000004</v>
      </c>
      <c r="N1921" t="s">
        <v>20</v>
      </c>
    </row>
    <row r="1922" spans="1:14" x14ac:dyDescent="0.25">
      <c r="A1922">
        <v>1921</v>
      </c>
      <c r="B1922" t="s">
        <v>24</v>
      </c>
      <c r="C1922">
        <v>2011</v>
      </c>
      <c r="D1922">
        <v>4.7</v>
      </c>
      <c r="E1922" t="s">
        <v>15</v>
      </c>
      <c r="F1922">
        <v>72847</v>
      </c>
      <c r="G1922" t="s">
        <v>30</v>
      </c>
      <c r="H1922">
        <v>22795.31</v>
      </c>
      <c r="I1922" t="s">
        <v>45</v>
      </c>
      <c r="J1922" t="s">
        <v>32</v>
      </c>
      <c r="K1922" t="s">
        <v>19</v>
      </c>
      <c r="L1922">
        <v>15</v>
      </c>
      <c r="M1922">
        <v>0.31</v>
      </c>
      <c r="N1922" t="s">
        <v>20</v>
      </c>
    </row>
    <row r="1923" spans="1:14" x14ac:dyDescent="0.25">
      <c r="A1923">
        <v>1922</v>
      </c>
      <c r="B1923" t="s">
        <v>29</v>
      </c>
      <c r="C1923">
        <v>2014</v>
      </c>
      <c r="D1923">
        <v>4.8</v>
      </c>
      <c r="E1923" t="s">
        <v>15</v>
      </c>
      <c r="F1923">
        <v>218171</v>
      </c>
      <c r="G1923" t="s">
        <v>30</v>
      </c>
      <c r="H1923">
        <v>89696.22</v>
      </c>
      <c r="I1923" t="s">
        <v>62</v>
      </c>
      <c r="J1923" t="s">
        <v>46</v>
      </c>
      <c r="K1923" t="s">
        <v>26</v>
      </c>
      <c r="L1923">
        <v>12</v>
      </c>
      <c r="M1923">
        <v>0.41</v>
      </c>
      <c r="N1923" t="s">
        <v>33</v>
      </c>
    </row>
    <row r="1924" spans="1:14" x14ac:dyDescent="0.25">
      <c r="A1924">
        <v>1923</v>
      </c>
      <c r="B1924" t="s">
        <v>24</v>
      </c>
      <c r="C1924">
        <v>2020</v>
      </c>
      <c r="D1924">
        <v>5.9</v>
      </c>
      <c r="E1924" t="s">
        <v>15</v>
      </c>
      <c r="F1924">
        <v>211811</v>
      </c>
      <c r="G1924" t="s">
        <v>30</v>
      </c>
      <c r="H1924">
        <v>5703.33</v>
      </c>
      <c r="I1924" t="s">
        <v>35</v>
      </c>
      <c r="J1924" t="s">
        <v>41</v>
      </c>
      <c r="K1924" t="s">
        <v>26</v>
      </c>
      <c r="L1924">
        <v>6</v>
      </c>
      <c r="M1924">
        <v>0.03</v>
      </c>
      <c r="N1924" t="s">
        <v>20</v>
      </c>
    </row>
    <row r="1925" spans="1:14" x14ac:dyDescent="0.25">
      <c r="A1925">
        <v>1924</v>
      </c>
      <c r="B1925" t="s">
        <v>43</v>
      </c>
      <c r="C1925">
        <v>2009</v>
      </c>
      <c r="D1925">
        <v>3.9</v>
      </c>
      <c r="E1925" t="s">
        <v>27</v>
      </c>
      <c r="F1925">
        <v>213739</v>
      </c>
      <c r="G1925" t="s">
        <v>16</v>
      </c>
      <c r="H1925">
        <v>82597.899999999994</v>
      </c>
      <c r="I1925" t="s">
        <v>48</v>
      </c>
      <c r="J1925" t="s">
        <v>41</v>
      </c>
      <c r="K1925" t="s">
        <v>26</v>
      </c>
      <c r="L1925">
        <v>17</v>
      </c>
      <c r="M1925">
        <v>0.39</v>
      </c>
      <c r="N1925" t="s">
        <v>20</v>
      </c>
    </row>
    <row r="1926" spans="1:14" x14ac:dyDescent="0.25">
      <c r="A1926">
        <v>1925</v>
      </c>
      <c r="B1926" t="s">
        <v>36</v>
      </c>
      <c r="C1926">
        <v>2013</v>
      </c>
      <c r="D1926">
        <v>2.7</v>
      </c>
      <c r="E1926" t="s">
        <v>27</v>
      </c>
      <c r="F1926">
        <v>167813</v>
      </c>
      <c r="G1926" t="s">
        <v>30</v>
      </c>
      <c r="H1926">
        <v>54110.32</v>
      </c>
      <c r="I1926" t="s">
        <v>57</v>
      </c>
      <c r="J1926" t="s">
        <v>32</v>
      </c>
      <c r="K1926" t="s">
        <v>26</v>
      </c>
      <c r="L1926">
        <v>13</v>
      </c>
      <c r="M1926">
        <v>0.32</v>
      </c>
      <c r="N1926" t="s">
        <v>33</v>
      </c>
    </row>
    <row r="1927" spans="1:14" x14ac:dyDescent="0.25">
      <c r="A1927">
        <v>1926</v>
      </c>
      <c r="B1927" t="s">
        <v>29</v>
      </c>
      <c r="C1927">
        <v>2012</v>
      </c>
      <c r="D1927">
        <v>4.2</v>
      </c>
      <c r="E1927" t="s">
        <v>27</v>
      </c>
      <c r="F1927">
        <v>99919</v>
      </c>
      <c r="G1927" t="s">
        <v>16</v>
      </c>
      <c r="H1927">
        <v>58132.97</v>
      </c>
      <c r="I1927" t="s">
        <v>40</v>
      </c>
      <c r="J1927" t="s">
        <v>41</v>
      </c>
      <c r="K1927" t="s">
        <v>19</v>
      </c>
      <c r="L1927">
        <v>14</v>
      </c>
      <c r="M1927">
        <v>0.57999999999999996</v>
      </c>
      <c r="N1927" t="s">
        <v>33</v>
      </c>
    </row>
    <row r="1928" spans="1:14" x14ac:dyDescent="0.25">
      <c r="A1928">
        <v>1927</v>
      </c>
      <c r="B1928" t="s">
        <v>36</v>
      </c>
      <c r="C1928">
        <v>2004</v>
      </c>
      <c r="D1928">
        <v>1.3</v>
      </c>
      <c r="E1928" t="s">
        <v>27</v>
      </c>
      <c r="F1928">
        <v>216746</v>
      </c>
      <c r="G1928" t="s">
        <v>16</v>
      </c>
      <c r="H1928">
        <v>68817.960000000006</v>
      </c>
      <c r="I1928" t="s">
        <v>51</v>
      </c>
      <c r="J1928" t="s">
        <v>32</v>
      </c>
      <c r="K1928" t="s">
        <v>26</v>
      </c>
      <c r="L1928">
        <v>22</v>
      </c>
      <c r="M1928">
        <v>0.32</v>
      </c>
      <c r="N1928" t="s">
        <v>33</v>
      </c>
    </row>
    <row r="1929" spans="1:14" x14ac:dyDescent="0.25">
      <c r="A1929">
        <v>1928</v>
      </c>
      <c r="B1929" t="s">
        <v>52</v>
      </c>
      <c r="C1929">
        <v>2005</v>
      </c>
      <c r="D1929">
        <v>5.5</v>
      </c>
      <c r="E1929" t="s">
        <v>27</v>
      </c>
      <c r="F1929">
        <v>194020</v>
      </c>
      <c r="G1929" t="s">
        <v>22</v>
      </c>
      <c r="H1929">
        <v>45987.27</v>
      </c>
      <c r="I1929" t="s">
        <v>56</v>
      </c>
      <c r="J1929" t="s">
        <v>18</v>
      </c>
      <c r="K1929" t="s">
        <v>26</v>
      </c>
      <c r="L1929">
        <v>21</v>
      </c>
      <c r="M1929">
        <v>0.24</v>
      </c>
      <c r="N1929" t="s">
        <v>33</v>
      </c>
    </row>
    <row r="1930" spans="1:14" x14ac:dyDescent="0.25">
      <c r="A1930">
        <v>1929</v>
      </c>
      <c r="B1930" t="s">
        <v>36</v>
      </c>
      <c r="C1930">
        <v>2023</v>
      </c>
      <c r="D1930">
        <v>1.6</v>
      </c>
      <c r="E1930" t="s">
        <v>15</v>
      </c>
      <c r="F1930">
        <v>61768</v>
      </c>
      <c r="G1930" t="s">
        <v>30</v>
      </c>
      <c r="H1930">
        <v>15983.13</v>
      </c>
      <c r="I1930" t="s">
        <v>57</v>
      </c>
      <c r="J1930" t="s">
        <v>46</v>
      </c>
      <c r="K1930" t="s">
        <v>19</v>
      </c>
      <c r="L1930">
        <v>3</v>
      </c>
      <c r="M1930">
        <v>0.26</v>
      </c>
      <c r="N1930" t="s">
        <v>33</v>
      </c>
    </row>
    <row r="1931" spans="1:14" x14ac:dyDescent="0.25">
      <c r="A1931">
        <v>1930</v>
      </c>
      <c r="B1931" t="s">
        <v>52</v>
      </c>
      <c r="C1931">
        <v>2001</v>
      </c>
      <c r="D1931">
        <v>2.6</v>
      </c>
      <c r="E1931" t="s">
        <v>27</v>
      </c>
      <c r="F1931">
        <v>43262</v>
      </c>
      <c r="G1931" t="s">
        <v>16</v>
      </c>
      <c r="H1931">
        <v>14767.92</v>
      </c>
      <c r="I1931" t="s">
        <v>61</v>
      </c>
      <c r="J1931" t="s">
        <v>32</v>
      </c>
      <c r="K1931" t="s">
        <v>50</v>
      </c>
      <c r="L1931">
        <v>25</v>
      </c>
      <c r="M1931">
        <v>0.34</v>
      </c>
      <c r="N1931" t="s">
        <v>33</v>
      </c>
    </row>
    <row r="1932" spans="1:14" x14ac:dyDescent="0.25">
      <c r="A1932">
        <v>1931</v>
      </c>
      <c r="B1932" t="s">
        <v>52</v>
      </c>
      <c r="C1932">
        <v>2021</v>
      </c>
      <c r="D1932">
        <v>5.0999999999999996</v>
      </c>
      <c r="E1932" t="s">
        <v>27</v>
      </c>
      <c r="F1932">
        <v>20605</v>
      </c>
      <c r="G1932" t="s">
        <v>30</v>
      </c>
      <c r="H1932">
        <v>76664.41</v>
      </c>
      <c r="I1932" t="s">
        <v>56</v>
      </c>
      <c r="J1932" t="s">
        <v>41</v>
      </c>
      <c r="K1932" t="s">
        <v>50</v>
      </c>
      <c r="L1932">
        <v>5</v>
      </c>
      <c r="M1932">
        <v>3.72</v>
      </c>
      <c r="N1932" t="s">
        <v>33</v>
      </c>
    </row>
    <row r="1933" spans="1:14" x14ac:dyDescent="0.25">
      <c r="A1933">
        <v>1932</v>
      </c>
      <c r="B1933" t="s">
        <v>36</v>
      </c>
      <c r="C1933">
        <v>2016</v>
      </c>
      <c r="D1933">
        <v>4</v>
      </c>
      <c r="E1933" t="s">
        <v>15</v>
      </c>
      <c r="F1933">
        <v>78590</v>
      </c>
      <c r="G1933" t="s">
        <v>22</v>
      </c>
      <c r="H1933">
        <v>25998.34</v>
      </c>
      <c r="I1933" t="s">
        <v>51</v>
      </c>
      <c r="J1933" t="s">
        <v>32</v>
      </c>
      <c r="K1933" t="s">
        <v>19</v>
      </c>
      <c r="L1933">
        <v>10</v>
      </c>
      <c r="M1933">
        <v>0.33</v>
      </c>
      <c r="N1933" t="s">
        <v>33</v>
      </c>
    </row>
    <row r="1934" spans="1:14" x14ac:dyDescent="0.25">
      <c r="A1934">
        <v>1933</v>
      </c>
      <c r="B1934" t="s">
        <v>29</v>
      </c>
      <c r="C1934">
        <v>2003</v>
      </c>
      <c r="D1934">
        <v>3</v>
      </c>
      <c r="E1934" t="s">
        <v>27</v>
      </c>
      <c r="F1934">
        <v>290375</v>
      </c>
      <c r="G1934" t="s">
        <v>22</v>
      </c>
      <c r="H1934">
        <v>7669.66</v>
      </c>
      <c r="I1934" t="s">
        <v>40</v>
      </c>
      <c r="J1934" t="s">
        <v>18</v>
      </c>
      <c r="K1934" t="s">
        <v>26</v>
      </c>
      <c r="L1934">
        <v>23</v>
      </c>
      <c r="M1934">
        <v>0.03</v>
      </c>
      <c r="N1934" t="s">
        <v>33</v>
      </c>
    </row>
    <row r="1935" spans="1:14" x14ac:dyDescent="0.25">
      <c r="A1935">
        <v>1934</v>
      </c>
      <c r="B1935" t="s">
        <v>43</v>
      </c>
      <c r="C1935">
        <v>2013</v>
      </c>
      <c r="D1935">
        <v>3.4</v>
      </c>
      <c r="E1935" t="s">
        <v>15</v>
      </c>
      <c r="F1935">
        <v>79397</v>
      </c>
      <c r="G1935" t="s">
        <v>16</v>
      </c>
      <c r="H1935">
        <v>98063.32</v>
      </c>
      <c r="I1935" t="s">
        <v>55</v>
      </c>
      <c r="J1935" t="s">
        <v>41</v>
      </c>
      <c r="K1935" t="s">
        <v>19</v>
      </c>
      <c r="L1935">
        <v>13</v>
      </c>
      <c r="M1935">
        <v>1.24</v>
      </c>
      <c r="N1935" t="s">
        <v>20</v>
      </c>
    </row>
    <row r="1936" spans="1:14" x14ac:dyDescent="0.25">
      <c r="A1936">
        <v>1935</v>
      </c>
      <c r="B1936" t="s">
        <v>24</v>
      </c>
      <c r="C1936">
        <v>2009</v>
      </c>
      <c r="D1936">
        <v>5.3</v>
      </c>
      <c r="E1936" t="s">
        <v>27</v>
      </c>
      <c r="F1936">
        <v>77123</v>
      </c>
      <c r="G1936" t="s">
        <v>22</v>
      </c>
      <c r="H1936">
        <v>98137.19</v>
      </c>
      <c r="I1936" t="s">
        <v>34</v>
      </c>
      <c r="J1936" t="s">
        <v>18</v>
      </c>
      <c r="K1936" t="s">
        <v>19</v>
      </c>
      <c r="L1936">
        <v>17</v>
      </c>
      <c r="M1936">
        <v>1.27</v>
      </c>
      <c r="N1936" t="s">
        <v>20</v>
      </c>
    </row>
    <row r="1937" spans="1:14" x14ac:dyDescent="0.25">
      <c r="A1937">
        <v>1936</v>
      </c>
      <c r="B1937" t="s">
        <v>24</v>
      </c>
      <c r="C1937">
        <v>2002</v>
      </c>
      <c r="D1937">
        <v>2.7</v>
      </c>
      <c r="E1937" t="s">
        <v>15</v>
      </c>
      <c r="F1937">
        <v>275659</v>
      </c>
      <c r="G1937" t="s">
        <v>22</v>
      </c>
      <c r="H1937">
        <v>40923.43</v>
      </c>
      <c r="I1937" t="s">
        <v>45</v>
      </c>
      <c r="J1937" t="s">
        <v>18</v>
      </c>
      <c r="K1937" t="s">
        <v>26</v>
      </c>
      <c r="L1937">
        <v>24</v>
      </c>
      <c r="M1937">
        <v>0.15</v>
      </c>
      <c r="N1937" t="s">
        <v>20</v>
      </c>
    </row>
    <row r="1938" spans="1:14" x14ac:dyDescent="0.25">
      <c r="A1938">
        <v>1937</v>
      </c>
      <c r="B1938" t="s">
        <v>43</v>
      </c>
      <c r="C1938">
        <v>2002</v>
      </c>
      <c r="D1938">
        <v>5.3</v>
      </c>
      <c r="E1938" t="s">
        <v>15</v>
      </c>
      <c r="F1938">
        <v>278744</v>
      </c>
      <c r="G1938" t="s">
        <v>22</v>
      </c>
      <c r="H1938">
        <v>7424.77</v>
      </c>
      <c r="I1938" t="s">
        <v>48</v>
      </c>
      <c r="J1938" t="s">
        <v>32</v>
      </c>
      <c r="K1938" t="s">
        <v>26</v>
      </c>
      <c r="L1938">
        <v>24</v>
      </c>
      <c r="M1938">
        <v>0.03</v>
      </c>
      <c r="N1938" t="s">
        <v>20</v>
      </c>
    </row>
    <row r="1939" spans="1:14" x14ac:dyDescent="0.25">
      <c r="A1939">
        <v>1938</v>
      </c>
      <c r="B1939" t="s">
        <v>14</v>
      </c>
      <c r="C1939">
        <v>2014</v>
      </c>
      <c r="D1939">
        <v>1.4</v>
      </c>
      <c r="E1939" t="s">
        <v>27</v>
      </c>
      <c r="F1939">
        <v>158964</v>
      </c>
      <c r="G1939" t="s">
        <v>30</v>
      </c>
      <c r="H1939">
        <v>74090.14</v>
      </c>
      <c r="I1939" t="s">
        <v>58</v>
      </c>
      <c r="J1939" t="s">
        <v>18</v>
      </c>
      <c r="K1939" t="s">
        <v>26</v>
      </c>
      <c r="L1939">
        <v>12</v>
      </c>
      <c r="M1939">
        <v>0.47</v>
      </c>
      <c r="N1939" t="s">
        <v>20</v>
      </c>
    </row>
    <row r="1940" spans="1:14" x14ac:dyDescent="0.25">
      <c r="A1940">
        <v>1939</v>
      </c>
      <c r="B1940" t="s">
        <v>14</v>
      </c>
      <c r="C1940">
        <v>2005</v>
      </c>
      <c r="D1940">
        <v>4.9000000000000004</v>
      </c>
      <c r="E1940" t="s">
        <v>27</v>
      </c>
      <c r="F1940">
        <v>168767</v>
      </c>
      <c r="G1940" t="s">
        <v>30</v>
      </c>
      <c r="H1940">
        <v>83946.15</v>
      </c>
      <c r="I1940" t="s">
        <v>17</v>
      </c>
      <c r="J1940" t="s">
        <v>18</v>
      </c>
      <c r="K1940" t="s">
        <v>26</v>
      </c>
      <c r="L1940">
        <v>21</v>
      </c>
      <c r="M1940">
        <v>0.5</v>
      </c>
      <c r="N1940" t="s">
        <v>20</v>
      </c>
    </row>
    <row r="1941" spans="1:14" x14ac:dyDescent="0.25">
      <c r="A1941">
        <v>1940</v>
      </c>
      <c r="B1941" t="s">
        <v>52</v>
      </c>
      <c r="C1941">
        <v>2016</v>
      </c>
      <c r="D1941">
        <v>5.2</v>
      </c>
      <c r="E1941" t="s">
        <v>15</v>
      </c>
      <c r="F1941">
        <v>135501</v>
      </c>
      <c r="G1941" t="s">
        <v>16</v>
      </c>
      <c r="H1941">
        <v>16876.3</v>
      </c>
      <c r="I1941" t="s">
        <v>53</v>
      </c>
      <c r="J1941" t="s">
        <v>18</v>
      </c>
      <c r="K1941" t="s">
        <v>19</v>
      </c>
      <c r="L1941">
        <v>10</v>
      </c>
      <c r="M1941">
        <v>0.12</v>
      </c>
      <c r="N1941" t="s">
        <v>33</v>
      </c>
    </row>
    <row r="1942" spans="1:14" x14ac:dyDescent="0.25">
      <c r="A1942">
        <v>1941</v>
      </c>
      <c r="B1942" t="s">
        <v>52</v>
      </c>
      <c r="C1942">
        <v>2011</v>
      </c>
      <c r="D1942">
        <v>1.9</v>
      </c>
      <c r="E1942" t="s">
        <v>15</v>
      </c>
      <c r="F1942">
        <v>135678</v>
      </c>
      <c r="G1942" t="s">
        <v>16</v>
      </c>
      <c r="H1942">
        <v>17868.57</v>
      </c>
      <c r="I1942" t="s">
        <v>56</v>
      </c>
      <c r="J1942" t="s">
        <v>18</v>
      </c>
      <c r="K1942" t="s">
        <v>19</v>
      </c>
      <c r="L1942">
        <v>15</v>
      </c>
      <c r="M1942">
        <v>0.13</v>
      </c>
      <c r="N1942" t="s">
        <v>33</v>
      </c>
    </row>
    <row r="1943" spans="1:14" x14ac:dyDescent="0.25">
      <c r="A1943">
        <v>1942</v>
      </c>
      <c r="B1943" t="s">
        <v>29</v>
      </c>
      <c r="C1943">
        <v>2021</v>
      </c>
      <c r="D1943">
        <v>3.2</v>
      </c>
      <c r="E1943" t="s">
        <v>15</v>
      </c>
      <c r="F1943">
        <v>114380</v>
      </c>
      <c r="G1943" t="s">
        <v>22</v>
      </c>
      <c r="H1943">
        <v>83111.28</v>
      </c>
      <c r="I1943" t="s">
        <v>31</v>
      </c>
      <c r="J1943" t="s">
        <v>32</v>
      </c>
      <c r="K1943" t="s">
        <v>19</v>
      </c>
      <c r="L1943">
        <v>5</v>
      </c>
      <c r="M1943">
        <v>0.73</v>
      </c>
      <c r="N1943" t="s">
        <v>33</v>
      </c>
    </row>
    <row r="1944" spans="1:14" x14ac:dyDescent="0.25">
      <c r="A1944">
        <v>1943</v>
      </c>
      <c r="B1944" t="s">
        <v>21</v>
      </c>
      <c r="C1944">
        <v>2019</v>
      </c>
      <c r="D1944">
        <v>1.8</v>
      </c>
      <c r="E1944" t="s">
        <v>15</v>
      </c>
      <c r="F1944">
        <v>171206</v>
      </c>
      <c r="G1944" t="s">
        <v>22</v>
      </c>
      <c r="H1944">
        <v>92581.2</v>
      </c>
      <c r="I1944" t="s">
        <v>23</v>
      </c>
      <c r="J1944" t="s">
        <v>18</v>
      </c>
      <c r="K1944" t="s">
        <v>26</v>
      </c>
      <c r="L1944">
        <v>7</v>
      </c>
      <c r="M1944">
        <v>0.54</v>
      </c>
      <c r="N1944" t="s">
        <v>20</v>
      </c>
    </row>
    <row r="1945" spans="1:14" x14ac:dyDescent="0.25">
      <c r="A1945">
        <v>1944</v>
      </c>
      <c r="B1945" t="s">
        <v>36</v>
      </c>
      <c r="C1945">
        <v>2023</v>
      </c>
      <c r="D1945">
        <v>4.5</v>
      </c>
      <c r="E1945" t="s">
        <v>15</v>
      </c>
      <c r="F1945">
        <v>156547</v>
      </c>
      <c r="G1945" t="s">
        <v>16</v>
      </c>
      <c r="H1945">
        <v>80121.710000000006</v>
      </c>
      <c r="I1945" t="s">
        <v>57</v>
      </c>
      <c r="J1945" t="s">
        <v>46</v>
      </c>
      <c r="K1945" t="s">
        <v>26</v>
      </c>
      <c r="L1945">
        <v>3</v>
      </c>
      <c r="M1945">
        <v>0.51</v>
      </c>
      <c r="N1945" t="s">
        <v>33</v>
      </c>
    </row>
    <row r="1946" spans="1:14" x14ac:dyDescent="0.25">
      <c r="A1946">
        <v>1945</v>
      </c>
      <c r="B1946" t="s">
        <v>52</v>
      </c>
      <c r="C1946">
        <v>2010</v>
      </c>
      <c r="D1946">
        <v>3.7</v>
      </c>
      <c r="E1946" t="s">
        <v>15</v>
      </c>
      <c r="F1946">
        <v>152802</v>
      </c>
      <c r="G1946" t="s">
        <v>22</v>
      </c>
      <c r="H1946">
        <v>24070.77</v>
      </c>
      <c r="I1946" t="s">
        <v>59</v>
      </c>
      <c r="J1946" t="s">
        <v>32</v>
      </c>
      <c r="K1946" t="s">
        <v>26</v>
      </c>
      <c r="L1946">
        <v>16</v>
      </c>
      <c r="M1946">
        <v>0.16</v>
      </c>
      <c r="N1946" t="s">
        <v>33</v>
      </c>
    </row>
    <row r="1947" spans="1:14" x14ac:dyDescent="0.25">
      <c r="A1947">
        <v>1946</v>
      </c>
      <c r="B1947" t="s">
        <v>24</v>
      </c>
      <c r="C1947">
        <v>2003</v>
      </c>
      <c r="D1947">
        <v>4.2</v>
      </c>
      <c r="E1947" t="s">
        <v>15</v>
      </c>
      <c r="F1947">
        <v>152185</v>
      </c>
      <c r="G1947" t="s">
        <v>16</v>
      </c>
      <c r="H1947">
        <v>44094.52</v>
      </c>
      <c r="I1947" t="s">
        <v>45</v>
      </c>
      <c r="J1947" t="s">
        <v>32</v>
      </c>
      <c r="K1947" t="s">
        <v>26</v>
      </c>
      <c r="L1947">
        <v>23</v>
      </c>
      <c r="M1947">
        <v>0.28999999999999998</v>
      </c>
      <c r="N1947" t="s">
        <v>20</v>
      </c>
    </row>
    <row r="1948" spans="1:14" x14ac:dyDescent="0.25">
      <c r="A1948">
        <v>1947</v>
      </c>
      <c r="B1948" t="s">
        <v>29</v>
      </c>
      <c r="C1948">
        <v>2005</v>
      </c>
      <c r="D1948">
        <v>2</v>
      </c>
      <c r="E1948" t="s">
        <v>27</v>
      </c>
      <c r="F1948">
        <v>151083</v>
      </c>
      <c r="G1948" t="s">
        <v>30</v>
      </c>
      <c r="H1948">
        <v>62080.03</v>
      </c>
      <c r="I1948" t="s">
        <v>40</v>
      </c>
      <c r="J1948" t="s">
        <v>41</v>
      </c>
      <c r="K1948" t="s">
        <v>26</v>
      </c>
      <c r="L1948">
        <v>21</v>
      </c>
      <c r="M1948">
        <v>0.41</v>
      </c>
      <c r="N1948" t="s">
        <v>33</v>
      </c>
    </row>
    <row r="1949" spans="1:14" x14ac:dyDescent="0.25">
      <c r="A1949">
        <v>1948</v>
      </c>
      <c r="B1949" t="s">
        <v>36</v>
      </c>
      <c r="C1949">
        <v>2000</v>
      </c>
      <c r="D1949">
        <v>2.1</v>
      </c>
      <c r="E1949" t="s">
        <v>15</v>
      </c>
      <c r="F1949">
        <v>55746</v>
      </c>
      <c r="G1949" t="s">
        <v>22</v>
      </c>
      <c r="H1949">
        <v>20227.88</v>
      </c>
      <c r="I1949" t="s">
        <v>57</v>
      </c>
      <c r="J1949" t="s">
        <v>41</v>
      </c>
      <c r="K1949" t="s">
        <v>19</v>
      </c>
      <c r="L1949">
        <v>26</v>
      </c>
      <c r="M1949">
        <v>0.36</v>
      </c>
      <c r="N1949" t="s">
        <v>33</v>
      </c>
    </row>
    <row r="1950" spans="1:14" x14ac:dyDescent="0.25">
      <c r="A1950">
        <v>1949</v>
      </c>
      <c r="B1950" t="s">
        <v>29</v>
      </c>
      <c r="C1950">
        <v>2019</v>
      </c>
      <c r="D1950">
        <v>1.2</v>
      </c>
      <c r="E1950" t="s">
        <v>27</v>
      </c>
      <c r="F1950">
        <v>173925</v>
      </c>
      <c r="G1950" t="s">
        <v>22</v>
      </c>
      <c r="H1950">
        <v>25007.24</v>
      </c>
      <c r="I1950" t="s">
        <v>38</v>
      </c>
      <c r="J1950" t="s">
        <v>41</v>
      </c>
      <c r="K1950" t="s">
        <v>26</v>
      </c>
      <c r="L1950">
        <v>7</v>
      </c>
      <c r="M1950">
        <v>0.14000000000000001</v>
      </c>
      <c r="N1950" t="s">
        <v>33</v>
      </c>
    </row>
    <row r="1951" spans="1:14" x14ac:dyDescent="0.25">
      <c r="A1951">
        <v>1950</v>
      </c>
      <c r="B1951" t="s">
        <v>36</v>
      </c>
      <c r="C1951">
        <v>2022</v>
      </c>
      <c r="D1951">
        <v>2.6</v>
      </c>
      <c r="E1951" t="s">
        <v>27</v>
      </c>
      <c r="F1951">
        <v>298962</v>
      </c>
      <c r="G1951" t="s">
        <v>22</v>
      </c>
      <c r="H1951">
        <v>31874.18</v>
      </c>
      <c r="I1951" t="s">
        <v>37</v>
      </c>
      <c r="J1951" t="s">
        <v>41</v>
      </c>
      <c r="K1951" t="s">
        <v>26</v>
      </c>
      <c r="L1951">
        <v>4</v>
      </c>
      <c r="M1951">
        <v>0.11</v>
      </c>
      <c r="N1951" t="s">
        <v>33</v>
      </c>
    </row>
    <row r="1952" spans="1:14" x14ac:dyDescent="0.25">
      <c r="A1952">
        <v>1951</v>
      </c>
      <c r="B1952" t="s">
        <v>36</v>
      </c>
      <c r="C1952">
        <v>2015</v>
      </c>
      <c r="D1952">
        <v>3.8</v>
      </c>
      <c r="E1952" t="s">
        <v>15</v>
      </c>
      <c r="F1952">
        <v>168393</v>
      </c>
      <c r="G1952" t="s">
        <v>30</v>
      </c>
      <c r="H1952">
        <v>53403.76</v>
      </c>
      <c r="I1952" t="s">
        <v>51</v>
      </c>
      <c r="J1952" t="s">
        <v>46</v>
      </c>
      <c r="K1952" t="s">
        <v>26</v>
      </c>
      <c r="L1952">
        <v>11</v>
      </c>
      <c r="M1952">
        <v>0.32</v>
      </c>
      <c r="N1952" t="s">
        <v>33</v>
      </c>
    </row>
    <row r="1953" spans="1:14" x14ac:dyDescent="0.25">
      <c r="A1953">
        <v>1952</v>
      </c>
      <c r="B1953" t="s">
        <v>43</v>
      </c>
      <c r="C1953">
        <v>2014</v>
      </c>
      <c r="D1953">
        <v>5.3</v>
      </c>
      <c r="E1953" t="s">
        <v>15</v>
      </c>
      <c r="F1953">
        <v>283453</v>
      </c>
      <c r="G1953" t="s">
        <v>30</v>
      </c>
      <c r="H1953">
        <v>53526.46</v>
      </c>
      <c r="I1953" t="s">
        <v>44</v>
      </c>
      <c r="J1953" t="s">
        <v>32</v>
      </c>
      <c r="K1953" t="s">
        <v>26</v>
      </c>
      <c r="L1953">
        <v>12</v>
      </c>
      <c r="M1953">
        <v>0.19</v>
      </c>
      <c r="N1953" t="s">
        <v>20</v>
      </c>
    </row>
    <row r="1954" spans="1:14" x14ac:dyDescent="0.25">
      <c r="A1954">
        <v>1953</v>
      </c>
      <c r="B1954" t="s">
        <v>52</v>
      </c>
      <c r="C1954">
        <v>2016</v>
      </c>
      <c r="D1954">
        <v>4.3</v>
      </c>
      <c r="E1954" t="s">
        <v>27</v>
      </c>
      <c r="F1954">
        <v>290320</v>
      </c>
      <c r="G1954" t="s">
        <v>22</v>
      </c>
      <c r="H1954">
        <v>82357.98</v>
      </c>
      <c r="I1954" t="s">
        <v>53</v>
      </c>
      <c r="J1954" t="s">
        <v>18</v>
      </c>
      <c r="K1954" t="s">
        <v>26</v>
      </c>
      <c r="L1954">
        <v>10</v>
      </c>
      <c r="M1954">
        <v>0.28000000000000003</v>
      </c>
      <c r="N1954" t="s">
        <v>33</v>
      </c>
    </row>
    <row r="1955" spans="1:14" x14ac:dyDescent="0.25">
      <c r="A1955">
        <v>1954</v>
      </c>
      <c r="B1955" t="s">
        <v>29</v>
      </c>
      <c r="C1955">
        <v>2007</v>
      </c>
      <c r="D1955">
        <v>3.2</v>
      </c>
      <c r="E1955" t="s">
        <v>15</v>
      </c>
      <c r="F1955">
        <v>68879</v>
      </c>
      <c r="G1955" t="s">
        <v>16</v>
      </c>
      <c r="H1955">
        <v>76535.97</v>
      </c>
      <c r="I1955" t="s">
        <v>31</v>
      </c>
      <c r="J1955" t="s">
        <v>41</v>
      </c>
      <c r="K1955" t="s">
        <v>19</v>
      </c>
      <c r="L1955">
        <v>19</v>
      </c>
      <c r="M1955">
        <v>1.1100000000000001</v>
      </c>
      <c r="N1955" t="s">
        <v>33</v>
      </c>
    </row>
    <row r="1956" spans="1:14" x14ac:dyDescent="0.25">
      <c r="A1956">
        <v>1955</v>
      </c>
      <c r="B1956" t="s">
        <v>29</v>
      </c>
      <c r="C1956">
        <v>2011</v>
      </c>
      <c r="D1956">
        <v>5.8</v>
      </c>
      <c r="E1956" t="s">
        <v>15</v>
      </c>
      <c r="F1956">
        <v>67592</v>
      </c>
      <c r="G1956" t="s">
        <v>30</v>
      </c>
      <c r="H1956">
        <v>91804.89</v>
      </c>
      <c r="I1956" t="s">
        <v>62</v>
      </c>
      <c r="J1956" t="s">
        <v>41</v>
      </c>
      <c r="K1956" t="s">
        <v>19</v>
      </c>
      <c r="L1956">
        <v>15</v>
      </c>
      <c r="M1956">
        <v>1.36</v>
      </c>
      <c r="N1956" t="s">
        <v>33</v>
      </c>
    </row>
    <row r="1957" spans="1:14" x14ac:dyDescent="0.25">
      <c r="A1957">
        <v>1956</v>
      </c>
      <c r="B1957" t="s">
        <v>43</v>
      </c>
      <c r="C1957">
        <v>2021</v>
      </c>
      <c r="D1957">
        <v>4.5999999999999996</v>
      </c>
      <c r="E1957" t="s">
        <v>27</v>
      </c>
      <c r="F1957">
        <v>220084</v>
      </c>
      <c r="G1957" t="s">
        <v>22</v>
      </c>
      <c r="H1957">
        <v>84125.66</v>
      </c>
      <c r="I1957" t="s">
        <v>55</v>
      </c>
      <c r="J1957" t="s">
        <v>41</v>
      </c>
      <c r="K1957" t="s">
        <v>26</v>
      </c>
      <c r="L1957">
        <v>5</v>
      </c>
      <c r="M1957">
        <v>0.38</v>
      </c>
      <c r="N1957" t="s">
        <v>20</v>
      </c>
    </row>
    <row r="1958" spans="1:14" x14ac:dyDescent="0.25">
      <c r="A1958">
        <v>1957</v>
      </c>
      <c r="B1958" t="s">
        <v>24</v>
      </c>
      <c r="C1958">
        <v>2020</v>
      </c>
      <c r="D1958">
        <v>5.7</v>
      </c>
      <c r="E1958" t="s">
        <v>27</v>
      </c>
      <c r="F1958">
        <v>197494</v>
      </c>
      <c r="G1958" t="s">
        <v>22</v>
      </c>
      <c r="H1958">
        <v>29118.37</v>
      </c>
      <c r="I1958" t="s">
        <v>45</v>
      </c>
      <c r="J1958" t="s">
        <v>18</v>
      </c>
      <c r="K1958" t="s">
        <v>26</v>
      </c>
      <c r="L1958">
        <v>6</v>
      </c>
      <c r="M1958">
        <v>0.15</v>
      </c>
      <c r="N1958" t="s">
        <v>20</v>
      </c>
    </row>
    <row r="1959" spans="1:14" x14ac:dyDescent="0.25">
      <c r="A1959">
        <v>1958</v>
      </c>
      <c r="B1959" t="s">
        <v>24</v>
      </c>
      <c r="C1959">
        <v>2009</v>
      </c>
      <c r="D1959">
        <v>3.6</v>
      </c>
      <c r="E1959" t="s">
        <v>27</v>
      </c>
      <c r="F1959">
        <v>270728</v>
      </c>
      <c r="G1959" t="s">
        <v>30</v>
      </c>
      <c r="H1959">
        <v>36473.19</v>
      </c>
      <c r="I1959" t="s">
        <v>35</v>
      </c>
      <c r="J1959" t="s">
        <v>41</v>
      </c>
      <c r="K1959" t="s">
        <v>26</v>
      </c>
      <c r="L1959">
        <v>17</v>
      </c>
      <c r="M1959">
        <v>0.13</v>
      </c>
      <c r="N1959" t="s">
        <v>20</v>
      </c>
    </row>
    <row r="1960" spans="1:14" x14ac:dyDescent="0.25">
      <c r="A1960">
        <v>1959</v>
      </c>
      <c r="B1960" t="s">
        <v>14</v>
      </c>
      <c r="C1960">
        <v>2014</v>
      </c>
      <c r="D1960">
        <v>2.2999999999999998</v>
      </c>
      <c r="E1960" t="s">
        <v>15</v>
      </c>
      <c r="F1960">
        <v>124555</v>
      </c>
      <c r="G1960" t="s">
        <v>16</v>
      </c>
      <c r="H1960">
        <v>52540.21</v>
      </c>
      <c r="I1960" t="s">
        <v>39</v>
      </c>
      <c r="J1960" t="s">
        <v>18</v>
      </c>
      <c r="K1960" t="s">
        <v>19</v>
      </c>
      <c r="L1960">
        <v>12</v>
      </c>
      <c r="M1960">
        <v>0.42</v>
      </c>
      <c r="N1960" t="s">
        <v>20</v>
      </c>
    </row>
    <row r="1961" spans="1:14" x14ac:dyDescent="0.25">
      <c r="A1961">
        <v>1960</v>
      </c>
      <c r="B1961" t="s">
        <v>52</v>
      </c>
      <c r="C1961">
        <v>2008</v>
      </c>
      <c r="D1961">
        <v>1.3</v>
      </c>
      <c r="E1961" t="s">
        <v>15</v>
      </c>
      <c r="F1961">
        <v>18830</v>
      </c>
      <c r="G1961" t="s">
        <v>22</v>
      </c>
      <c r="H1961">
        <v>6355.76</v>
      </c>
      <c r="I1961" t="s">
        <v>61</v>
      </c>
      <c r="J1961" t="s">
        <v>32</v>
      </c>
      <c r="K1961" t="s">
        <v>50</v>
      </c>
      <c r="L1961">
        <v>18</v>
      </c>
      <c r="M1961">
        <v>0.34</v>
      </c>
      <c r="N1961" t="s">
        <v>33</v>
      </c>
    </row>
    <row r="1962" spans="1:14" x14ac:dyDescent="0.25">
      <c r="A1962">
        <v>1961</v>
      </c>
      <c r="B1962" t="s">
        <v>52</v>
      </c>
      <c r="C1962">
        <v>2001</v>
      </c>
      <c r="D1962">
        <v>4.5999999999999996</v>
      </c>
      <c r="E1962" t="s">
        <v>27</v>
      </c>
      <c r="F1962">
        <v>216897</v>
      </c>
      <c r="G1962" t="s">
        <v>16</v>
      </c>
      <c r="H1962">
        <v>90870.69</v>
      </c>
      <c r="I1962" t="s">
        <v>56</v>
      </c>
      <c r="J1962" t="s">
        <v>32</v>
      </c>
      <c r="K1962" t="s">
        <v>26</v>
      </c>
      <c r="L1962">
        <v>25</v>
      </c>
      <c r="M1962">
        <v>0.42</v>
      </c>
      <c r="N1962" t="s">
        <v>33</v>
      </c>
    </row>
    <row r="1963" spans="1:14" x14ac:dyDescent="0.25">
      <c r="A1963">
        <v>1962</v>
      </c>
      <c r="B1963" t="s">
        <v>21</v>
      </c>
      <c r="C1963">
        <v>2004</v>
      </c>
      <c r="D1963">
        <v>1.6</v>
      </c>
      <c r="E1963" t="s">
        <v>15</v>
      </c>
      <c r="F1963">
        <v>252234</v>
      </c>
      <c r="G1963" t="s">
        <v>16</v>
      </c>
      <c r="H1963">
        <v>9212.7000000000007</v>
      </c>
      <c r="I1963" t="s">
        <v>23</v>
      </c>
      <c r="J1963" t="s">
        <v>32</v>
      </c>
      <c r="K1963" t="s">
        <v>26</v>
      </c>
      <c r="L1963">
        <v>22</v>
      </c>
      <c r="M1963">
        <v>0.04</v>
      </c>
      <c r="N1963" t="s">
        <v>20</v>
      </c>
    </row>
    <row r="1964" spans="1:14" x14ac:dyDescent="0.25">
      <c r="A1964">
        <v>1963</v>
      </c>
      <c r="B1964" t="s">
        <v>43</v>
      </c>
      <c r="C1964">
        <v>2005</v>
      </c>
      <c r="D1964">
        <v>2.5</v>
      </c>
      <c r="E1964" t="s">
        <v>27</v>
      </c>
      <c r="F1964">
        <v>265735</v>
      </c>
      <c r="G1964" t="s">
        <v>30</v>
      </c>
      <c r="H1964">
        <v>35631.919999999998</v>
      </c>
      <c r="I1964" t="s">
        <v>44</v>
      </c>
      <c r="J1964" t="s">
        <v>46</v>
      </c>
      <c r="K1964" t="s">
        <v>26</v>
      </c>
      <c r="L1964">
        <v>21</v>
      </c>
      <c r="M1964">
        <v>0.13</v>
      </c>
      <c r="N1964" t="s">
        <v>20</v>
      </c>
    </row>
    <row r="1965" spans="1:14" x14ac:dyDescent="0.25">
      <c r="A1965">
        <v>1964</v>
      </c>
      <c r="B1965" t="s">
        <v>24</v>
      </c>
      <c r="C1965">
        <v>2006</v>
      </c>
      <c r="D1965">
        <v>3.7</v>
      </c>
      <c r="E1965" t="s">
        <v>15</v>
      </c>
      <c r="F1965">
        <v>93878</v>
      </c>
      <c r="G1965" t="s">
        <v>22</v>
      </c>
      <c r="H1965">
        <v>59071.61</v>
      </c>
      <c r="I1965" t="s">
        <v>45</v>
      </c>
      <c r="J1965" t="s">
        <v>18</v>
      </c>
      <c r="K1965" t="s">
        <v>19</v>
      </c>
      <c r="L1965">
        <v>20</v>
      </c>
      <c r="M1965">
        <v>0.63</v>
      </c>
      <c r="N1965" t="s">
        <v>20</v>
      </c>
    </row>
    <row r="1966" spans="1:14" x14ac:dyDescent="0.25">
      <c r="A1966">
        <v>1965</v>
      </c>
      <c r="B1966" t="s">
        <v>36</v>
      </c>
      <c r="C1966">
        <v>2020</v>
      </c>
      <c r="D1966">
        <v>3.8</v>
      </c>
      <c r="E1966" t="s">
        <v>27</v>
      </c>
      <c r="F1966">
        <v>125407</v>
      </c>
      <c r="G1966" t="s">
        <v>22</v>
      </c>
      <c r="H1966">
        <v>54194.93</v>
      </c>
      <c r="I1966" t="s">
        <v>37</v>
      </c>
      <c r="J1966" t="s">
        <v>41</v>
      </c>
      <c r="K1966" t="s">
        <v>19</v>
      </c>
      <c r="L1966">
        <v>6</v>
      </c>
      <c r="M1966">
        <v>0.43</v>
      </c>
      <c r="N1966" t="s">
        <v>33</v>
      </c>
    </row>
    <row r="1967" spans="1:14" x14ac:dyDescent="0.25">
      <c r="A1967">
        <v>1966</v>
      </c>
      <c r="B1967" t="s">
        <v>29</v>
      </c>
      <c r="C1967">
        <v>2000</v>
      </c>
      <c r="D1967">
        <v>4</v>
      </c>
      <c r="E1967" t="s">
        <v>15</v>
      </c>
      <c r="F1967">
        <v>116869</v>
      </c>
      <c r="G1967" t="s">
        <v>16</v>
      </c>
      <c r="H1967">
        <v>67173.69</v>
      </c>
      <c r="I1967" t="s">
        <v>40</v>
      </c>
      <c r="J1967" t="s">
        <v>41</v>
      </c>
      <c r="K1967" t="s">
        <v>19</v>
      </c>
      <c r="L1967">
        <v>26</v>
      </c>
      <c r="M1967">
        <v>0.56999999999999995</v>
      </c>
      <c r="N1967" t="s">
        <v>33</v>
      </c>
    </row>
    <row r="1968" spans="1:14" x14ac:dyDescent="0.25">
      <c r="A1968">
        <v>1967</v>
      </c>
      <c r="B1968" t="s">
        <v>52</v>
      </c>
      <c r="C1968">
        <v>2022</v>
      </c>
      <c r="D1968">
        <v>1.8</v>
      </c>
      <c r="E1968" t="s">
        <v>27</v>
      </c>
      <c r="F1968">
        <v>257716</v>
      </c>
      <c r="G1968" t="s">
        <v>30</v>
      </c>
      <c r="H1968">
        <v>55114.42</v>
      </c>
      <c r="I1968" t="s">
        <v>53</v>
      </c>
      <c r="J1968" t="s">
        <v>41</v>
      </c>
      <c r="K1968" t="s">
        <v>26</v>
      </c>
      <c r="L1968">
        <v>4</v>
      </c>
      <c r="M1968">
        <v>0.21</v>
      </c>
      <c r="N1968" t="s">
        <v>33</v>
      </c>
    </row>
    <row r="1969" spans="1:14" x14ac:dyDescent="0.25">
      <c r="A1969">
        <v>1968</v>
      </c>
      <c r="B1969" t="s">
        <v>29</v>
      </c>
      <c r="C1969">
        <v>2006</v>
      </c>
      <c r="D1969">
        <v>2.9</v>
      </c>
      <c r="E1969" t="s">
        <v>15</v>
      </c>
      <c r="F1969">
        <v>283539</v>
      </c>
      <c r="G1969" t="s">
        <v>30</v>
      </c>
      <c r="H1969">
        <v>26755.14</v>
      </c>
      <c r="I1969" t="s">
        <v>38</v>
      </c>
      <c r="J1969" t="s">
        <v>41</v>
      </c>
      <c r="K1969" t="s">
        <v>26</v>
      </c>
      <c r="L1969">
        <v>20</v>
      </c>
      <c r="M1969">
        <v>0.09</v>
      </c>
      <c r="N1969" t="s">
        <v>33</v>
      </c>
    </row>
    <row r="1970" spans="1:14" x14ac:dyDescent="0.25">
      <c r="A1970">
        <v>1969</v>
      </c>
      <c r="B1970" t="s">
        <v>29</v>
      </c>
      <c r="C1970">
        <v>2019</v>
      </c>
      <c r="D1970">
        <v>4.0999999999999996</v>
      </c>
      <c r="E1970" t="s">
        <v>15</v>
      </c>
      <c r="F1970">
        <v>16738</v>
      </c>
      <c r="G1970" t="s">
        <v>30</v>
      </c>
      <c r="H1970">
        <v>24102.43</v>
      </c>
      <c r="I1970" t="s">
        <v>40</v>
      </c>
      <c r="J1970" t="s">
        <v>46</v>
      </c>
      <c r="K1970" t="s">
        <v>50</v>
      </c>
      <c r="L1970">
        <v>7</v>
      </c>
      <c r="M1970">
        <v>1.44</v>
      </c>
      <c r="N1970" t="s">
        <v>33</v>
      </c>
    </row>
    <row r="1971" spans="1:14" x14ac:dyDescent="0.25">
      <c r="A1971">
        <v>1970</v>
      </c>
      <c r="B1971" t="s">
        <v>21</v>
      </c>
      <c r="C1971">
        <v>2011</v>
      </c>
      <c r="D1971">
        <v>5.8</v>
      </c>
      <c r="E1971" t="s">
        <v>27</v>
      </c>
      <c r="F1971">
        <v>133703</v>
      </c>
      <c r="G1971" t="s">
        <v>16</v>
      </c>
      <c r="H1971">
        <v>91188.47</v>
      </c>
      <c r="I1971" t="s">
        <v>42</v>
      </c>
      <c r="J1971" t="s">
        <v>41</v>
      </c>
      <c r="K1971" t="s">
        <v>19</v>
      </c>
      <c r="L1971">
        <v>15</v>
      </c>
      <c r="M1971">
        <v>0.68</v>
      </c>
      <c r="N1971" t="s">
        <v>20</v>
      </c>
    </row>
    <row r="1972" spans="1:14" x14ac:dyDescent="0.25">
      <c r="A1972">
        <v>1971</v>
      </c>
      <c r="B1972" t="s">
        <v>24</v>
      </c>
      <c r="C1972">
        <v>2015</v>
      </c>
      <c r="D1972">
        <v>4.5999999999999996</v>
      </c>
      <c r="E1972" t="s">
        <v>15</v>
      </c>
      <c r="F1972">
        <v>148977</v>
      </c>
      <c r="G1972" t="s">
        <v>16</v>
      </c>
      <c r="H1972">
        <v>30076.84</v>
      </c>
      <c r="I1972" t="s">
        <v>34</v>
      </c>
      <c r="J1972" t="s">
        <v>46</v>
      </c>
      <c r="K1972" t="s">
        <v>19</v>
      </c>
      <c r="L1972">
        <v>11</v>
      </c>
      <c r="M1972">
        <v>0.2</v>
      </c>
      <c r="N1972" t="s">
        <v>20</v>
      </c>
    </row>
    <row r="1973" spans="1:14" x14ac:dyDescent="0.25">
      <c r="A1973">
        <v>1972</v>
      </c>
      <c r="B1973" t="s">
        <v>52</v>
      </c>
      <c r="C1973">
        <v>2015</v>
      </c>
      <c r="D1973">
        <v>5.6</v>
      </c>
      <c r="E1973" t="s">
        <v>15</v>
      </c>
      <c r="F1973">
        <v>19056</v>
      </c>
      <c r="G1973" t="s">
        <v>22</v>
      </c>
      <c r="H1973">
        <v>31692.84</v>
      </c>
      <c r="I1973" t="s">
        <v>56</v>
      </c>
      <c r="J1973" t="s">
        <v>18</v>
      </c>
      <c r="K1973" t="s">
        <v>50</v>
      </c>
      <c r="L1973">
        <v>11</v>
      </c>
      <c r="M1973">
        <v>1.66</v>
      </c>
      <c r="N1973" t="s">
        <v>33</v>
      </c>
    </row>
    <row r="1974" spans="1:14" x14ac:dyDescent="0.25">
      <c r="A1974">
        <v>1973</v>
      </c>
      <c r="B1974" t="s">
        <v>29</v>
      </c>
      <c r="C1974">
        <v>2010</v>
      </c>
      <c r="D1974">
        <v>4.8</v>
      </c>
      <c r="E1974" t="s">
        <v>27</v>
      </c>
      <c r="F1974">
        <v>240746</v>
      </c>
      <c r="G1974" t="s">
        <v>30</v>
      </c>
      <c r="H1974">
        <v>44230.53</v>
      </c>
      <c r="I1974" t="s">
        <v>62</v>
      </c>
      <c r="J1974" t="s">
        <v>32</v>
      </c>
      <c r="K1974" t="s">
        <v>26</v>
      </c>
      <c r="L1974">
        <v>16</v>
      </c>
      <c r="M1974">
        <v>0.18</v>
      </c>
      <c r="N1974" t="s">
        <v>33</v>
      </c>
    </row>
    <row r="1975" spans="1:14" x14ac:dyDescent="0.25">
      <c r="A1975">
        <v>1974</v>
      </c>
      <c r="B1975" t="s">
        <v>52</v>
      </c>
      <c r="C1975">
        <v>2020</v>
      </c>
      <c r="D1975">
        <v>4</v>
      </c>
      <c r="E1975" t="s">
        <v>15</v>
      </c>
      <c r="F1975">
        <v>115316</v>
      </c>
      <c r="G1975" t="s">
        <v>16</v>
      </c>
      <c r="H1975">
        <v>18246.64</v>
      </c>
      <c r="I1975" t="s">
        <v>59</v>
      </c>
      <c r="J1975" t="s">
        <v>41</v>
      </c>
      <c r="K1975" t="s">
        <v>19</v>
      </c>
      <c r="L1975">
        <v>6</v>
      </c>
      <c r="M1975">
        <v>0.16</v>
      </c>
      <c r="N1975" t="s">
        <v>33</v>
      </c>
    </row>
    <row r="1976" spans="1:14" x14ac:dyDescent="0.25">
      <c r="A1976">
        <v>1975</v>
      </c>
      <c r="B1976" t="s">
        <v>36</v>
      </c>
      <c r="C1976">
        <v>2003</v>
      </c>
      <c r="D1976">
        <v>2</v>
      </c>
      <c r="E1976" t="s">
        <v>15</v>
      </c>
      <c r="F1976">
        <v>166519</v>
      </c>
      <c r="G1976" t="s">
        <v>30</v>
      </c>
      <c r="H1976">
        <v>53190.92</v>
      </c>
      <c r="I1976" t="s">
        <v>57</v>
      </c>
      <c r="J1976" t="s">
        <v>32</v>
      </c>
      <c r="K1976" t="s">
        <v>26</v>
      </c>
      <c r="L1976">
        <v>23</v>
      </c>
      <c r="M1976">
        <v>0.32</v>
      </c>
      <c r="N1976" t="s">
        <v>33</v>
      </c>
    </row>
    <row r="1977" spans="1:14" x14ac:dyDescent="0.25">
      <c r="A1977">
        <v>1976</v>
      </c>
      <c r="B1977" t="s">
        <v>21</v>
      </c>
      <c r="C1977">
        <v>2012</v>
      </c>
      <c r="D1977">
        <v>4.3</v>
      </c>
      <c r="E1977" t="s">
        <v>15</v>
      </c>
      <c r="F1977">
        <v>54418</v>
      </c>
      <c r="G1977" t="s">
        <v>16</v>
      </c>
      <c r="H1977">
        <v>68178.02</v>
      </c>
      <c r="I1977" t="s">
        <v>42</v>
      </c>
      <c r="J1977" t="s">
        <v>18</v>
      </c>
      <c r="K1977" t="s">
        <v>19</v>
      </c>
      <c r="L1977">
        <v>14</v>
      </c>
      <c r="M1977">
        <v>1.25</v>
      </c>
      <c r="N1977" t="s">
        <v>20</v>
      </c>
    </row>
    <row r="1978" spans="1:14" x14ac:dyDescent="0.25">
      <c r="A1978">
        <v>1977</v>
      </c>
      <c r="B1978" t="s">
        <v>36</v>
      </c>
      <c r="C1978">
        <v>2006</v>
      </c>
      <c r="D1978">
        <v>4.0999999999999996</v>
      </c>
      <c r="E1978" t="s">
        <v>27</v>
      </c>
      <c r="F1978">
        <v>299334</v>
      </c>
      <c r="G1978" t="s">
        <v>22</v>
      </c>
      <c r="H1978">
        <v>79670.05</v>
      </c>
      <c r="I1978" t="s">
        <v>51</v>
      </c>
      <c r="J1978" t="s">
        <v>18</v>
      </c>
      <c r="K1978" t="s">
        <v>26</v>
      </c>
      <c r="L1978">
        <v>20</v>
      </c>
      <c r="M1978">
        <v>0.27</v>
      </c>
      <c r="N1978" t="s">
        <v>33</v>
      </c>
    </row>
    <row r="1979" spans="1:14" x14ac:dyDescent="0.25">
      <c r="A1979">
        <v>1978</v>
      </c>
      <c r="B1979" t="s">
        <v>52</v>
      </c>
      <c r="C1979">
        <v>2003</v>
      </c>
      <c r="D1979">
        <v>4</v>
      </c>
      <c r="E1979" t="s">
        <v>27</v>
      </c>
      <c r="F1979">
        <v>26014</v>
      </c>
      <c r="G1979" t="s">
        <v>30</v>
      </c>
      <c r="H1979">
        <v>72588.149999999994</v>
      </c>
      <c r="I1979" t="s">
        <v>56</v>
      </c>
      <c r="J1979" t="s">
        <v>41</v>
      </c>
      <c r="K1979" t="s">
        <v>50</v>
      </c>
      <c r="L1979">
        <v>23</v>
      </c>
      <c r="M1979">
        <v>2.79</v>
      </c>
      <c r="N1979" t="s">
        <v>33</v>
      </c>
    </row>
    <row r="1980" spans="1:14" x14ac:dyDescent="0.25">
      <c r="A1980">
        <v>1979</v>
      </c>
      <c r="B1980" t="s">
        <v>14</v>
      </c>
      <c r="C1980">
        <v>2014</v>
      </c>
      <c r="D1980">
        <v>3.4</v>
      </c>
      <c r="E1980" t="s">
        <v>27</v>
      </c>
      <c r="F1980">
        <v>204071</v>
      </c>
      <c r="G1980" t="s">
        <v>16</v>
      </c>
      <c r="H1980">
        <v>19025.419999999998</v>
      </c>
      <c r="I1980" t="s">
        <v>58</v>
      </c>
      <c r="J1980" t="s">
        <v>18</v>
      </c>
      <c r="K1980" t="s">
        <v>26</v>
      </c>
      <c r="L1980">
        <v>12</v>
      </c>
      <c r="M1980">
        <v>0.09</v>
      </c>
      <c r="N1980" t="s">
        <v>20</v>
      </c>
    </row>
    <row r="1981" spans="1:14" x14ac:dyDescent="0.25">
      <c r="A1981">
        <v>1980</v>
      </c>
      <c r="B1981" t="s">
        <v>52</v>
      </c>
      <c r="C1981">
        <v>2018</v>
      </c>
      <c r="D1981">
        <v>3.6</v>
      </c>
      <c r="E1981" t="s">
        <v>27</v>
      </c>
      <c r="F1981">
        <v>238989</v>
      </c>
      <c r="G1981" t="s">
        <v>30</v>
      </c>
      <c r="H1981">
        <v>48326.38</v>
      </c>
      <c r="I1981" t="s">
        <v>61</v>
      </c>
      <c r="J1981" t="s">
        <v>32</v>
      </c>
      <c r="K1981" t="s">
        <v>26</v>
      </c>
      <c r="L1981">
        <v>8</v>
      </c>
      <c r="M1981">
        <v>0.2</v>
      </c>
      <c r="N1981" t="s">
        <v>33</v>
      </c>
    </row>
    <row r="1982" spans="1:14" x14ac:dyDescent="0.25">
      <c r="A1982">
        <v>1981</v>
      </c>
      <c r="B1982" t="s">
        <v>24</v>
      </c>
      <c r="C1982">
        <v>2008</v>
      </c>
      <c r="D1982">
        <v>2.7</v>
      </c>
      <c r="E1982" t="s">
        <v>27</v>
      </c>
      <c r="F1982">
        <v>181350</v>
      </c>
      <c r="G1982" t="s">
        <v>16</v>
      </c>
      <c r="H1982">
        <v>8665.69</v>
      </c>
      <c r="I1982" t="s">
        <v>45</v>
      </c>
      <c r="J1982" t="s">
        <v>41</v>
      </c>
      <c r="K1982" t="s">
        <v>26</v>
      </c>
      <c r="L1982">
        <v>18</v>
      </c>
      <c r="M1982">
        <v>0.05</v>
      </c>
      <c r="N1982" t="s">
        <v>20</v>
      </c>
    </row>
    <row r="1983" spans="1:14" x14ac:dyDescent="0.25">
      <c r="A1983">
        <v>1982</v>
      </c>
      <c r="B1983" t="s">
        <v>29</v>
      </c>
      <c r="C1983">
        <v>2010</v>
      </c>
      <c r="D1983">
        <v>3.6</v>
      </c>
      <c r="E1983" t="s">
        <v>15</v>
      </c>
      <c r="F1983">
        <v>263924</v>
      </c>
      <c r="G1983" t="s">
        <v>16</v>
      </c>
      <c r="H1983">
        <v>6690.81</v>
      </c>
      <c r="I1983" t="s">
        <v>40</v>
      </c>
      <c r="J1983" t="s">
        <v>46</v>
      </c>
      <c r="K1983" t="s">
        <v>26</v>
      </c>
      <c r="L1983">
        <v>16</v>
      </c>
      <c r="M1983">
        <v>0.03</v>
      </c>
      <c r="N1983" t="s">
        <v>33</v>
      </c>
    </row>
    <row r="1984" spans="1:14" x14ac:dyDescent="0.25">
      <c r="A1984">
        <v>1983</v>
      </c>
      <c r="B1984" t="s">
        <v>29</v>
      </c>
      <c r="C1984">
        <v>2007</v>
      </c>
      <c r="D1984">
        <v>2</v>
      </c>
      <c r="E1984" t="s">
        <v>15</v>
      </c>
      <c r="F1984">
        <v>190330</v>
      </c>
      <c r="G1984" t="s">
        <v>16</v>
      </c>
      <c r="H1984">
        <v>46812.39</v>
      </c>
      <c r="I1984" t="s">
        <v>31</v>
      </c>
      <c r="J1984" t="s">
        <v>41</v>
      </c>
      <c r="K1984" t="s">
        <v>26</v>
      </c>
      <c r="L1984">
        <v>19</v>
      </c>
      <c r="M1984">
        <v>0.25</v>
      </c>
      <c r="N1984" t="s">
        <v>33</v>
      </c>
    </row>
    <row r="1985" spans="1:14" x14ac:dyDescent="0.25">
      <c r="A1985">
        <v>1984</v>
      </c>
      <c r="B1985" t="s">
        <v>36</v>
      </c>
      <c r="C1985">
        <v>2000</v>
      </c>
      <c r="D1985">
        <v>5</v>
      </c>
      <c r="E1985" t="s">
        <v>27</v>
      </c>
      <c r="F1985">
        <v>42192</v>
      </c>
      <c r="G1985" t="s">
        <v>30</v>
      </c>
      <c r="H1985">
        <v>29031.25</v>
      </c>
      <c r="I1985" t="s">
        <v>54</v>
      </c>
      <c r="J1985" t="s">
        <v>32</v>
      </c>
      <c r="K1985" t="s">
        <v>50</v>
      </c>
      <c r="L1985">
        <v>26</v>
      </c>
      <c r="M1985">
        <v>0.69</v>
      </c>
      <c r="N1985" t="s">
        <v>33</v>
      </c>
    </row>
    <row r="1986" spans="1:14" x14ac:dyDescent="0.25">
      <c r="A1986">
        <v>1985</v>
      </c>
      <c r="B1986" t="s">
        <v>21</v>
      </c>
      <c r="C1986">
        <v>2022</v>
      </c>
      <c r="D1986">
        <v>1.9</v>
      </c>
      <c r="E1986" t="s">
        <v>15</v>
      </c>
      <c r="F1986">
        <v>43923</v>
      </c>
      <c r="G1986" t="s">
        <v>16</v>
      </c>
      <c r="H1986">
        <v>69919.28</v>
      </c>
      <c r="I1986" t="s">
        <v>60</v>
      </c>
      <c r="J1986" t="s">
        <v>41</v>
      </c>
      <c r="K1986" t="s">
        <v>50</v>
      </c>
      <c r="L1986">
        <v>4</v>
      </c>
      <c r="M1986">
        <v>1.59</v>
      </c>
      <c r="N1986" t="s">
        <v>20</v>
      </c>
    </row>
    <row r="1987" spans="1:14" x14ac:dyDescent="0.25">
      <c r="A1987">
        <v>1986</v>
      </c>
      <c r="B1987" t="s">
        <v>14</v>
      </c>
      <c r="C1987">
        <v>2023</v>
      </c>
      <c r="D1987">
        <v>1.4</v>
      </c>
      <c r="E1987" t="s">
        <v>15</v>
      </c>
      <c r="F1987">
        <v>89196</v>
      </c>
      <c r="G1987" t="s">
        <v>22</v>
      </c>
      <c r="H1987">
        <v>73802.87</v>
      </c>
      <c r="I1987" t="s">
        <v>17</v>
      </c>
      <c r="J1987" t="s">
        <v>18</v>
      </c>
      <c r="K1987" t="s">
        <v>19</v>
      </c>
      <c r="L1987">
        <v>3</v>
      </c>
      <c r="M1987">
        <v>0.83</v>
      </c>
      <c r="N1987" t="s">
        <v>20</v>
      </c>
    </row>
    <row r="1988" spans="1:14" x14ac:dyDescent="0.25">
      <c r="A1988">
        <v>1987</v>
      </c>
      <c r="B1988" t="s">
        <v>43</v>
      </c>
      <c r="C1988">
        <v>2007</v>
      </c>
      <c r="D1988">
        <v>3.2</v>
      </c>
      <c r="E1988" t="s">
        <v>15</v>
      </c>
      <c r="F1988">
        <v>2395</v>
      </c>
      <c r="G1988" t="s">
        <v>30</v>
      </c>
      <c r="H1988">
        <v>90063.35</v>
      </c>
      <c r="I1988" t="s">
        <v>55</v>
      </c>
      <c r="J1988" t="s">
        <v>32</v>
      </c>
      <c r="K1988" t="s">
        <v>50</v>
      </c>
      <c r="L1988">
        <v>19</v>
      </c>
      <c r="M1988">
        <v>37.6</v>
      </c>
      <c r="N1988" t="s">
        <v>20</v>
      </c>
    </row>
    <row r="1989" spans="1:14" x14ac:dyDescent="0.25">
      <c r="A1989">
        <v>1988</v>
      </c>
      <c r="B1989" t="s">
        <v>29</v>
      </c>
      <c r="C1989">
        <v>2012</v>
      </c>
      <c r="D1989">
        <v>4.3</v>
      </c>
      <c r="E1989" t="s">
        <v>15</v>
      </c>
      <c r="F1989">
        <v>228456</v>
      </c>
      <c r="G1989" t="s">
        <v>22</v>
      </c>
      <c r="H1989">
        <v>77264.84</v>
      </c>
      <c r="I1989" t="s">
        <v>40</v>
      </c>
      <c r="J1989" t="s">
        <v>41</v>
      </c>
      <c r="K1989" t="s">
        <v>26</v>
      </c>
      <c r="L1989">
        <v>14</v>
      </c>
      <c r="M1989">
        <v>0.34</v>
      </c>
      <c r="N1989" t="s">
        <v>33</v>
      </c>
    </row>
    <row r="1990" spans="1:14" x14ac:dyDescent="0.25">
      <c r="A1990">
        <v>1989</v>
      </c>
      <c r="B1990" t="s">
        <v>24</v>
      </c>
      <c r="C1990">
        <v>2021</v>
      </c>
      <c r="D1990">
        <v>3.2</v>
      </c>
      <c r="E1990" t="s">
        <v>27</v>
      </c>
      <c r="F1990">
        <v>71028</v>
      </c>
      <c r="G1990" t="s">
        <v>22</v>
      </c>
      <c r="H1990">
        <v>9583.19</v>
      </c>
      <c r="I1990" t="s">
        <v>25</v>
      </c>
      <c r="J1990" t="s">
        <v>41</v>
      </c>
      <c r="K1990" t="s">
        <v>19</v>
      </c>
      <c r="L1990">
        <v>5</v>
      </c>
      <c r="M1990">
        <v>0.13</v>
      </c>
      <c r="N1990" t="s">
        <v>20</v>
      </c>
    </row>
    <row r="1991" spans="1:14" x14ac:dyDescent="0.25">
      <c r="A1991">
        <v>1990</v>
      </c>
      <c r="B1991" t="s">
        <v>36</v>
      </c>
      <c r="C1991">
        <v>2003</v>
      </c>
      <c r="D1991">
        <v>2.4</v>
      </c>
      <c r="E1991" t="s">
        <v>27</v>
      </c>
      <c r="F1991">
        <v>242463</v>
      </c>
      <c r="G1991" t="s">
        <v>30</v>
      </c>
      <c r="H1991">
        <v>40304.19</v>
      </c>
      <c r="I1991" t="s">
        <v>51</v>
      </c>
      <c r="J1991" t="s">
        <v>32</v>
      </c>
      <c r="K1991" t="s">
        <v>26</v>
      </c>
      <c r="L1991">
        <v>23</v>
      </c>
      <c r="M1991">
        <v>0.17</v>
      </c>
      <c r="N1991" t="s">
        <v>33</v>
      </c>
    </row>
    <row r="1992" spans="1:14" x14ac:dyDescent="0.25">
      <c r="A1992">
        <v>1991</v>
      </c>
      <c r="B1992" t="s">
        <v>36</v>
      </c>
      <c r="C1992">
        <v>2007</v>
      </c>
      <c r="D1992">
        <v>3.8</v>
      </c>
      <c r="E1992" t="s">
        <v>15</v>
      </c>
      <c r="F1992">
        <v>141056</v>
      </c>
      <c r="G1992" t="s">
        <v>16</v>
      </c>
      <c r="H1992">
        <v>30937.22</v>
      </c>
      <c r="I1992" t="s">
        <v>54</v>
      </c>
      <c r="J1992" t="s">
        <v>18</v>
      </c>
      <c r="K1992" t="s">
        <v>19</v>
      </c>
      <c r="L1992">
        <v>19</v>
      </c>
      <c r="M1992">
        <v>0.22</v>
      </c>
      <c r="N1992" t="s">
        <v>33</v>
      </c>
    </row>
    <row r="1993" spans="1:14" x14ac:dyDescent="0.25">
      <c r="A1993">
        <v>1992</v>
      </c>
      <c r="B1993" t="s">
        <v>43</v>
      </c>
      <c r="C1993">
        <v>2002</v>
      </c>
      <c r="D1993">
        <v>2.7</v>
      </c>
      <c r="E1993" t="s">
        <v>15</v>
      </c>
      <c r="F1993">
        <v>203400</v>
      </c>
      <c r="G1993" t="s">
        <v>22</v>
      </c>
      <c r="H1993">
        <v>41682.58</v>
      </c>
      <c r="I1993" t="s">
        <v>49</v>
      </c>
      <c r="J1993" t="s">
        <v>32</v>
      </c>
      <c r="K1993" t="s">
        <v>26</v>
      </c>
      <c r="L1993">
        <v>24</v>
      </c>
      <c r="M1993">
        <v>0.2</v>
      </c>
      <c r="N1993" t="s">
        <v>20</v>
      </c>
    </row>
    <row r="1994" spans="1:14" x14ac:dyDescent="0.25">
      <c r="A1994">
        <v>1993</v>
      </c>
      <c r="B1994" t="s">
        <v>24</v>
      </c>
      <c r="C1994">
        <v>2008</v>
      </c>
      <c r="D1994">
        <v>5.7</v>
      </c>
      <c r="E1994" t="s">
        <v>27</v>
      </c>
      <c r="F1994">
        <v>255315</v>
      </c>
      <c r="G1994" t="s">
        <v>30</v>
      </c>
      <c r="H1994">
        <v>20207.189999999999</v>
      </c>
      <c r="I1994" t="s">
        <v>35</v>
      </c>
      <c r="J1994" t="s">
        <v>41</v>
      </c>
      <c r="K1994" t="s">
        <v>26</v>
      </c>
      <c r="L1994">
        <v>18</v>
      </c>
      <c r="M1994">
        <v>0.08</v>
      </c>
      <c r="N1994" t="s">
        <v>20</v>
      </c>
    </row>
    <row r="1995" spans="1:14" x14ac:dyDescent="0.25">
      <c r="A1995">
        <v>1994</v>
      </c>
      <c r="B1995" t="s">
        <v>21</v>
      </c>
      <c r="C1995">
        <v>2001</v>
      </c>
      <c r="D1995">
        <v>5.6</v>
      </c>
      <c r="E1995" t="s">
        <v>15</v>
      </c>
      <c r="F1995">
        <v>289068</v>
      </c>
      <c r="G1995" t="s">
        <v>16</v>
      </c>
      <c r="H1995">
        <v>14281.89</v>
      </c>
      <c r="I1995" t="s">
        <v>60</v>
      </c>
      <c r="J1995" t="s">
        <v>46</v>
      </c>
      <c r="K1995" t="s">
        <v>26</v>
      </c>
      <c r="L1995">
        <v>25</v>
      </c>
      <c r="M1995">
        <v>0.05</v>
      </c>
      <c r="N1995" t="s">
        <v>20</v>
      </c>
    </row>
    <row r="1996" spans="1:14" x14ac:dyDescent="0.25">
      <c r="A1996">
        <v>1995</v>
      </c>
      <c r="B1996" t="s">
        <v>24</v>
      </c>
      <c r="C1996">
        <v>2001</v>
      </c>
      <c r="D1996">
        <v>3.5</v>
      </c>
      <c r="E1996" t="s">
        <v>15</v>
      </c>
      <c r="F1996">
        <v>294721</v>
      </c>
      <c r="G1996" t="s">
        <v>30</v>
      </c>
      <c r="H1996">
        <v>54493.53</v>
      </c>
      <c r="I1996" t="s">
        <v>34</v>
      </c>
      <c r="J1996" t="s">
        <v>46</v>
      </c>
      <c r="K1996" t="s">
        <v>26</v>
      </c>
      <c r="L1996">
        <v>25</v>
      </c>
      <c r="M1996">
        <v>0.18</v>
      </c>
      <c r="N1996" t="s">
        <v>20</v>
      </c>
    </row>
    <row r="1997" spans="1:14" x14ac:dyDescent="0.25">
      <c r="A1997">
        <v>1996</v>
      </c>
      <c r="B1997" t="s">
        <v>21</v>
      </c>
      <c r="C1997">
        <v>2012</v>
      </c>
      <c r="D1997">
        <v>2.6</v>
      </c>
      <c r="E1997" t="s">
        <v>15</v>
      </c>
      <c r="F1997">
        <v>138783</v>
      </c>
      <c r="G1997" t="s">
        <v>30</v>
      </c>
      <c r="H1997">
        <v>73436.22</v>
      </c>
      <c r="I1997" t="s">
        <v>42</v>
      </c>
      <c r="J1997" t="s">
        <v>32</v>
      </c>
      <c r="K1997" t="s">
        <v>19</v>
      </c>
      <c r="L1997">
        <v>14</v>
      </c>
      <c r="M1997">
        <v>0.53</v>
      </c>
      <c r="N1997" t="s">
        <v>20</v>
      </c>
    </row>
    <row r="1998" spans="1:14" x14ac:dyDescent="0.25">
      <c r="A1998">
        <v>1997</v>
      </c>
      <c r="B1998" t="s">
        <v>24</v>
      </c>
      <c r="C1998">
        <v>2014</v>
      </c>
      <c r="D1998">
        <v>4.7</v>
      </c>
      <c r="E1998" t="s">
        <v>27</v>
      </c>
      <c r="F1998">
        <v>85548</v>
      </c>
      <c r="G1998" t="s">
        <v>30</v>
      </c>
      <c r="H1998">
        <v>71681.539999999994</v>
      </c>
      <c r="I1998" t="s">
        <v>25</v>
      </c>
      <c r="J1998" t="s">
        <v>46</v>
      </c>
      <c r="K1998" t="s">
        <v>19</v>
      </c>
      <c r="L1998">
        <v>12</v>
      </c>
      <c r="M1998">
        <v>0.84</v>
      </c>
      <c r="N1998" t="s">
        <v>20</v>
      </c>
    </row>
    <row r="1999" spans="1:14" x14ac:dyDescent="0.25">
      <c r="A1999">
        <v>1998</v>
      </c>
      <c r="B1999" t="s">
        <v>24</v>
      </c>
      <c r="C1999">
        <v>2022</v>
      </c>
      <c r="D1999">
        <v>1.2</v>
      </c>
      <c r="E1999" t="s">
        <v>27</v>
      </c>
      <c r="F1999">
        <v>257288</v>
      </c>
      <c r="G1999" t="s">
        <v>16</v>
      </c>
      <c r="H1999">
        <v>47839.71</v>
      </c>
      <c r="I1999" t="s">
        <v>35</v>
      </c>
      <c r="J1999" t="s">
        <v>41</v>
      </c>
      <c r="K1999" t="s">
        <v>26</v>
      </c>
      <c r="L1999">
        <v>4</v>
      </c>
      <c r="M1999">
        <v>0.19</v>
      </c>
      <c r="N1999" t="s">
        <v>20</v>
      </c>
    </row>
    <row r="2000" spans="1:14" x14ac:dyDescent="0.25">
      <c r="A2000">
        <v>1999</v>
      </c>
      <c r="B2000" t="s">
        <v>52</v>
      </c>
      <c r="C2000">
        <v>2011</v>
      </c>
      <c r="D2000">
        <v>3.4</v>
      </c>
      <c r="E2000" t="s">
        <v>15</v>
      </c>
      <c r="F2000">
        <v>125093</v>
      </c>
      <c r="G2000" t="s">
        <v>22</v>
      </c>
      <c r="H2000">
        <v>54616.5</v>
      </c>
      <c r="I2000" t="s">
        <v>59</v>
      </c>
      <c r="J2000" t="s">
        <v>41</v>
      </c>
      <c r="K2000" t="s">
        <v>19</v>
      </c>
      <c r="L2000">
        <v>15</v>
      </c>
      <c r="M2000">
        <v>0.44</v>
      </c>
      <c r="N2000" t="s">
        <v>33</v>
      </c>
    </row>
    <row r="2001" spans="1:14" x14ac:dyDescent="0.25">
      <c r="A2001">
        <v>2000</v>
      </c>
      <c r="B2001" t="s">
        <v>36</v>
      </c>
      <c r="C2001">
        <v>2003</v>
      </c>
      <c r="D2001">
        <v>2.7</v>
      </c>
      <c r="E2001" t="s">
        <v>15</v>
      </c>
      <c r="F2001">
        <v>235835</v>
      </c>
      <c r="G2001" t="s">
        <v>22</v>
      </c>
      <c r="H2001">
        <v>54051.23</v>
      </c>
      <c r="I2001" t="s">
        <v>54</v>
      </c>
      <c r="J2001" t="s">
        <v>32</v>
      </c>
      <c r="K2001" t="s">
        <v>26</v>
      </c>
      <c r="L2001">
        <v>23</v>
      </c>
      <c r="M2001">
        <v>0.23</v>
      </c>
      <c r="N2001" t="s">
        <v>33</v>
      </c>
    </row>
    <row r="2002" spans="1:14" x14ac:dyDescent="0.25">
      <c r="A2002">
        <v>2001</v>
      </c>
      <c r="B2002" t="s">
        <v>24</v>
      </c>
      <c r="C2002">
        <v>2007</v>
      </c>
      <c r="D2002">
        <v>5.6</v>
      </c>
      <c r="E2002" t="s">
        <v>15</v>
      </c>
      <c r="F2002">
        <v>206084</v>
      </c>
      <c r="G2002" t="s">
        <v>30</v>
      </c>
      <c r="H2002">
        <v>70699.19</v>
      </c>
      <c r="I2002" t="s">
        <v>35</v>
      </c>
      <c r="J2002" t="s">
        <v>41</v>
      </c>
      <c r="K2002" t="s">
        <v>26</v>
      </c>
      <c r="L2002">
        <v>19</v>
      </c>
      <c r="M2002">
        <v>0.34</v>
      </c>
      <c r="N2002" t="s">
        <v>20</v>
      </c>
    </row>
    <row r="2003" spans="1:14" x14ac:dyDescent="0.25">
      <c r="A2003">
        <v>2002</v>
      </c>
      <c r="B2003" t="s">
        <v>43</v>
      </c>
      <c r="C2003">
        <v>2008</v>
      </c>
      <c r="D2003">
        <v>1.1000000000000001</v>
      </c>
      <c r="E2003" t="s">
        <v>15</v>
      </c>
      <c r="F2003">
        <v>270398</v>
      </c>
      <c r="G2003" t="s">
        <v>30</v>
      </c>
      <c r="H2003">
        <v>9552.89</v>
      </c>
      <c r="I2003" t="s">
        <v>44</v>
      </c>
      <c r="J2003" t="s">
        <v>18</v>
      </c>
      <c r="K2003" t="s">
        <v>26</v>
      </c>
      <c r="L2003">
        <v>18</v>
      </c>
      <c r="M2003">
        <v>0.04</v>
      </c>
      <c r="N2003" t="s">
        <v>20</v>
      </c>
    </row>
    <row r="2004" spans="1:14" x14ac:dyDescent="0.25">
      <c r="A2004">
        <v>2003</v>
      </c>
      <c r="B2004" t="s">
        <v>24</v>
      </c>
      <c r="C2004">
        <v>2022</v>
      </c>
      <c r="D2004">
        <v>3.8</v>
      </c>
      <c r="E2004" t="s">
        <v>15</v>
      </c>
      <c r="F2004">
        <v>229027</v>
      </c>
      <c r="G2004" t="s">
        <v>16</v>
      </c>
      <c r="H2004">
        <v>72440.13</v>
      </c>
      <c r="I2004" t="s">
        <v>25</v>
      </c>
      <c r="J2004" t="s">
        <v>41</v>
      </c>
      <c r="K2004" t="s">
        <v>26</v>
      </c>
      <c r="L2004">
        <v>4</v>
      </c>
      <c r="M2004">
        <v>0.32</v>
      </c>
      <c r="N2004" t="s">
        <v>20</v>
      </c>
    </row>
    <row r="2005" spans="1:14" x14ac:dyDescent="0.25">
      <c r="A2005">
        <v>2004</v>
      </c>
      <c r="B2005" t="s">
        <v>29</v>
      </c>
      <c r="C2005">
        <v>2004</v>
      </c>
      <c r="D2005">
        <v>4.7</v>
      </c>
      <c r="E2005" t="s">
        <v>15</v>
      </c>
      <c r="F2005">
        <v>208072</v>
      </c>
      <c r="G2005" t="s">
        <v>30</v>
      </c>
      <c r="H2005">
        <v>60309.09</v>
      </c>
      <c r="I2005" t="s">
        <v>31</v>
      </c>
      <c r="J2005" t="s">
        <v>32</v>
      </c>
      <c r="K2005" t="s">
        <v>26</v>
      </c>
      <c r="L2005">
        <v>22</v>
      </c>
      <c r="M2005">
        <v>0.28999999999999998</v>
      </c>
      <c r="N2005" t="s">
        <v>33</v>
      </c>
    </row>
    <row r="2006" spans="1:14" x14ac:dyDescent="0.25">
      <c r="A2006">
        <v>2005</v>
      </c>
      <c r="B2006" t="s">
        <v>36</v>
      </c>
      <c r="C2006">
        <v>2023</v>
      </c>
      <c r="D2006">
        <v>3.4</v>
      </c>
      <c r="E2006" t="s">
        <v>27</v>
      </c>
      <c r="F2006">
        <v>248029</v>
      </c>
      <c r="G2006" t="s">
        <v>30</v>
      </c>
      <c r="H2006">
        <v>23820.33</v>
      </c>
      <c r="I2006" t="s">
        <v>54</v>
      </c>
      <c r="J2006" t="s">
        <v>18</v>
      </c>
      <c r="K2006" t="s">
        <v>26</v>
      </c>
      <c r="L2006">
        <v>3</v>
      </c>
      <c r="M2006">
        <v>0.1</v>
      </c>
      <c r="N2006" t="s">
        <v>33</v>
      </c>
    </row>
    <row r="2007" spans="1:14" x14ac:dyDescent="0.25">
      <c r="A2007">
        <v>2006</v>
      </c>
      <c r="B2007" t="s">
        <v>29</v>
      </c>
      <c r="C2007">
        <v>2019</v>
      </c>
      <c r="D2007">
        <v>1.4</v>
      </c>
      <c r="E2007" t="s">
        <v>27</v>
      </c>
      <c r="F2007">
        <v>209047</v>
      </c>
      <c r="G2007" t="s">
        <v>30</v>
      </c>
      <c r="H2007">
        <v>9660.59</v>
      </c>
      <c r="I2007" t="s">
        <v>31</v>
      </c>
      <c r="J2007" t="s">
        <v>18</v>
      </c>
      <c r="K2007" t="s">
        <v>26</v>
      </c>
      <c r="L2007">
        <v>7</v>
      </c>
      <c r="M2007">
        <v>0.05</v>
      </c>
      <c r="N2007" t="s">
        <v>33</v>
      </c>
    </row>
    <row r="2008" spans="1:14" x14ac:dyDescent="0.25">
      <c r="A2008">
        <v>2007</v>
      </c>
      <c r="B2008" t="s">
        <v>36</v>
      </c>
      <c r="C2008">
        <v>2017</v>
      </c>
      <c r="D2008">
        <v>5.9</v>
      </c>
      <c r="E2008" t="s">
        <v>15</v>
      </c>
      <c r="F2008">
        <v>130509</v>
      </c>
      <c r="G2008" t="s">
        <v>22</v>
      </c>
      <c r="H2008">
        <v>15310.14</v>
      </c>
      <c r="I2008" t="s">
        <v>51</v>
      </c>
      <c r="J2008" t="s">
        <v>46</v>
      </c>
      <c r="K2008" t="s">
        <v>19</v>
      </c>
      <c r="L2008">
        <v>9</v>
      </c>
      <c r="M2008">
        <v>0.12</v>
      </c>
      <c r="N2008" t="s">
        <v>33</v>
      </c>
    </row>
    <row r="2009" spans="1:14" x14ac:dyDescent="0.25">
      <c r="A2009">
        <v>2008</v>
      </c>
      <c r="B2009" t="s">
        <v>29</v>
      </c>
      <c r="C2009">
        <v>2010</v>
      </c>
      <c r="D2009">
        <v>3.6</v>
      </c>
      <c r="E2009" t="s">
        <v>27</v>
      </c>
      <c r="F2009">
        <v>237784</v>
      </c>
      <c r="G2009" t="s">
        <v>30</v>
      </c>
      <c r="H2009">
        <v>54845.68</v>
      </c>
      <c r="I2009" t="s">
        <v>40</v>
      </c>
      <c r="J2009" t="s">
        <v>41</v>
      </c>
      <c r="K2009" t="s">
        <v>26</v>
      </c>
      <c r="L2009">
        <v>16</v>
      </c>
      <c r="M2009">
        <v>0.23</v>
      </c>
      <c r="N2009" t="s">
        <v>33</v>
      </c>
    </row>
    <row r="2010" spans="1:14" x14ac:dyDescent="0.25">
      <c r="A2010">
        <v>2009</v>
      </c>
      <c r="B2010" t="s">
        <v>24</v>
      </c>
      <c r="C2010">
        <v>2014</v>
      </c>
      <c r="D2010">
        <v>4.0999999999999996</v>
      </c>
      <c r="E2010" t="s">
        <v>15</v>
      </c>
      <c r="F2010">
        <v>295107</v>
      </c>
      <c r="G2010" t="s">
        <v>22</v>
      </c>
      <c r="H2010">
        <v>77048.81</v>
      </c>
      <c r="I2010" t="s">
        <v>25</v>
      </c>
      <c r="J2010" t="s">
        <v>32</v>
      </c>
      <c r="K2010" t="s">
        <v>26</v>
      </c>
      <c r="L2010">
        <v>12</v>
      </c>
      <c r="M2010">
        <v>0.26</v>
      </c>
      <c r="N2010" t="s">
        <v>20</v>
      </c>
    </row>
    <row r="2011" spans="1:14" x14ac:dyDescent="0.25">
      <c r="A2011">
        <v>2010</v>
      </c>
      <c r="B2011" t="s">
        <v>24</v>
      </c>
      <c r="C2011">
        <v>2021</v>
      </c>
      <c r="D2011">
        <v>2.2000000000000002</v>
      </c>
      <c r="E2011" t="s">
        <v>15</v>
      </c>
      <c r="F2011">
        <v>3273</v>
      </c>
      <c r="G2011" t="s">
        <v>16</v>
      </c>
      <c r="H2011">
        <v>36792.44</v>
      </c>
      <c r="I2011" t="s">
        <v>45</v>
      </c>
      <c r="J2011" t="s">
        <v>46</v>
      </c>
      <c r="K2011" t="s">
        <v>50</v>
      </c>
      <c r="L2011">
        <v>5</v>
      </c>
      <c r="M2011">
        <v>11.24</v>
      </c>
      <c r="N2011" t="s">
        <v>20</v>
      </c>
    </row>
    <row r="2012" spans="1:14" x14ac:dyDescent="0.25">
      <c r="A2012">
        <v>2011</v>
      </c>
      <c r="B2012" t="s">
        <v>52</v>
      </c>
      <c r="C2012">
        <v>2008</v>
      </c>
      <c r="D2012">
        <v>3.4</v>
      </c>
      <c r="E2012" t="s">
        <v>27</v>
      </c>
      <c r="F2012">
        <v>15330</v>
      </c>
      <c r="G2012" t="s">
        <v>16</v>
      </c>
      <c r="H2012">
        <v>41016.769999999997</v>
      </c>
      <c r="I2012" t="s">
        <v>59</v>
      </c>
      <c r="J2012" t="s">
        <v>46</v>
      </c>
      <c r="K2012" t="s">
        <v>50</v>
      </c>
      <c r="L2012">
        <v>18</v>
      </c>
      <c r="M2012">
        <v>2.68</v>
      </c>
      <c r="N2012" t="s">
        <v>33</v>
      </c>
    </row>
    <row r="2013" spans="1:14" x14ac:dyDescent="0.25">
      <c r="A2013">
        <v>2012</v>
      </c>
      <c r="B2013" t="s">
        <v>43</v>
      </c>
      <c r="C2013">
        <v>2016</v>
      </c>
      <c r="D2013">
        <v>3.1</v>
      </c>
      <c r="E2013" t="s">
        <v>27</v>
      </c>
      <c r="F2013">
        <v>152566</v>
      </c>
      <c r="G2013" t="s">
        <v>22</v>
      </c>
      <c r="H2013">
        <v>93743.91</v>
      </c>
      <c r="I2013" t="s">
        <v>49</v>
      </c>
      <c r="J2013" t="s">
        <v>41</v>
      </c>
      <c r="K2013" t="s">
        <v>26</v>
      </c>
      <c r="L2013">
        <v>10</v>
      </c>
      <c r="M2013">
        <v>0.61</v>
      </c>
      <c r="N2013" t="s">
        <v>20</v>
      </c>
    </row>
    <row r="2014" spans="1:14" x14ac:dyDescent="0.25">
      <c r="A2014">
        <v>2013</v>
      </c>
      <c r="B2014" t="s">
        <v>29</v>
      </c>
      <c r="C2014">
        <v>2011</v>
      </c>
      <c r="D2014">
        <v>1.4</v>
      </c>
      <c r="E2014" t="s">
        <v>15</v>
      </c>
      <c r="F2014">
        <v>76422</v>
      </c>
      <c r="G2014" t="s">
        <v>22</v>
      </c>
      <c r="H2014">
        <v>25236.240000000002</v>
      </c>
      <c r="I2014" t="s">
        <v>62</v>
      </c>
      <c r="J2014" t="s">
        <v>41</v>
      </c>
      <c r="K2014" t="s">
        <v>19</v>
      </c>
      <c r="L2014">
        <v>15</v>
      </c>
      <c r="M2014">
        <v>0.33</v>
      </c>
      <c r="N2014" t="s">
        <v>33</v>
      </c>
    </row>
    <row r="2015" spans="1:14" x14ac:dyDescent="0.25">
      <c r="A2015">
        <v>2014</v>
      </c>
      <c r="B2015" t="s">
        <v>21</v>
      </c>
      <c r="C2015">
        <v>2006</v>
      </c>
      <c r="D2015">
        <v>1.5</v>
      </c>
      <c r="E2015" t="s">
        <v>15</v>
      </c>
      <c r="F2015">
        <v>3212</v>
      </c>
      <c r="G2015" t="s">
        <v>22</v>
      </c>
      <c r="H2015">
        <v>14856.2</v>
      </c>
      <c r="I2015" t="s">
        <v>23</v>
      </c>
      <c r="J2015" t="s">
        <v>32</v>
      </c>
      <c r="K2015" t="s">
        <v>50</v>
      </c>
      <c r="L2015">
        <v>20</v>
      </c>
      <c r="M2015">
        <v>4.63</v>
      </c>
      <c r="N2015" t="s">
        <v>20</v>
      </c>
    </row>
    <row r="2016" spans="1:14" x14ac:dyDescent="0.25">
      <c r="A2016">
        <v>2015</v>
      </c>
      <c r="B2016" t="s">
        <v>52</v>
      </c>
      <c r="C2016">
        <v>2009</v>
      </c>
      <c r="D2016">
        <v>5.2</v>
      </c>
      <c r="E2016" t="s">
        <v>27</v>
      </c>
      <c r="F2016">
        <v>232131</v>
      </c>
      <c r="G2016" t="s">
        <v>22</v>
      </c>
      <c r="H2016">
        <v>37623.96</v>
      </c>
      <c r="I2016" t="s">
        <v>61</v>
      </c>
      <c r="J2016" t="s">
        <v>46</v>
      </c>
      <c r="K2016" t="s">
        <v>26</v>
      </c>
      <c r="L2016">
        <v>17</v>
      </c>
      <c r="M2016">
        <v>0.16</v>
      </c>
      <c r="N2016" t="s">
        <v>33</v>
      </c>
    </row>
    <row r="2017" spans="1:14" x14ac:dyDescent="0.25">
      <c r="A2017">
        <v>2016</v>
      </c>
      <c r="B2017" t="s">
        <v>29</v>
      </c>
      <c r="C2017">
        <v>2009</v>
      </c>
      <c r="D2017">
        <v>2.2000000000000002</v>
      </c>
      <c r="E2017" t="s">
        <v>27</v>
      </c>
      <c r="F2017">
        <v>87594</v>
      </c>
      <c r="G2017" t="s">
        <v>30</v>
      </c>
      <c r="H2017">
        <v>75862.600000000006</v>
      </c>
      <c r="I2017" t="s">
        <v>31</v>
      </c>
      <c r="J2017" t="s">
        <v>32</v>
      </c>
      <c r="K2017" t="s">
        <v>19</v>
      </c>
      <c r="L2017">
        <v>17</v>
      </c>
      <c r="M2017">
        <v>0.87</v>
      </c>
      <c r="N2017" t="s">
        <v>33</v>
      </c>
    </row>
    <row r="2018" spans="1:14" x14ac:dyDescent="0.25">
      <c r="A2018">
        <v>2017</v>
      </c>
      <c r="B2018" t="s">
        <v>29</v>
      </c>
      <c r="C2018">
        <v>2012</v>
      </c>
      <c r="D2018">
        <v>2</v>
      </c>
      <c r="E2018" t="s">
        <v>15</v>
      </c>
      <c r="F2018">
        <v>132152</v>
      </c>
      <c r="G2018" t="s">
        <v>22</v>
      </c>
      <c r="H2018">
        <v>64477.34</v>
      </c>
      <c r="I2018" t="s">
        <v>31</v>
      </c>
      <c r="J2018" t="s">
        <v>46</v>
      </c>
      <c r="K2018" t="s">
        <v>19</v>
      </c>
      <c r="L2018">
        <v>14</v>
      </c>
      <c r="M2018">
        <v>0.49</v>
      </c>
      <c r="N2018" t="s">
        <v>33</v>
      </c>
    </row>
    <row r="2019" spans="1:14" x14ac:dyDescent="0.25">
      <c r="A2019">
        <v>2018</v>
      </c>
      <c r="B2019" t="s">
        <v>52</v>
      </c>
      <c r="C2019">
        <v>2018</v>
      </c>
      <c r="D2019">
        <v>3.5</v>
      </c>
      <c r="E2019" t="s">
        <v>15</v>
      </c>
      <c r="F2019">
        <v>294819</v>
      </c>
      <c r="G2019" t="s">
        <v>22</v>
      </c>
      <c r="H2019">
        <v>44500.57</v>
      </c>
      <c r="I2019" t="s">
        <v>59</v>
      </c>
      <c r="J2019" t="s">
        <v>46</v>
      </c>
      <c r="K2019" t="s">
        <v>26</v>
      </c>
      <c r="L2019">
        <v>8</v>
      </c>
      <c r="M2019">
        <v>0.15</v>
      </c>
      <c r="N2019" t="s">
        <v>33</v>
      </c>
    </row>
    <row r="2020" spans="1:14" x14ac:dyDescent="0.25">
      <c r="A2020">
        <v>2019</v>
      </c>
      <c r="B2020" t="s">
        <v>24</v>
      </c>
      <c r="C2020">
        <v>2010</v>
      </c>
      <c r="D2020">
        <v>4.8</v>
      </c>
      <c r="E2020" t="s">
        <v>15</v>
      </c>
      <c r="F2020">
        <v>22007</v>
      </c>
      <c r="G2020" t="s">
        <v>22</v>
      </c>
      <c r="H2020">
        <v>96651.49</v>
      </c>
      <c r="I2020" t="s">
        <v>35</v>
      </c>
      <c r="J2020" t="s">
        <v>46</v>
      </c>
      <c r="K2020" t="s">
        <v>50</v>
      </c>
      <c r="L2020">
        <v>16</v>
      </c>
      <c r="M2020">
        <v>4.3899999999999997</v>
      </c>
      <c r="N2020" t="s">
        <v>20</v>
      </c>
    </row>
    <row r="2021" spans="1:14" x14ac:dyDescent="0.25">
      <c r="A2021">
        <v>2020</v>
      </c>
      <c r="B2021" t="s">
        <v>29</v>
      </c>
      <c r="C2021">
        <v>2012</v>
      </c>
      <c r="D2021">
        <v>1.3</v>
      </c>
      <c r="E2021" t="s">
        <v>27</v>
      </c>
      <c r="F2021">
        <v>113805</v>
      </c>
      <c r="G2021" t="s">
        <v>30</v>
      </c>
      <c r="H2021">
        <v>74824.66</v>
      </c>
      <c r="I2021" t="s">
        <v>38</v>
      </c>
      <c r="J2021" t="s">
        <v>41</v>
      </c>
      <c r="K2021" t="s">
        <v>19</v>
      </c>
      <c r="L2021">
        <v>14</v>
      </c>
      <c r="M2021">
        <v>0.66</v>
      </c>
      <c r="N2021" t="s">
        <v>33</v>
      </c>
    </row>
    <row r="2022" spans="1:14" x14ac:dyDescent="0.25">
      <c r="A2022">
        <v>2021</v>
      </c>
      <c r="B2022" t="s">
        <v>24</v>
      </c>
      <c r="C2022">
        <v>2020</v>
      </c>
      <c r="D2022">
        <v>3.9</v>
      </c>
      <c r="E2022" t="s">
        <v>15</v>
      </c>
      <c r="F2022">
        <v>95815</v>
      </c>
      <c r="G2022" t="s">
        <v>30</v>
      </c>
      <c r="H2022">
        <v>10876.84</v>
      </c>
      <c r="I2022" t="s">
        <v>25</v>
      </c>
      <c r="J2022" t="s">
        <v>46</v>
      </c>
      <c r="K2022" t="s">
        <v>19</v>
      </c>
      <c r="L2022">
        <v>6</v>
      </c>
      <c r="M2022">
        <v>0.11</v>
      </c>
      <c r="N2022" t="s">
        <v>20</v>
      </c>
    </row>
    <row r="2023" spans="1:14" x14ac:dyDescent="0.25">
      <c r="A2023">
        <v>2022</v>
      </c>
      <c r="B2023" t="s">
        <v>52</v>
      </c>
      <c r="C2023">
        <v>2007</v>
      </c>
      <c r="D2023">
        <v>1.6</v>
      </c>
      <c r="E2023" t="s">
        <v>27</v>
      </c>
      <c r="F2023">
        <v>262783</v>
      </c>
      <c r="G2023" t="s">
        <v>30</v>
      </c>
      <c r="H2023">
        <v>75739.990000000005</v>
      </c>
      <c r="I2023" t="s">
        <v>53</v>
      </c>
      <c r="J2023" t="s">
        <v>46</v>
      </c>
      <c r="K2023" t="s">
        <v>26</v>
      </c>
      <c r="L2023">
        <v>19</v>
      </c>
      <c r="M2023">
        <v>0.28999999999999998</v>
      </c>
      <c r="N2023" t="s">
        <v>33</v>
      </c>
    </row>
    <row r="2024" spans="1:14" x14ac:dyDescent="0.25">
      <c r="A2024">
        <v>2023</v>
      </c>
      <c r="B2024" t="s">
        <v>24</v>
      </c>
      <c r="C2024">
        <v>2007</v>
      </c>
      <c r="D2024">
        <v>1.2</v>
      </c>
      <c r="E2024" t="s">
        <v>15</v>
      </c>
      <c r="F2024">
        <v>78038</v>
      </c>
      <c r="G2024" t="s">
        <v>16</v>
      </c>
      <c r="H2024">
        <v>7283.66</v>
      </c>
      <c r="I2024" t="s">
        <v>25</v>
      </c>
      <c r="J2024" t="s">
        <v>46</v>
      </c>
      <c r="K2024" t="s">
        <v>19</v>
      </c>
      <c r="L2024">
        <v>19</v>
      </c>
      <c r="M2024">
        <v>0.09</v>
      </c>
      <c r="N2024" t="s">
        <v>20</v>
      </c>
    </row>
    <row r="2025" spans="1:14" x14ac:dyDescent="0.25">
      <c r="A2025">
        <v>2024</v>
      </c>
      <c r="B2025" t="s">
        <v>36</v>
      </c>
      <c r="C2025">
        <v>2003</v>
      </c>
      <c r="D2025">
        <v>1.3</v>
      </c>
      <c r="E2025" t="s">
        <v>27</v>
      </c>
      <c r="F2025">
        <v>265880</v>
      </c>
      <c r="G2025" t="s">
        <v>30</v>
      </c>
      <c r="H2025">
        <v>66780.72</v>
      </c>
      <c r="I2025" t="s">
        <v>54</v>
      </c>
      <c r="J2025" t="s">
        <v>18</v>
      </c>
      <c r="K2025" t="s">
        <v>26</v>
      </c>
      <c r="L2025">
        <v>23</v>
      </c>
      <c r="M2025">
        <v>0.25</v>
      </c>
      <c r="N2025" t="s">
        <v>33</v>
      </c>
    </row>
    <row r="2026" spans="1:14" x14ac:dyDescent="0.25">
      <c r="A2026">
        <v>2025</v>
      </c>
      <c r="B2026" t="s">
        <v>21</v>
      </c>
      <c r="C2026">
        <v>2014</v>
      </c>
      <c r="D2026">
        <v>5.2</v>
      </c>
      <c r="E2026" t="s">
        <v>27</v>
      </c>
      <c r="F2026">
        <v>253506</v>
      </c>
      <c r="G2026" t="s">
        <v>22</v>
      </c>
      <c r="H2026">
        <v>24995.87</v>
      </c>
      <c r="I2026" t="s">
        <v>23</v>
      </c>
      <c r="J2026" t="s">
        <v>41</v>
      </c>
      <c r="K2026" t="s">
        <v>26</v>
      </c>
      <c r="L2026">
        <v>12</v>
      </c>
      <c r="M2026">
        <v>0.1</v>
      </c>
      <c r="N2026" t="s">
        <v>20</v>
      </c>
    </row>
    <row r="2027" spans="1:14" x14ac:dyDescent="0.25">
      <c r="A2027">
        <v>2026</v>
      </c>
      <c r="B2027" t="s">
        <v>14</v>
      </c>
      <c r="C2027">
        <v>2010</v>
      </c>
      <c r="D2027">
        <v>1.6</v>
      </c>
      <c r="E2027" t="s">
        <v>27</v>
      </c>
      <c r="F2027">
        <v>16473</v>
      </c>
      <c r="G2027" t="s">
        <v>30</v>
      </c>
      <c r="H2027">
        <v>71162.009999999995</v>
      </c>
      <c r="I2027" t="s">
        <v>58</v>
      </c>
      <c r="J2027" t="s">
        <v>18</v>
      </c>
      <c r="K2027" t="s">
        <v>50</v>
      </c>
      <c r="L2027">
        <v>16</v>
      </c>
      <c r="M2027">
        <v>4.32</v>
      </c>
      <c r="N2027" t="s">
        <v>20</v>
      </c>
    </row>
    <row r="2028" spans="1:14" x14ac:dyDescent="0.25">
      <c r="A2028">
        <v>2027</v>
      </c>
      <c r="B2028" t="s">
        <v>29</v>
      </c>
      <c r="C2028">
        <v>2010</v>
      </c>
      <c r="D2028">
        <v>1.2</v>
      </c>
      <c r="E2028" t="s">
        <v>27</v>
      </c>
      <c r="F2028">
        <v>128771</v>
      </c>
      <c r="G2028" t="s">
        <v>30</v>
      </c>
      <c r="H2028">
        <v>34429.06</v>
      </c>
      <c r="I2028" t="s">
        <v>62</v>
      </c>
      <c r="J2028" t="s">
        <v>41</v>
      </c>
      <c r="K2028" t="s">
        <v>19</v>
      </c>
      <c r="L2028">
        <v>16</v>
      </c>
      <c r="M2028">
        <v>0.27</v>
      </c>
      <c r="N2028" t="s">
        <v>33</v>
      </c>
    </row>
    <row r="2029" spans="1:14" x14ac:dyDescent="0.25">
      <c r="A2029">
        <v>2028</v>
      </c>
      <c r="B2029" t="s">
        <v>43</v>
      </c>
      <c r="C2029">
        <v>2000</v>
      </c>
      <c r="D2029">
        <v>3.2</v>
      </c>
      <c r="E2029" t="s">
        <v>15</v>
      </c>
      <c r="F2029">
        <v>125801</v>
      </c>
      <c r="G2029" t="s">
        <v>22</v>
      </c>
      <c r="H2029">
        <v>87935.6</v>
      </c>
      <c r="I2029" t="s">
        <v>55</v>
      </c>
      <c r="J2029" t="s">
        <v>32</v>
      </c>
      <c r="K2029" t="s">
        <v>19</v>
      </c>
      <c r="L2029">
        <v>26</v>
      </c>
      <c r="M2029">
        <v>0.7</v>
      </c>
      <c r="N2029" t="s">
        <v>20</v>
      </c>
    </row>
    <row r="2030" spans="1:14" x14ac:dyDescent="0.25">
      <c r="A2030">
        <v>2029</v>
      </c>
      <c r="B2030" t="s">
        <v>21</v>
      </c>
      <c r="C2030">
        <v>2016</v>
      </c>
      <c r="D2030">
        <v>5.2</v>
      </c>
      <c r="E2030" t="s">
        <v>27</v>
      </c>
      <c r="F2030">
        <v>86623</v>
      </c>
      <c r="G2030" t="s">
        <v>30</v>
      </c>
      <c r="H2030">
        <v>37006.81</v>
      </c>
      <c r="I2030" t="s">
        <v>42</v>
      </c>
      <c r="J2030" t="s">
        <v>18</v>
      </c>
      <c r="K2030" t="s">
        <v>19</v>
      </c>
      <c r="L2030">
        <v>10</v>
      </c>
      <c r="M2030">
        <v>0.43</v>
      </c>
      <c r="N2030" t="s">
        <v>20</v>
      </c>
    </row>
    <row r="2031" spans="1:14" x14ac:dyDescent="0.25">
      <c r="A2031">
        <v>2030</v>
      </c>
      <c r="B2031" t="s">
        <v>14</v>
      </c>
      <c r="C2031">
        <v>2014</v>
      </c>
      <c r="D2031">
        <v>2.2999999999999998</v>
      </c>
      <c r="E2031" t="s">
        <v>27</v>
      </c>
      <c r="F2031">
        <v>225097</v>
      </c>
      <c r="G2031" t="s">
        <v>16</v>
      </c>
      <c r="H2031">
        <v>63871.11</v>
      </c>
      <c r="I2031" t="s">
        <v>58</v>
      </c>
      <c r="J2031" t="s">
        <v>18</v>
      </c>
      <c r="K2031" t="s">
        <v>26</v>
      </c>
      <c r="L2031">
        <v>12</v>
      </c>
      <c r="M2031">
        <v>0.28000000000000003</v>
      </c>
      <c r="N2031" t="s">
        <v>20</v>
      </c>
    </row>
    <row r="2032" spans="1:14" x14ac:dyDescent="0.25">
      <c r="A2032">
        <v>2031</v>
      </c>
      <c r="B2032" t="s">
        <v>24</v>
      </c>
      <c r="C2032">
        <v>2019</v>
      </c>
      <c r="D2032">
        <v>3.1</v>
      </c>
      <c r="E2032" t="s">
        <v>27</v>
      </c>
      <c r="F2032">
        <v>298964</v>
      </c>
      <c r="G2032" t="s">
        <v>30</v>
      </c>
      <c r="H2032">
        <v>32163.119999999999</v>
      </c>
      <c r="I2032" t="s">
        <v>25</v>
      </c>
      <c r="J2032" t="s">
        <v>46</v>
      </c>
      <c r="K2032" t="s">
        <v>26</v>
      </c>
      <c r="L2032">
        <v>7</v>
      </c>
      <c r="M2032">
        <v>0.11</v>
      </c>
      <c r="N2032" t="s">
        <v>20</v>
      </c>
    </row>
    <row r="2033" spans="1:14" x14ac:dyDescent="0.25">
      <c r="A2033">
        <v>2032</v>
      </c>
      <c r="B2033" t="s">
        <v>29</v>
      </c>
      <c r="C2033">
        <v>2005</v>
      </c>
      <c r="D2033">
        <v>1.2</v>
      </c>
      <c r="E2033" t="s">
        <v>15</v>
      </c>
      <c r="F2033">
        <v>215933</v>
      </c>
      <c r="G2033" t="s">
        <v>16</v>
      </c>
      <c r="H2033">
        <v>92136.05</v>
      </c>
      <c r="I2033" t="s">
        <v>40</v>
      </c>
      <c r="J2033" t="s">
        <v>32</v>
      </c>
      <c r="K2033" t="s">
        <v>26</v>
      </c>
      <c r="L2033">
        <v>21</v>
      </c>
      <c r="M2033">
        <v>0.43</v>
      </c>
      <c r="N2033" t="s">
        <v>33</v>
      </c>
    </row>
    <row r="2034" spans="1:14" x14ac:dyDescent="0.25">
      <c r="A2034">
        <v>2033</v>
      </c>
      <c r="B2034" t="s">
        <v>24</v>
      </c>
      <c r="C2034">
        <v>2023</v>
      </c>
      <c r="D2034">
        <v>3.2</v>
      </c>
      <c r="E2034" t="s">
        <v>15</v>
      </c>
      <c r="F2034">
        <v>196879</v>
      </c>
      <c r="G2034" t="s">
        <v>16</v>
      </c>
      <c r="H2034">
        <v>79194.62</v>
      </c>
      <c r="I2034" t="s">
        <v>35</v>
      </c>
      <c r="J2034" t="s">
        <v>32</v>
      </c>
      <c r="K2034" t="s">
        <v>26</v>
      </c>
      <c r="L2034">
        <v>3</v>
      </c>
      <c r="M2034">
        <v>0.4</v>
      </c>
      <c r="N2034" t="s">
        <v>20</v>
      </c>
    </row>
    <row r="2035" spans="1:14" x14ac:dyDescent="0.25">
      <c r="A2035">
        <v>2034</v>
      </c>
      <c r="B2035" t="s">
        <v>36</v>
      </c>
      <c r="C2035">
        <v>2021</v>
      </c>
      <c r="D2035">
        <v>3.9</v>
      </c>
      <c r="E2035" t="s">
        <v>15</v>
      </c>
      <c r="F2035">
        <v>280558</v>
      </c>
      <c r="G2035" t="s">
        <v>16</v>
      </c>
      <c r="H2035">
        <v>28113.77</v>
      </c>
      <c r="I2035" t="s">
        <v>57</v>
      </c>
      <c r="J2035" t="s">
        <v>32</v>
      </c>
      <c r="K2035" t="s">
        <v>26</v>
      </c>
      <c r="L2035">
        <v>5</v>
      </c>
      <c r="M2035">
        <v>0.1</v>
      </c>
      <c r="N2035" t="s">
        <v>33</v>
      </c>
    </row>
    <row r="2036" spans="1:14" x14ac:dyDescent="0.25">
      <c r="A2036">
        <v>2035</v>
      </c>
      <c r="B2036" t="s">
        <v>52</v>
      </c>
      <c r="C2036">
        <v>2014</v>
      </c>
      <c r="D2036">
        <v>3.9</v>
      </c>
      <c r="E2036" t="s">
        <v>15</v>
      </c>
      <c r="F2036">
        <v>24220</v>
      </c>
      <c r="G2036" t="s">
        <v>22</v>
      </c>
      <c r="H2036">
        <v>95135.69</v>
      </c>
      <c r="I2036" t="s">
        <v>61</v>
      </c>
      <c r="J2036" t="s">
        <v>32</v>
      </c>
      <c r="K2036" t="s">
        <v>50</v>
      </c>
      <c r="L2036">
        <v>12</v>
      </c>
      <c r="M2036">
        <v>3.93</v>
      </c>
      <c r="N2036" t="s">
        <v>33</v>
      </c>
    </row>
    <row r="2037" spans="1:14" x14ac:dyDescent="0.25">
      <c r="A2037">
        <v>2036</v>
      </c>
      <c r="B2037" t="s">
        <v>29</v>
      </c>
      <c r="C2037">
        <v>2008</v>
      </c>
      <c r="D2037">
        <v>2.7</v>
      </c>
      <c r="E2037" t="s">
        <v>15</v>
      </c>
      <c r="F2037">
        <v>60531</v>
      </c>
      <c r="G2037" t="s">
        <v>30</v>
      </c>
      <c r="H2037">
        <v>38929.97</v>
      </c>
      <c r="I2037" t="s">
        <v>62</v>
      </c>
      <c r="J2037" t="s">
        <v>41</v>
      </c>
      <c r="K2037" t="s">
        <v>19</v>
      </c>
      <c r="L2037">
        <v>18</v>
      </c>
      <c r="M2037">
        <v>0.64</v>
      </c>
      <c r="N2037" t="s">
        <v>33</v>
      </c>
    </row>
    <row r="2038" spans="1:14" x14ac:dyDescent="0.25">
      <c r="A2038">
        <v>2037</v>
      </c>
      <c r="B2038" t="s">
        <v>14</v>
      </c>
      <c r="C2038">
        <v>2013</v>
      </c>
      <c r="D2038">
        <v>2.6</v>
      </c>
      <c r="E2038" t="s">
        <v>15</v>
      </c>
      <c r="F2038">
        <v>173497</v>
      </c>
      <c r="G2038" t="s">
        <v>16</v>
      </c>
      <c r="H2038">
        <v>66927.17</v>
      </c>
      <c r="I2038" t="s">
        <v>17</v>
      </c>
      <c r="J2038" t="s">
        <v>18</v>
      </c>
      <c r="K2038" t="s">
        <v>26</v>
      </c>
      <c r="L2038">
        <v>13</v>
      </c>
      <c r="M2038">
        <v>0.39</v>
      </c>
      <c r="N2038" t="s">
        <v>20</v>
      </c>
    </row>
    <row r="2039" spans="1:14" x14ac:dyDescent="0.25">
      <c r="A2039">
        <v>2038</v>
      </c>
      <c r="B2039" t="s">
        <v>14</v>
      </c>
      <c r="C2039">
        <v>2017</v>
      </c>
      <c r="D2039">
        <v>1.5</v>
      </c>
      <c r="E2039" t="s">
        <v>27</v>
      </c>
      <c r="F2039">
        <v>9387</v>
      </c>
      <c r="G2039" t="s">
        <v>16</v>
      </c>
      <c r="H2039">
        <v>75571.06</v>
      </c>
      <c r="I2039" t="s">
        <v>28</v>
      </c>
      <c r="J2039" t="s">
        <v>18</v>
      </c>
      <c r="K2039" t="s">
        <v>50</v>
      </c>
      <c r="L2039">
        <v>9</v>
      </c>
      <c r="M2039">
        <v>8.0500000000000007</v>
      </c>
      <c r="N2039" t="s">
        <v>20</v>
      </c>
    </row>
    <row r="2040" spans="1:14" x14ac:dyDescent="0.25">
      <c r="A2040">
        <v>2039</v>
      </c>
      <c r="B2040" t="s">
        <v>36</v>
      </c>
      <c r="C2040">
        <v>2016</v>
      </c>
      <c r="D2040">
        <v>2.8</v>
      </c>
      <c r="E2040" t="s">
        <v>27</v>
      </c>
      <c r="F2040">
        <v>245752</v>
      </c>
      <c r="G2040" t="s">
        <v>30</v>
      </c>
      <c r="H2040">
        <v>7175.71</v>
      </c>
      <c r="I2040" t="s">
        <v>57</v>
      </c>
      <c r="J2040" t="s">
        <v>41</v>
      </c>
      <c r="K2040" t="s">
        <v>26</v>
      </c>
      <c r="L2040">
        <v>10</v>
      </c>
      <c r="M2040">
        <v>0.03</v>
      </c>
      <c r="N2040" t="s">
        <v>33</v>
      </c>
    </row>
    <row r="2041" spans="1:14" x14ac:dyDescent="0.25">
      <c r="A2041">
        <v>2040</v>
      </c>
      <c r="B2041" t="s">
        <v>36</v>
      </c>
      <c r="C2041">
        <v>2017</v>
      </c>
      <c r="D2041">
        <v>1.5</v>
      </c>
      <c r="E2041" t="s">
        <v>27</v>
      </c>
      <c r="F2041">
        <v>76815</v>
      </c>
      <c r="G2041" t="s">
        <v>22</v>
      </c>
      <c r="H2041">
        <v>96101.9</v>
      </c>
      <c r="I2041" t="s">
        <v>57</v>
      </c>
      <c r="J2041" t="s">
        <v>41</v>
      </c>
      <c r="K2041" t="s">
        <v>19</v>
      </c>
      <c r="L2041">
        <v>9</v>
      </c>
      <c r="M2041">
        <v>1.25</v>
      </c>
      <c r="N2041" t="s">
        <v>33</v>
      </c>
    </row>
    <row r="2042" spans="1:14" x14ac:dyDescent="0.25">
      <c r="A2042">
        <v>2041</v>
      </c>
      <c r="B2042" t="s">
        <v>29</v>
      </c>
      <c r="C2042">
        <v>2004</v>
      </c>
      <c r="D2042">
        <v>4.8</v>
      </c>
      <c r="E2042" t="s">
        <v>15</v>
      </c>
      <c r="F2042">
        <v>27584</v>
      </c>
      <c r="G2042" t="s">
        <v>22</v>
      </c>
      <c r="H2042">
        <v>37721.919999999998</v>
      </c>
      <c r="I2042" t="s">
        <v>38</v>
      </c>
      <c r="J2042" t="s">
        <v>32</v>
      </c>
      <c r="K2042" t="s">
        <v>50</v>
      </c>
      <c r="L2042">
        <v>22</v>
      </c>
      <c r="M2042">
        <v>1.37</v>
      </c>
      <c r="N2042" t="s">
        <v>33</v>
      </c>
    </row>
    <row r="2043" spans="1:14" x14ac:dyDescent="0.25">
      <c r="A2043">
        <v>2042</v>
      </c>
      <c r="B2043" t="s">
        <v>24</v>
      </c>
      <c r="C2043">
        <v>2019</v>
      </c>
      <c r="D2043">
        <v>5.8</v>
      </c>
      <c r="E2043" t="s">
        <v>27</v>
      </c>
      <c r="F2043">
        <v>44783</v>
      </c>
      <c r="G2043" t="s">
        <v>16</v>
      </c>
      <c r="H2043">
        <v>23028.99</v>
      </c>
      <c r="I2043" t="s">
        <v>34</v>
      </c>
      <c r="J2043" t="s">
        <v>41</v>
      </c>
      <c r="K2043" t="s">
        <v>50</v>
      </c>
      <c r="L2043">
        <v>7</v>
      </c>
      <c r="M2043">
        <v>0.51</v>
      </c>
      <c r="N2043" t="s">
        <v>20</v>
      </c>
    </row>
    <row r="2044" spans="1:14" x14ac:dyDescent="0.25">
      <c r="A2044">
        <v>2043</v>
      </c>
      <c r="B2044" t="s">
        <v>43</v>
      </c>
      <c r="C2044">
        <v>2019</v>
      </c>
      <c r="D2044">
        <v>5.9</v>
      </c>
      <c r="E2044" t="s">
        <v>27</v>
      </c>
      <c r="F2044">
        <v>170881</v>
      </c>
      <c r="G2044" t="s">
        <v>22</v>
      </c>
      <c r="H2044">
        <v>85817.24</v>
      </c>
      <c r="I2044" t="s">
        <v>49</v>
      </c>
      <c r="J2044" t="s">
        <v>18</v>
      </c>
      <c r="K2044" t="s">
        <v>26</v>
      </c>
      <c r="L2044">
        <v>7</v>
      </c>
      <c r="M2044">
        <v>0.5</v>
      </c>
      <c r="N2044" t="s">
        <v>20</v>
      </c>
    </row>
    <row r="2045" spans="1:14" x14ac:dyDescent="0.25">
      <c r="A2045">
        <v>2044</v>
      </c>
      <c r="B2045" t="s">
        <v>14</v>
      </c>
      <c r="C2045">
        <v>2008</v>
      </c>
      <c r="D2045">
        <v>5.3</v>
      </c>
      <c r="E2045" t="s">
        <v>15</v>
      </c>
      <c r="F2045">
        <v>185399</v>
      </c>
      <c r="G2045" t="s">
        <v>30</v>
      </c>
      <c r="H2045">
        <v>71775.429999999993</v>
      </c>
      <c r="I2045" t="s">
        <v>28</v>
      </c>
      <c r="J2045" t="s">
        <v>18</v>
      </c>
      <c r="K2045" t="s">
        <v>26</v>
      </c>
      <c r="L2045">
        <v>18</v>
      </c>
      <c r="M2045">
        <v>0.39</v>
      </c>
      <c r="N2045" t="s">
        <v>20</v>
      </c>
    </row>
    <row r="2046" spans="1:14" x14ac:dyDescent="0.25">
      <c r="A2046">
        <v>2045</v>
      </c>
      <c r="B2046" t="s">
        <v>14</v>
      </c>
      <c r="C2046">
        <v>2010</v>
      </c>
      <c r="D2046">
        <v>4</v>
      </c>
      <c r="E2046" t="s">
        <v>27</v>
      </c>
      <c r="F2046">
        <v>124494</v>
      </c>
      <c r="G2046" t="s">
        <v>22</v>
      </c>
      <c r="H2046">
        <v>13240.61</v>
      </c>
      <c r="I2046" t="s">
        <v>58</v>
      </c>
      <c r="J2046" t="s">
        <v>18</v>
      </c>
      <c r="K2046" t="s">
        <v>19</v>
      </c>
      <c r="L2046">
        <v>16</v>
      </c>
      <c r="M2046">
        <v>0.11</v>
      </c>
      <c r="N2046" t="s">
        <v>20</v>
      </c>
    </row>
    <row r="2047" spans="1:14" x14ac:dyDescent="0.25">
      <c r="A2047">
        <v>2046</v>
      </c>
      <c r="B2047" t="s">
        <v>36</v>
      </c>
      <c r="C2047">
        <v>2023</v>
      </c>
      <c r="D2047">
        <v>4.5</v>
      </c>
      <c r="E2047" t="s">
        <v>15</v>
      </c>
      <c r="F2047">
        <v>115814</v>
      </c>
      <c r="G2047" t="s">
        <v>30</v>
      </c>
      <c r="H2047">
        <v>16119.24</v>
      </c>
      <c r="I2047" t="s">
        <v>37</v>
      </c>
      <c r="J2047" t="s">
        <v>32</v>
      </c>
      <c r="K2047" t="s">
        <v>19</v>
      </c>
      <c r="L2047">
        <v>3</v>
      </c>
      <c r="M2047">
        <v>0.14000000000000001</v>
      </c>
      <c r="N2047" t="s">
        <v>33</v>
      </c>
    </row>
    <row r="2048" spans="1:14" x14ac:dyDescent="0.25">
      <c r="A2048">
        <v>2047</v>
      </c>
      <c r="B2048" t="s">
        <v>21</v>
      </c>
      <c r="C2048">
        <v>2021</v>
      </c>
      <c r="D2048">
        <v>2.4</v>
      </c>
      <c r="E2048" t="s">
        <v>27</v>
      </c>
      <c r="F2048">
        <v>250139</v>
      </c>
      <c r="G2048" t="s">
        <v>16</v>
      </c>
      <c r="H2048">
        <v>72943.23</v>
      </c>
      <c r="I2048" t="s">
        <v>42</v>
      </c>
      <c r="J2048" t="s">
        <v>46</v>
      </c>
      <c r="K2048" t="s">
        <v>26</v>
      </c>
      <c r="L2048">
        <v>5</v>
      </c>
      <c r="M2048">
        <v>0.28999999999999998</v>
      </c>
      <c r="N2048" t="s">
        <v>20</v>
      </c>
    </row>
    <row r="2049" spans="1:14" x14ac:dyDescent="0.25">
      <c r="A2049">
        <v>2048</v>
      </c>
      <c r="B2049" t="s">
        <v>36</v>
      </c>
      <c r="C2049">
        <v>2000</v>
      </c>
      <c r="D2049">
        <v>4.2</v>
      </c>
      <c r="E2049" t="s">
        <v>15</v>
      </c>
      <c r="F2049">
        <v>141929</v>
      </c>
      <c r="G2049" t="s">
        <v>30</v>
      </c>
      <c r="H2049">
        <v>12104.41</v>
      </c>
      <c r="I2049" t="s">
        <v>51</v>
      </c>
      <c r="J2049" t="s">
        <v>18</v>
      </c>
      <c r="K2049" t="s">
        <v>19</v>
      </c>
      <c r="L2049">
        <v>26</v>
      </c>
      <c r="M2049">
        <v>0.09</v>
      </c>
      <c r="N2049" t="s">
        <v>33</v>
      </c>
    </row>
    <row r="2050" spans="1:14" x14ac:dyDescent="0.25">
      <c r="A2050">
        <v>2049</v>
      </c>
      <c r="B2050" t="s">
        <v>43</v>
      </c>
      <c r="C2050">
        <v>2017</v>
      </c>
      <c r="D2050">
        <v>3.3</v>
      </c>
      <c r="E2050" t="s">
        <v>15</v>
      </c>
      <c r="F2050">
        <v>173333</v>
      </c>
      <c r="G2050" t="s">
        <v>16</v>
      </c>
      <c r="H2050">
        <v>92131.67</v>
      </c>
      <c r="I2050" t="s">
        <v>49</v>
      </c>
      <c r="J2050" t="s">
        <v>18</v>
      </c>
      <c r="K2050" t="s">
        <v>26</v>
      </c>
      <c r="L2050">
        <v>9</v>
      </c>
      <c r="M2050">
        <v>0.53</v>
      </c>
      <c r="N2050" t="s">
        <v>20</v>
      </c>
    </row>
    <row r="2051" spans="1:14" x14ac:dyDescent="0.25">
      <c r="A2051">
        <v>2050</v>
      </c>
      <c r="B2051" t="s">
        <v>24</v>
      </c>
      <c r="C2051">
        <v>2005</v>
      </c>
      <c r="D2051">
        <v>3.4</v>
      </c>
      <c r="E2051" t="s">
        <v>15</v>
      </c>
      <c r="F2051">
        <v>246509</v>
      </c>
      <c r="G2051" t="s">
        <v>30</v>
      </c>
      <c r="H2051">
        <v>75446.31</v>
      </c>
      <c r="I2051" t="s">
        <v>35</v>
      </c>
      <c r="J2051" t="s">
        <v>18</v>
      </c>
      <c r="K2051" t="s">
        <v>26</v>
      </c>
      <c r="L2051">
        <v>21</v>
      </c>
      <c r="M2051">
        <v>0.31</v>
      </c>
      <c r="N2051" t="s">
        <v>20</v>
      </c>
    </row>
    <row r="2052" spans="1:14" x14ac:dyDescent="0.25">
      <c r="A2052">
        <v>2051</v>
      </c>
      <c r="B2052" t="s">
        <v>24</v>
      </c>
      <c r="C2052">
        <v>2001</v>
      </c>
      <c r="D2052">
        <v>4.8</v>
      </c>
      <c r="E2052" t="s">
        <v>27</v>
      </c>
      <c r="F2052">
        <v>13580</v>
      </c>
      <c r="G2052" t="s">
        <v>30</v>
      </c>
      <c r="H2052">
        <v>36871.760000000002</v>
      </c>
      <c r="I2052" t="s">
        <v>45</v>
      </c>
      <c r="J2052" t="s">
        <v>18</v>
      </c>
      <c r="K2052" t="s">
        <v>50</v>
      </c>
      <c r="L2052">
        <v>25</v>
      </c>
      <c r="M2052">
        <v>2.72</v>
      </c>
      <c r="N2052" t="s">
        <v>20</v>
      </c>
    </row>
    <row r="2053" spans="1:14" x14ac:dyDescent="0.25">
      <c r="A2053">
        <v>2052</v>
      </c>
      <c r="B2053" t="s">
        <v>21</v>
      </c>
      <c r="C2053">
        <v>2014</v>
      </c>
      <c r="D2053">
        <v>2.4</v>
      </c>
      <c r="E2053" t="s">
        <v>27</v>
      </c>
      <c r="F2053">
        <v>18240</v>
      </c>
      <c r="G2053" t="s">
        <v>22</v>
      </c>
      <c r="H2053">
        <v>39479.18</v>
      </c>
      <c r="I2053" t="s">
        <v>42</v>
      </c>
      <c r="J2053" t="s">
        <v>41</v>
      </c>
      <c r="K2053" t="s">
        <v>50</v>
      </c>
      <c r="L2053">
        <v>12</v>
      </c>
      <c r="M2053">
        <v>2.16</v>
      </c>
      <c r="N2053" t="s">
        <v>20</v>
      </c>
    </row>
    <row r="2054" spans="1:14" x14ac:dyDescent="0.25">
      <c r="A2054">
        <v>2053</v>
      </c>
      <c r="B2054" t="s">
        <v>14</v>
      </c>
      <c r="C2054">
        <v>2020</v>
      </c>
      <c r="D2054">
        <v>2.6</v>
      </c>
      <c r="E2054" t="s">
        <v>15</v>
      </c>
      <c r="F2054">
        <v>254351</v>
      </c>
      <c r="G2054" t="s">
        <v>30</v>
      </c>
      <c r="H2054">
        <v>53117.13</v>
      </c>
      <c r="I2054" t="s">
        <v>39</v>
      </c>
      <c r="J2054" t="s">
        <v>18</v>
      </c>
      <c r="K2054" t="s">
        <v>26</v>
      </c>
      <c r="L2054">
        <v>6</v>
      </c>
      <c r="M2054">
        <v>0.21</v>
      </c>
      <c r="N2054" t="s">
        <v>20</v>
      </c>
    </row>
    <row r="2055" spans="1:14" x14ac:dyDescent="0.25">
      <c r="A2055">
        <v>2054</v>
      </c>
      <c r="B2055" t="s">
        <v>36</v>
      </c>
      <c r="C2055">
        <v>2013</v>
      </c>
      <c r="D2055">
        <v>5.6</v>
      </c>
      <c r="E2055" t="s">
        <v>15</v>
      </c>
      <c r="F2055">
        <v>254271</v>
      </c>
      <c r="G2055" t="s">
        <v>16</v>
      </c>
      <c r="H2055">
        <v>39292.089999999997</v>
      </c>
      <c r="I2055" t="s">
        <v>37</v>
      </c>
      <c r="J2055" t="s">
        <v>18</v>
      </c>
      <c r="K2055" t="s">
        <v>26</v>
      </c>
      <c r="L2055">
        <v>13</v>
      </c>
      <c r="M2055">
        <v>0.15</v>
      </c>
      <c r="N2055" t="s">
        <v>33</v>
      </c>
    </row>
    <row r="2056" spans="1:14" x14ac:dyDescent="0.25">
      <c r="A2056">
        <v>2055</v>
      </c>
      <c r="B2056" t="s">
        <v>24</v>
      </c>
      <c r="C2056">
        <v>2004</v>
      </c>
      <c r="D2056">
        <v>1.3</v>
      </c>
      <c r="E2056" t="s">
        <v>27</v>
      </c>
      <c r="F2056">
        <v>80974</v>
      </c>
      <c r="G2056" t="s">
        <v>30</v>
      </c>
      <c r="H2056">
        <v>79429.509999999995</v>
      </c>
      <c r="I2056" t="s">
        <v>34</v>
      </c>
      <c r="J2056" t="s">
        <v>46</v>
      </c>
      <c r="K2056" t="s">
        <v>19</v>
      </c>
      <c r="L2056">
        <v>22</v>
      </c>
      <c r="M2056">
        <v>0.98</v>
      </c>
      <c r="N2056" t="s">
        <v>20</v>
      </c>
    </row>
    <row r="2057" spans="1:14" x14ac:dyDescent="0.25">
      <c r="A2057">
        <v>2056</v>
      </c>
      <c r="B2057" t="s">
        <v>43</v>
      </c>
      <c r="C2057">
        <v>2005</v>
      </c>
      <c r="D2057">
        <v>3.4</v>
      </c>
      <c r="E2057" t="s">
        <v>27</v>
      </c>
      <c r="F2057">
        <v>73401</v>
      </c>
      <c r="G2057" t="s">
        <v>16</v>
      </c>
      <c r="H2057">
        <v>97600.01</v>
      </c>
      <c r="I2057" t="s">
        <v>48</v>
      </c>
      <c r="J2057" t="s">
        <v>18</v>
      </c>
      <c r="K2057" t="s">
        <v>19</v>
      </c>
      <c r="L2057">
        <v>21</v>
      </c>
      <c r="M2057">
        <v>1.33</v>
      </c>
      <c r="N2057" t="s">
        <v>20</v>
      </c>
    </row>
    <row r="2058" spans="1:14" x14ac:dyDescent="0.25">
      <c r="A2058">
        <v>2057</v>
      </c>
      <c r="B2058" t="s">
        <v>29</v>
      </c>
      <c r="C2058">
        <v>2005</v>
      </c>
      <c r="D2058">
        <v>5.6</v>
      </c>
      <c r="E2058" t="s">
        <v>15</v>
      </c>
      <c r="F2058">
        <v>213165</v>
      </c>
      <c r="G2058" t="s">
        <v>16</v>
      </c>
      <c r="H2058">
        <v>60529.54</v>
      </c>
      <c r="I2058" t="s">
        <v>38</v>
      </c>
      <c r="J2058" t="s">
        <v>32</v>
      </c>
      <c r="K2058" t="s">
        <v>26</v>
      </c>
      <c r="L2058">
        <v>21</v>
      </c>
      <c r="M2058">
        <v>0.28000000000000003</v>
      </c>
      <c r="N2058" t="s">
        <v>33</v>
      </c>
    </row>
    <row r="2059" spans="1:14" x14ac:dyDescent="0.25">
      <c r="A2059">
        <v>2058</v>
      </c>
      <c r="B2059" t="s">
        <v>52</v>
      </c>
      <c r="C2059">
        <v>2021</v>
      </c>
      <c r="D2059">
        <v>4.0999999999999996</v>
      </c>
      <c r="E2059" t="s">
        <v>27</v>
      </c>
      <c r="F2059">
        <v>164340</v>
      </c>
      <c r="G2059" t="s">
        <v>30</v>
      </c>
      <c r="H2059">
        <v>47373.55</v>
      </c>
      <c r="I2059" t="s">
        <v>61</v>
      </c>
      <c r="J2059" t="s">
        <v>46</v>
      </c>
      <c r="K2059" t="s">
        <v>26</v>
      </c>
      <c r="L2059">
        <v>5</v>
      </c>
      <c r="M2059">
        <v>0.28999999999999998</v>
      </c>
      <c r="N2059" t="s">
        <v>33</v>
      </c>
    </row>
    <row r="2060" spans="1:14" x14ac:dyDescent="0.25">
      <c r="A2060">
        <v>2059</v>
      </c>
      <c r="B2060" t="s">
        <v>52</v>
      </c>
      <c r="C2060">
        <v>2017</v>
      </c>
      <c r="D2060">
        <v>3.7</v>
      </c>
      <c r="E2060" t="s">
        <v>27</v>
      </c>
      <c r="F2060">
        <v>265790</v>
      </c>
      <c r="G2060" t="s">
        <v>22</v>
      </c>
      <c r="H2060">
        <v>26163.54</v>
      </c>
      <c r="I2060" t="s">
        <v>59</v>
      </c>
      <c r="J2060" t="s">
        <v>46</v>
      </c>
      <c r="K2060" t="s">
        <v>26</v>
      </c>
      <c r="L2060">
        <v>9</v>
      </c>
      <c r="M2060">
        <v>0.1</v>
      </c>
      <c r="N2060" t="s">
        <v>33</v>
      </c>
    </row>
    <row r="2061" spans="1:14" x14ac:dyDescent="0.25">
      <c r="A2061">
        <v>2060</v>
      </c>
      <c r="B2061" t="s">
        <v>52</v>
      </c>
      <c r="C2061">
        <v>2013</v>
      </c>
      <c r="D2061">
        <v>2.2000000000000002</v>
      </c>
      <c r="E2061" t="s">
        <v>27</v>
      </c>
      <c r="F2061">
        <v>186443</v>
      </c>
      <c r="G2061" t="s">
        <v>30</v>
      </c>
      <c r="H2061">
        <v>67076.17</v>
      </c>
      <c r="I2061" t="s">
        <v>61</v>
      </c>
      <c r="J2061" t="s">
        <v>46</v>
      </c>
      <c r="K2061" t="s">
        <v>26</v>
      </c>
      <c r="L2061">
        <v>13</v>
      </c>
      <c r="M2061">
        <v>0.36</v>
      </c>
      <c r="N2061" t="s">
        <v>33</v>
      </c>
    </row>
    <row r="2062" spans="1:14" x14ac:dyDescent="0.25">
      <c r="A2062">
        <v>2061</v>
      </c>
      <c r="B2062" t="s">
        <v>14</v>
      </c>
      <c r="C2062">
        <v>2009</v>
      </c>
      <c r="D2062">
        <v>2.7</v>
      </c>
      <c r="E2062" t="s">
        <v>15</v>
      </c>
      <c r="F2062">
        <v>248123</v>
      </c>
      <c r="G2062" t="s">
        <v>30</v>
      </c>
      <c r="H2062">
        <v>70129.8</v>
      </c>
      <c r="I2062" t="s">
        <v>17</v>
      </c>
      <c r="J2062" t="s">
        <v>18</v>
      </c>
      <c r="K2062" t="s">
        <v>26</v>
      </c>
      <c r="L2062">
        <v>17</v>
      </c>
      <c r="M2062">
        <v>0.28000000000000003</v>
      </c>
      <c r="N2062" t="s">
        <v>20</v>
      </c>
    </row>
    <row r="2063" spans="1:14" x14ac:dyDescent="0.25">
      <c r="A2063">
        <v>2062</v>
      </c>
      <c r="B2063" t="s">
        <v>36</v>
      </c>
      <c r="C2063">
        <v>2013</v>
      </c>
      <c r="D2063">
        <v>5.3</v>
      </c>
      <c r="E2063" t="s">
        <v>15</v>
      </c>
      <c r="F2063">
        <v>89460</v>
      </c>
      <c r="G2063" t="s">
        <v>22</v>
      </c>
      <c r="H2063">
        <v>70093.11</v>
      </c>
      <c r="I2063" t="s">
        <v>57</v>
      </c>
      <c r="J2063" t="s">
        <v>18</v>
      </c>
      <c r="K2063" t="s">
        <v>19</v>
      </c>
      <c r="L2063">
        <v>13</v>
      </c>
      <c r="M2063">
        <v>0.78</v>
      </c>
      <c r="N2063" t="s">
        <v>33</v>
      </c>
    </row>
    <row r="2064" spans="1:14" x14ac:dyDescent="0.25">
      <c r="A2064">
        <v>2063</v>
      </c>
      <c r="B2064" t="s">
        <v>21</v>
      </c>
      <c r="C2064">
        <v>2012</v>
      </c>
      <c r="D2064">
        <v>3.8</v>
      </c>
      <c r="E2064" t="s">
        <v>27</v>
      </c>
      <c r="F2064">
        <v>51048</v>
      </c>
      <c r="G2064" t="s">
        <v>16</v>
      </c>
      <c r="H2064">
        <v>7563.58</v>
      </c>
      <c r="I2064" t="s">
        <v>23</v>
      </c>
      <c r="J2064" t="s">
        <v>41</v>
      </c>
      <c r="K2064" t="s">
        <v>19</v>
      </c>
      <c r="L2064">
        <v>14</v>
      </c>
      <c r="M2064">
        <v>0.15</v>
      </c>
      <c r="N2064" t="s">
        <v>20</v>
      </c>
    </row>
    <row r="2065" spans="1:14" x14ac:dyDescent="0.25">
      <c r="A2065">
        <v>2064</v>
      </c>
      <c r="B2065" t="s">
        <v>24</v>
      </c>
      <c r="C2065">
        <v>2002</v>
      </c>
      <c r="D2065">
        <v>3.6</v>
      </c>
      <c r="E2065" t="s">
        <v>15</v>
      </c>
      <c r="F2065">
        <v>206518</v>
      </c>
      <c r="G2065" t="s">
        <v>30</v>
      </c>
      <c r="H2065">
        <v>90416.6</v>
      </c>
      <c r="I2065" t="s">
        <v>45</v>
      </c>
      <c r="J2065" t="s">
        <v>46</v>
      </c>
      <c r="K2065" t="s">
        <v>26</v>
      </c>
      <c r="L2065">
        <v>24</v>
      </c>
      <c r="M2065">
        <v>0.44</v>
      </c>
      <c r="N2065" t="s">
        <v>20</v>
      </c>
    </row>
    <row r="2066" spans="1:14" x14ac:dyDescent="0.25">
      <c r="A2066">
        <v>2065</v>
      </c>
      <c r="B2066" t="s">
        <v>29</v>
      </c>
      <c r="C2066">
        <v>2005</v>
      </c>
      <c r="D2066">
        <v>1.5</v>
      </c>
      <c r="E2066" t="s">
        <v>27</v>
      </c>
      <c r="F2066">
        <v>132850</v>
      </c>
      <c r="G2066" t="s">
        <v>22</v>
      </c>
      <c r="H2066">
        <v>37120.120000000003</v>
      </c>
      <c r="I2066" t="s">
        <v>62</v>
      </c>
      <c r="J2066" t="s">
        <v>41</v>
      </c>
      <c r="K2066" t="s">
        <v>19</v>
      </c>
      <c r="L2066">
        <v>21</v>
      </c>
      <c r="M2066">
        <v>0.28000000000000003</v>
      </c>
      <c r="N2066" t="s">
        <v>33</v>
      </c>
    </row>
    <row r="2067" spans="1:14" x14ac:dyDescent="0.25">
      <c r="A2067">
        <v>2066</v>
      </c>
      <c r="B2067" t="s">
        <v>43</v>
      </c>
      <c r="C2067">
        <v>2007</v>
      </c>
      <c r="D2067">
        <v>1.1000000000000001</v>
      </c>
      <c r="E2067" t="s">
        <v>27</v>
      </c>
      <c r="F2067">
        <v>211912</v>
      </c>
      <c r="G2067" t="s">
        <v>22</v>
      </c>
      <c r="H2067">
        <v>75695.75</v>
      </c>
      <c r="I2067" t="s">
        <v>44</v>
      </c>
      <c r="J2067" t="s">
        <v>41</v>
      </c>
      <c r="K2067" t="s">
        <v>26</v>
      </c>
      <c r="L2067">
        <v>19</v>
      </c>
      <c r="M2067">
        <v>0.36</v>
      </c>
      <c r="N2067" t="s">
        <v>20</v>
      </c>
    </row>
    <row r="2068" spans="1:14" x14ac:dyDescent="0.25">
      <c r="A2068">
        <v>2067</v>
      </c>
      <c r="B2068" t="s">
        <v>29</v>
      </c>
      <c r="C2068">
        <v>2011</v>
      </c>
      <c r="D2068">
        <v>5.8</v>
      </c>
      <c r="E2068" t="s">
        <v>15</v>
      </c>
      <c r="F2068">
        <v>266891</v>
      </c>
      <c r="G2068" t="s">
        <v>16</v>
      </c>
      <c r="H2068">
        <v>77181.66</v>
      </c>
      <c r="I2068" t="s">
        <v>62</v>
      </c>
      <c r="J2068" t="s">
        <v>41</v>
      </c>
      <c r="K2068" t="s">
        <v>26</v>
      </c>
      <c r="L2068">
        <v>15</v>
      </c>
      <c r="M2068">
        <v>0.28999999999999998</v>
      </c>
      <c r="N2068" t="s">
        <v>33</v>
      </c>
    </row>
    <row r="2069" spans="1:14" x14ac:dyDescent="0.25">
      <c r="A2069">
        <v>2068</v>
      </c>
      <c r="B2069" t="s">
        <v>43</v>
      </c>
      <c r="C2069">
        <v>2012</v>
      </c>
      <c r="D2069">
        <v>2.9</v>
      </c>
      <c r="E2069" t="s">
        <v>15</v>
      </c>
      <c r="F2069">
        <v>45</v>
      </c>
      <c r="G2069" t="s">
        <v>22</v>
      </c>
      <c r="H2069">
        <v>66802.720000000001</v>
      </c>
      <c r="I2069" t="s">
        <v>49</v>
      </c>
      <c r="J2069" t="s">
        <v>18</v>
      </c>
      <c r="K2069" t="s">
        <v>50</v>
      </c>
      <c r="L2069">
        <v>14</v>
      </c>
      <c r="M2069">
        <v>1484.5</v>
      </c>
      <c r="N2069" t="s">
        <v>20</v>
      </c>
    </row>
    <row r="2070" spans="1:14" x14ac:dyDescent="0.25">
      <c r="A2070">
        <v>2069</v>
      </c>
      <c r="B2070" t="s">
        <v>14</v>
      </c>
      <c r="C2070">
        <v>2010</v>
      </c>
      <c r="D2070">
        <v>4</v>
      </c>
      <c r="E2070" t="s">
        <v>15</v>
      </c>
      <c r="F2070">
        <v>7758</v>
      </c>
      <c r="G2070" t="s">
        <v>16</v>
      </c>
      <c r="H2070">
        <v>42512.32</v>
      </c>
      <c r="I2070" t="s">
        <v>58</v>
      </c>
      <c r="J2070" t="s">
        <v>18</v>
      </c>
      <c r="K2070" t="s">
        <v>50</v>
      </c>
      <c r="L2070">
        <v>16</v>
      </c>
      <c r="M2070">
        <v>5.48</v>
      </c>
      <c r="N2070" t="s">
        <v>20</v>
      </c>
    </row>
    <row r="2071" spans="1:14" x14ac:dyDescent="0.25">
      <c r="A2071">
        <v>2070</v>
      </c>
      <c r="B2071" t="s">
        <v>36</v>
      </c>
      <c r="C2071">
        <v>2011</v>
      </c>
      <c r="D2071">
        <v>1.4</v>
      </c>
      <c r="E2071" t="s">
        <v>27</v>
      </c>
      <c r="F2071">
        <v>255397</v>
      </c>
      <c r="G2071" t="s">
        <v>30</v>
      </c>
      <c r="H2071">
        <v>62796.5</v>
      </c>
      <c r="I2071" t="s">
        <v>57</v>
      </c>
      <c r="J2071" t="s">
        <v>46</v>
      </c>
      <c r="K2071" t="s">
        <v>26</v>
      </c>
      <c r="L2071">
        <v>15</v>
      </c>
      <c r="M2071">
        <v>0.25</v>
      </c>
      <c r="N2071" t="s">
        <v>33</v>
      </c>
    </row>
    <row r="2072" spans="1:14" x14ac:dyDescent="0.25">
      <c r="A2072">
        <v>2071</v>
      </c>
      <c r="B2072" t="s">
        <v>52</v>
      </c>
      <c r="C2072">
        <v>2000</v>
      </c>
      <c r="D2072">
        <v>4.4000000000000004</v>
      </c>
      <c r="E2072" t="s">
        <v>27</v>
      </c>
      <c r="F2072">
        <v>154509</v>
      </c>
      <c r="G2072" t="s">
        <v>22</v>
      </c>
      <c r="H2072">
        <v>8818.8799999999992</v>
      </c>
      <c r="I2072" t="s">
        <v>56</v>
      </c>
      <c r="J2072" t="s">
        <v>18</v>
      </c>
      <c r="K2072" t="s">
        <v>26</v>
      </c>
      <c r="L2072">
        <v>26</v>
      </c>
      <c r="M2072">
        <v>0.06</v>
      </c>
      <c r="N2072" t="s">
        <v>33</v>
      </c>
    </row>
    <row r="2073" spans="1:14" x14ac:dyDescent="0.25">
      <c r="A2073">
        <v>2072</v>
      </c>
      <c r="B2073" t="s">
        <v>36</v>
      </c>
      <c r="C2073">
        <v>2016</v>
      </c>
      <c r="D2073">
        <v>5.7</v>
      </c>
      <c r="E2073" t="s">
        <v>15</v>
      </c>
      <c r="F2073">
        <v>150657</v>
      </c>
      <c r="G2073" t="s">
        <v>30</v>
      </c>
      <c r="H2073">
        <v>77380.100000000006</v>
      </c>
      <c r="I2073" t="s">
        <v>57</v>
      </c>
      <c r="J2073" t="s">
        <v>41</v>
      </c>
      <c r="K2073" t="s">
        <v>26</v>
      </c>
      <c r="L2073">
        <v>10</v>
      </c>
      <c r="M2073">
        <v>0.51</v>
      </c>
      <c r="N2073" t="s">
        <v>33</v>
      </c>
    </row>
    <row r="2074" spans="1:14" x14ac:dyDescent="0.25">
      <c r="A2074">
        <v>2073</v>
      </c>
      <c r="B2074" t="s">
        <v>14</v>
      </c>
      <c r="C2074">
        <v>2015</v>
      </c>
      <c r="D2074">
        <v>3.9</v>
      </c>
      <c r="E2074" t="s">
        <v>15</v>
      </c>
      <c r="F2074">
        <v>140926</v>
      </c>
      <c r="G2074" t="s">
        <v>22</v>
      </c>
      <c r="H2074">
        <v>14460.92</v>
      </c>
      <c r="I2074" t="s">
        <v>39</v>
      </c>
      <c r="J2074" t="s">
        <v>18</v>
      </c>
      <c r="K2074" t="s">
        <v>19</v>
      </c>
      <c r="L2074">
        <v>11</v>
      </c>
      <c r="M2074">
        <v>0.1</v>
      </c>
      <c r="N2074" t="s">
        <v>20</v>
      </c>
    </row>
    <row r="2075" spans="1:14" x14ac:dyDescent="0.25">
      <c r="A2075">
        <v>2074</v>
      </c>
      <c r="B2075" t="s">
        <v>21</v>
      </c>
      <c r="C2075">
        <v>2010</v>
      </c>
      <c r="D2075">
        <v>1.6</v>
      </c>
      <c r="E2075" t="s">
        <v>15</v>
      </c>
      <c r="F2075">
        <v>183148</v>
      </c>
      <c r="G2075" t="s">
        <v>22</v>
      </c>
      <c r="H2075">
        <v>42691.34</v>
      </c>
      <c r="I2075" t="s">
        <v>23</v>
      </c>
      <c r="J2075" t="s">
        <v>32</v>
      </c>
      <c r="K2075" t="s">
        <v>26</v>
      </c>
      <c r="L2075">
        <v>16</v>
      </c>
      <c r="M2075">
        <v>0.23</v>
      </c>
      <c r="N2075" t="s">
        <v>20</v>
      </c>
    </row>
    <row r="2076" spans="1:14" x14ac:dyDescent="0.25">
      <c r="A2076">
        <v>2075</v>
      </c>
      <c r="B2076" t="s">
        <v>21</v>
      </c>
      <c r="C2076">
        <v>2012</v>
      </c>
      <c r="D2076">
        <v>3.9</v>
      </c>
      <c r="E2076" t="s">
        <v>27</v>
      </c>
      <c r="F2076">
        <v>148421</v>
      </c>
      <c r="G2076" t="s">
        <v>30</v>
      </c>
      <c r="H2076">
        <v>14843.78</v>
      </c>
      <c r="I2076" t="s">
        <v>60</v>
      </c>
      <c r="J2076" t="s">
        <v>32</v>
      </c>
      <c r="K2076" t="s">
        <v>19</v>
      </c>
      <c r="L2076">
        <v>14</v>
      </c>
      <c r="M2076">
        <v>0.1</v>
      </c>
      <c r="N2076" t="s">
        <v>20</v>
      </c>
    </row>
    <row r="2077" spans="1:14" x14ac:dyDescent="0.25">
      <c r="A2077">
        <v>2076</v>
      </c>
      <c r="B2077" t="s">
        <v>14</v>
      </c>
      <c r="C2077">
        <v>2017</v>
      </c>
      <c r="D2077">
        <v>4.8</v>
      </c>
      <c r="E2077" t="s">
        <v>27</v>
      </c>
      <c r="F2077">
        <v>227300</v>
      </c>
      <c r="G2077" t="s">
        <v>22</v>
      </c>
      <c r="H2077">
        <v>84522.07</v>
      </c>
      <c r="I2077" t="s">
        <v>39</v>
      </c>
      <c r="J2077" t="s">
        <v>18</v>
      </c>
      <c r="K2077" t="s">
        <v>26</v>
      </c>
      <c r="L2077">
        <v>9</v>
      </c>
      <c r="M2077">
        <v>0.37</v>
      </c>
      <c r="N2077" t="s">
        <v>20</v>
      </c>
    </row>
    <row r="2078" spans="1:14" x14ac:dyDescent="0.25">
      <c r="A2078">
        <v>2077</v>
      </c>
      <c r="B2078" t="s">
        <v>43</v>
      </c>
      <c r="C2078">
        <v>2010</v>
      </c>
      <c r="D2078">
        <v>3</v>
      </c>
      <c r="E2078" t="s">
        <v>27</v>
      </c>
      <c r="F2078">
        <v>152420</v>
      </c>
      <c r="G2078" t="s">
        <v>30</v>
      </c>
      <c r="H2078">
        <v>57278.73</v>
      </c>
      <c r="I2078" t="s">
        <v>49</v>
      </c>
      <c r="J2078" t="s">
        <v>18</v>
      </c>
      <c r="K2078" t="s">
        <v>26</v>
      </c>
      <c r="L2078">
        <v>16</v>
      </c>
      <c r="M2078">
        <v>0.38</v>
      </c>
      <c r="N2078" t="s">
        <v>20</v>
      </c>
    </row>
    <row r="2079" spans="1:14" x14ac:dyDescent="0.25">
      <c r="A2079">
        <v>2078</v>
      </c>
      <c r="B2079" t="s">
        <v>24</v>
      </c>
      <c r="C2079">
        <v>2011</v>
      </c>
      <c r="D2079">
        <v>5.4</v>
      </c>
      <c r="E2079" t="s">
        <v>15</v>
      </c>
      <c r="F2079">
        <v>165368</v>
      </c>
      <c r="G2079" t="s">
        <v>30</v>
      </c>
      <c r="H2079">
        <v>70640.740000000005</v>
      </c>
      <c r="I2079" t="s">
        <v>25</v>
      </c>
      <c r="J2079" t="s">
        <v>46</v>
      </c>
      <c r="K2079" t="s">
        <v>26</v>
      </c>
      <c r="L2079">
        <v>15</v>
      </c>
      <c r="M2079">
        <v>0.43</v>
      </c>
      <c r="N2079" t="s">
        <v>20</v>
      </c>
    </row>
    <row r="2080" spans="1:14" x14ac:dyDescent="0.25">
      <c r="A2080">
        <v>2079</v>
      </c>
      <c r="B2080" t="s">
        <v>24</v>
      </c>
      <c r="C2080">
        <v>2005</v>
      </c>
      <c r="D2080">
        <v>4.2</v>
      </c>
      <c r="E2080" t="s">
        <v>15</v>
      </c>
      <c r="F2080">
        <v>19455</v>
      </c>
      <c r="G2080" t="s">
        <v>16</v>
      </c>
      <c r="H2080">
        <v>69845.31</v>
      </c>
      <c r="I2080" t="s">
        <v>35</v>
      </c>
      <c r="J2080" t="s">
        <v>32</v>
      </c>
      <c r="K2080" t="s">
        <v>50</v>
      </c>
      <c r="L2080">
        <v>21</v>
      </c>
      <c r="M2080">
        <v>3.59</v>
      </c>
      <c r="N2080" t="s">
        <v>20</v>
      </c>
    </row>
    <row r="2081" spans="1:14" x14ac:dyDescent="0.25">
      <c r="A2081">
        <v>2080</v>
      </c>
      <c r="B2081" t="s">
        <v>43</v>
      </c>
      <c r="C2081">
        <v>2008</v>
      </c>
      <c r="D2081">
        <v>5.5</v>
      </c>
      <c r="E2081" t="s">
        <v>27</v>
      </c>
      <c r="F2081">
        <v>209896</v>
      </c>
      <c r="G2081" t="s">
        <v>30</v>
      </c>
      <c r="H2081">
        <v>84952.59</v>
      </c>
      <c r="I2081" t="s">
        <v>48</v>
      </c>
      <c r="J2081" t="s">
        <v>46</v>
      </c>
      <c r="K2081" t="s">
        <v>26</v>
      </c>
      <c r="L2081">
        <v>18</v>
      </c>
      <c r="M2081">
        <v>0.4</v>
      </c>
      <c r="N2081" t="s">
        <v>20</v>
      </c>
    </row>
    <row r="2082" spans="1:14" x14ac:dyDescent="0.25">
      <c r="A2082">
        <v>2081</v>
      </c>
      <c r="B2082" t="s">
        <v>21</v>
      </c>
      <c r="C2082">
        <v>2015</v>
      </c>
      <c r="D2082">
        <v>4.0999999999999996</v>
      </c>
      <c r="E2082" t="s">
        <v>15</v>
      </c>
      <c r="F2082">
        <v>231897</v>
      </c>
      <c r="G2082" t="s">
        <v>16</v>
      </c>
      <c r="H2082">
        <v>17594.09</v>
      </c>
      <c r="I2082" t="s">
        <v>60</v>
      </c>
      <c r="J2082" t="s">
        <v>46</v>
      </c>
      <c r="K2082" t="s">
        <v>26</v>
      </c>
      <c r="L2082">
        <v>11</v>
      </c>
      <c r="M2082">
        <v>0.08</v>
      </c>
      <c r="N2082" t="s">
        <v>20</v>
      </c>
    </row>
    <row r="2083" spans="1:14" x14ac:dyDescent="0.25">
      <c r="A2083">
        <v>2082</v>
      </c>
      <c r="B2083" t="s">
        <v>21</v>
      </c>
      <c r="C2083">
        <v>2003</v>
      </c>
      <c r="D2083">
        <v>1.7</v>
      </c>
      <c r="E2083" t="s">
        <v>15</v>
      </c>
      <c r="F2083">
        <v>88552</v>
      </c>
      <c r="G2083" t="s">
        <v>30</v>
      </c>
      <c r="H2083">
        <v>67674.17</v>
      </c>
      <c r="I2083" t="s">
        <v>47</v>
      </c>
      <c r="J2083" t="s">
        <v>46</v>
      </c>
      <c r="K2083" t="s">
        <v>19</v>
      </c>
      <c r="L2083">
        <v>23</v>
      </c>
      <c r="M2083">
        <v>0.76</v>
      </c>
      <c r="N2083" t="s">
        <v>20</v>
      </c>
    </row>
    <row r="2084" spans="1:14" x14ac:dyDescent="0.25">
      <c r="A2084">
        <v>2083</v>
      </c>
      <c r="B2084" t="s">
        <v>21</v>
      </c>
      <c r="C2084">
        <v>2002</v>
      </c>
      <c r="D2084">
        <v>2.5</v>
      </c>
      <c r="E2084" t="s">
        <v>15</v>
      </c>
      <c r="F2084">
        <v>40484</v>
      </c>
      <c r="G2084" t="s">
        <v>22</v>
      </c>
      <c r="H2084">
        <v>59637.74</v>
      </c>
      <c r="I2084" t="s">
        <v>23</v>
      </c>
      <c r="J2084" t="s">
        <v>18</v>
      </c>
      <c r="K2084" t="s">
        <v>50</v>
      </c>
      <c r="L2084">
        <v>24</v>
      </c>
      <c r="M2084">
        <v>1.47</v>
      </c>
      <c r="N2084" t="s">
        <v>20</v>
      </c>
    </row>
    <row r="2085" spans="1:14" x14ac:dyDescent="0.25">
      <c r="A2085">
        <v>2084</v>
      </c>
      <c r="B2085" t="s">
        <v>36</v>
      </c>
      <c r="C2085">
        <v>2015</v>
      </c>
      <c r="D2085">
        <v>2</v>
      </c>
      <c r="E2085" t="s">
        <v>15</v>
      </c>
      <c r="F2085">
        <v>134476</v>
      </c>
      <c r="G2085" t="s">
        <v>30</v>
      </c>
      <c r="H2085">
        <v>7935.23</v>
      </c>
      <c r="I2085" t="s">
        <v>54</v>
      </c>
      <c r="J2085" t="s">
        <v>18</v>
      </c>
      <c r="K2085" t="s">
        <v>19</v>
      </c>
      <c r="L2085">
        <v>11</v>
      </c>
      <c r="M2085">
        <v>0.06</v>
      </c>
      <c r="N2085" t="s">
        <v>33</v>
      </c>
    </row>
    <row r="2086" spans="1:14" x14ac:dyDescent="0.25">
      <c r="A2086">
        <v>2085</v>
      </c>
      <c r="B2086" t="s">
        <v>21</v>
      </c>
      <c r="C2086">
        <v>2023</v>
      </c>
      <c r="D2086">
        <v>5.5</v>
      </c>
      <c r="E2086" t="s">
        <v>27</v>
      </c>
      <c r="F2086">
        <v>168332</v>
      </c>
      <c r="G2086" t="s">
        <v>22</v>
      </c>
      <c r="H2086">
        <v>24135.18</v>
      </c>
      <c r="I2086" t="s">
        <v>60</v>
      </c>
      <c r="J2086" t="s">
        <v>18</v>
      </c>
      <c r="K2086" t="s">
        <v>26</v>
      </c>
      <c r="L2086">
        <v>3</v>
      </c>
      <c r="M2086">
        <v>0.14000000000000001</v>
      </c>
      <c r="N2086" t="s">
        <v>20</v>
      </c>
    </row>
    <row r="2087" spans="1:14" x14ac:dyDescent="0.25">
      <c r="A2087">
        <v>2086</v>
      </c>
      <c r="B2087" t="s">
        <v>29</v>
      </c>
      <c r="C2087">
        <v>2011</v>
      </c>
      <c r="D2087">
        <v>4.8</v>
      </c>
      <c r="E2087" t="s">
        <v>15</v>
      </c>
      <c r="F2087">
        <v>100647</v>
      </c>
      <c r="G2087" t="s">
        <v>16</v>
      </c>
      <c r="H2087">
        <v>30419.3</v>
      </c>
      <c r="I2087" t="s">
        <v>38</v>
      </c>
      <c r="J2087" t="s">
        <v>18</v>
      </c>
      <c r="K2087" t="s">
        <v>19</v>
      </c>
      <c r="L2087">
        <v>15</v>
      </c>
      <c r="M2087">
        <v>0.3</v>
      </c>
      <c r="N2087" t="s">
        <v>33</v>
      </c>
    </row>
    <row r="2088" spans="1:14" x14ac:dyDescent="0.25">
      <c r="A2088">
        <v>2087</v>
      </c>
      <c r="B2088" t="s">
        <v>52</v>
      </c>
      <c r="C2088">
        <v>2010</v>
      </c>
      <c r="D2088">
        <v>4.4000000000000004</v>
      </c>
      <c r="E2088" t="s">
        <v>27</v>
      </c>
      <c r="F2088">
        <v>65642</v>
      </c>
      <c r="G2088" t="s">
        <v>22</v>
      </c>
      <c r="H2088">
        <v>11892.86</v>
      </c>
      <c r="I2088" t="s">
        <v>61</v>
      </c>
      <c r="J2088" t="s">
        <v>32</v>
      </c>
      <c r="K2088" t="s">
        <v>19</v>
      </c>
      <c r="L2088">
        <v>16</v>
      </c>
      <c r="M2088">
        <v>0.18</v>
      </c>
      <c r="N2088" t="s">
        <v>33</v>
      </c>
    </row>
    <row r="2089" spans="1:14" x14ac:dyDescent="0.25">
      <c r="A2089">
        <v>2088</v>
      </c>
      <c r="B2089" t="s">
        <v>21</v>
      </c>
      <c r="C2089">
        <v>2004</v>
      </c>
      <c r="D2089">
        <v>2.5</v>
      </c>
      <c r="E2089" t="s">
        <v>27</v>
      </c>
      <c r="F2089">
        <v>211803</v>
      </c>
      <c r="G2089" t="s">
        <v>30</v>
      </c>
      <c r="H2089">
        <v>38698.379999999997</v>
      </c>
      <c r="I2089" t="s">
        <v>47</v>
      </c>
      <c r="J2089" t="s">
        <v>41</v>
      </c>
      <c r="K2089" t="s">
        <v>26</v>
      </c>
      <c r="L2089">
        <v>22</v>
      </c>
      <c r="M2089">
        <v>0.18</v>
      </c>
      <c r="N2089" t="s">
        <v>20</v>
      </c>
    </row>
    <row r="2090" spans="1:14" x14ac:dyDescent="0.25">
      <c r="A2090">
        <v>2089</v>
      </c>
      <c r="B2090" t="s">
        <v>43</v>
      </c>
      <c r="C2090">
        <v>2017</v>
      </c>
      <c r="D2090">
        <v>1.9</v>
      </c>
      <c r="E2090" t="s">
        <v>15</v>
      </c>
      <c r="F2090">
        <v>128824</v>
      </c>
      <c r="G2090" t="s">
        <v>22</v>
      </c>
      <c r="H2090">
        <v>7584.24</v>
      </c>
      <c r="I2090" t="s">
        <v>44</v>
      </c>
      <c r="J2090" t="s">
        <v>41</v>
      </c>
      <c r="K2090" t="s">
        <v>19</v>
      </c>
      <c r="L2090">
        <v>9</v>
      </c>
      <c r="M2090">
        <v>0.06</v>
      </c>
      <c r="N2090" t="s">
        <v>20</v>
      </c>
    </row>
    <row r="2091" spans="1:14" x14ac:dyDescent="0.25">
      <c r="A2091">
        <v>2090</v>
      </c>
      <c r="B2091" t="s">
        <v>52</v>
      </c>
      <c r="C2091">
        <v>2018</v>
      </c>
      <c r="D2091">
        <v>4.8</v>
      </c>
      <c r="E2091" t="s">
        <v>27</v>
      </c>
      <c r="F2091">
        <v>248914</v>
      </c>
      <c r="G2091" t="s">
        <v>16</v>
      </c>
      <c r="H2091">
        <v>57552.43</v>
      </c>
      <c r="I2091" t="s">
        <v>53</v>
      </c>
      <c r="J2091" t="s">
        <v>41</v>
      </c>
      <c r="K2091" t="s">
        <v>26</v>
      </c>
      <c r="L2091">
        <v>8</v>
      </c>
      <c r="M2091">
        <v>0.23</v>
      </c>
      <c r="N2091" t="s">
        <v>33</v>
      </c>
    </row>
    <row r="2092" spans="1:14" x14ac:dyDescent="0.25">
      <c r="A2092">
        <v>2091</v>
      </c>
      <c r="B2092" t="s">
        <v>36</v>
      </c>
      <c r="C2092">
        <v>2022</v>
      </c>
      <c r="D2092">
        <v>3.4</v>
      </c>
      <c r="E2092" t="s">
        <v>27</v>
      </c>
      <c r="F2092">
        <v>291749</v>
      </c>
      <c r="G2092" t="s">
        <v>22</v>
      </c>
      <c r="H2092">
        <v>25092.59</v>
      </c>
      <c r="I2092" t="s">
        <v>54</v>
      </c>
      <c r="J2092" t="s">
        <v>32</v>
      </c>
      <c r="K2092" t="s">
        <v>26</v>
      </c>
      <c r="L2092">
        <v>4</v>
      </c>
      <c r="M2092">
        <v>0.09</v>
      </c>
      <c r="N2092" t="s">
        <v>33</v>
      </c>
    </row>
    <row r="2093" spans="1:14" x14ac:dyDescent="0.25">
      <c r="A2093">
        <v>2092</v>
      </c>
      <c r="B2093" t="s">
        <v>43</v>
      </c>
      <c r="C2093">
        <v>2022</v>
      </c>
      <c r="D2093">
        <v>2.1</v>
      </c>
      <c r="E2093" t="s">
        <v>15</v>
      </c>
      <c r="F2093">
        <v>110879</v>
      </c>
      <c r="G2093" t="s">
        <v>22</v>
      </c>
      <c r="H2093">
        <v>32265.3</v>
      </c>
      <c r="I2093" t="s">
        <v>49</v>
      </c>
      <c r="J2093" t="s">
        <v>41</v>
      </c>
      <c r="K2093" t="s">
        <v>19</v>
      </c>
      <c r="L2093">
        <v>4</v>
      </c>
      <c r="M2093">
        <v>0.28999999999999998</v>
      </c>
      <c r="N2093" t="s">
        <v>20</v>
      </c>
    </row>
    <row r="2094" spans="1:14" x14ac:dyDescent="0.25">
      <c r="A2094">
        <v>2093</v>
      </c>
      <c r="B2094" t="s">
        <v>52</v>
      </c>
      <c r="C2094">
        <v>2005</v>
      </c>
      <c r="D2094">
        <v>4.0999999999999996</v>
      </c>
      <c r="E2094" t="s">
        <v>27</v>
      </c>
      <c r="F2094">
        <v>120827</v>
      </c>
      <c r="G2094" t="s">
        <v>30</v>
      </c>
      <c r="H2094">
        <v>91494.8</v>
      </c>
      <c r="I2094" t="s">
        <v>53</v>
      </c>
      <c r="J2094" t="s">
        <v>32</v>
      </c>
      <c r="K2094" t="s">
        <v>19</v>
      </c>
      <c r="L2094">
        <v>21</v>
      </c>
      <c r="M2094">
        <v>0.76</v>
      </c>
      <c r="N2094" t="s">
        <v>33</v>
      </c>
    </row>
    <row r="2095" spans="1:14" x14ac:dyDescent="0.25">
      <c r="A2095">
        <v>2094</v>
      </c>
      <c r="B2095" t="s">
        <v>43</v>
      </c>
      <c r="C2095">
        <v>2021</v>
      </c>
      <c r="D2095">
        <v>1.2</v>
      </c>
      <c r="E2095" t="s">
        <v>27</v>
      </c>
      <c r="F2095">
        <v>267724</v>
      </c>
      <c r="G2095" t="s">
        <v>30</v>
      </c>
      <c r="H2095">
        <v>52767.6</v>
      </c>
      <c r="I2095" t="s">
        <v>49</v>
      </c>
      <c r="J2095" t="s">
        <v>32</v>
      </c>
      <c r="K2095" t="s">
        <v>26</v>
      </c>
      <c r="L2095">
        <v>5</v>
      </c>
      <c r="M2095">
        <v>0.2</v>
      </c>
      <c r="N2095" t="s">
        <v>20</v>
      </c>
    </row>
    <row r="2096" spans="1:14" x14ac:dyDescent="0.25">
      <c r="A2096">
        <v>2095</v>
      </c>
      <c r="B2096" t="s">
        <v>36</v>
      </c>
      <c r="C2096">
        <v>2017</v>
      </c>
      <c r="D2096">
        <v>2.6</v>
      </c>
      <c r="E2096" t="s">
        <v>27</v>
      </c>
      <c r="F2096">
        <v>267544</v>
      </c>
      <c r="G2096" t="s">
        <v>22</v>
      </c>
      <c r="H2096">
        <v>30556.32</v>
      </c>
      <c r="I2096" t="s">
        <v>51</v>
      </c>
      <c r="J2096" t="s">
        <v>32</v>
      </c>
      <c r="K2096" t="s">
        <v>26</v>
      </c>
      <c r="L2096">
        <v>9</v>
      </c>
      <c r="M2096">
        <v>0.11</v>
      </c>
      <c r="N2096" t="s">
        <v>33</v>
      </c>
    </row>
    <row r="2097" spans="1:14" x14ac:dyDescent="0.25">
      <c r="A2097">
        <v>2096</v>
      </c>
      <c r="B2097" t="s">
        <v>29</v>
      </c>
      <c r="C2097">
        <v>2005</v>
      </c>
      <c r="D2097">
        <v>3.3</v>
      </c>
      <c r="E2097" t="s">
        <v>27</v>
      </c>
      <c r="F2097">
        <v>170715</v>
      </c>
      <c r="G2097" t="s">
        <v>16</v>
      </c>
      <c r="H2097">
        <v>61853.87</v>
      </c>
      <c r="I2097" t="s">
        <v>31</v>
      </c>
      <c r="J2097" t="s">
        <v>41</v>
      </c>
      <c r="K2097" t="s">
        <v>26</v>
      </c>
      <c r="L2097">
        <v>21</v>
      </c>
      <c r="M2097">
        <v>0.36</v>
      </c>
      <c r="N2097" t="s">
        <v>33</v>
      </c>
    </row>
    <row r="2098" spans="1:14" x14ac:dyDescent="0.25">
      <c r="A2098">
        <v>2097</v>
      </c>
      <c r="B2098" t="s">
        <v>36</v>
      </c>
      <c r="C2098">
        <v>2003</v>
      </c>
      <c r="D2098">
        <v>1.7</v>
      </c>
      <c r="E2098" t="s">
        <v>27</v>
      </c>
      <c r="F2098">
        <v>227257</v>
      </c>
      <c r="G2098" t="s">
        <v>22</v>
      </c>
      <c r="H2098">
        <v>24158.79</v>
      </c>
      <c r="I2098" t="s">
        <v>54</v>
      </c>
      <c r="J2098" t="s">
        <v>46</v>
      </c>
      <c r="K2098" t="s">
        <v>26</v>
      </c>
      <c r="L2098">
        <v>23</v>
      </c>
      <c r="M2098">
        <v>0.11</v>
      </c>
      <c r="N2098" t="s">
        <v>33</v>
      </c>
    </row>
    <row r="2099" spans="1:14" x14ac:dyDescent="0.25">
      <c r="A2099">
        <v>2098</v>
      </c>
      <c r="B2099" t="s">
        <v>36</v>
      </c>
      <c r="C2099">
        <v>2011</v>
      </c>
      <c r="D2099">
        <v>5.9</v>
      </c>
      <c r="E2099" t="s">
        <v>27</v>
      </c>
      <c r="F2099">
        <v>127319</v>
      </c>
      <c r="G2099" t="s">
        <v>16</v>
      </c>
      <c r="H2099">
        <v>12067.59</v>
      </c>
      <c r="I2099" t="s">
        <v>37</v>
      </c>
      <c r="J2099" t="s">
        <v>41</v>
      </c>
      <c r="K2099" t="s">
        <v>19</v>
      </c>
      <c r="L2099">
        <v>15</v>
      </c>
      <c r="M2099">
        <v>0.09</v>
      </c>
      <c r="N2099" t="s">
        <v>33</v>
      </c>
    </row>
    <row r="2100" spans="1:14" x14ac:dyDescent="0.25">
      <c r="A2100">
        <v>2099</v>
      </c>
      <c r="B2100" t="s">
        <v>43</v>
      </c>
      <c r="C2100">
        <v>2018</v>
      </c>
      <c r="D2100">
        <v>2</v>
      </c>
      <c r="E2100" t="s">
        <v>27</v>
      </c>
      <c r="F2100">
        <v>106960</v>
      </c>
      <c r="G2100" t="s">
        <v>16</v>
      </c>
      <c r="H2100">
        <v>6986.1</v>
      </c>
      <c r="I2100" t="s">
        <v>44</v>
      </c>
      <c r="J2100" t="s">
        <v>41</v>
      </c>
      <c r="K2100" t="s">
        <v>19</v>
      </c>
      <c r="L2100">
        <v>8</v>
      </c>
      <c r="M2100">
        <v>7.0000000000000007E-2</v>
      </c>
      <c r="N2100" t="s">
        <v>20</v>
      </c>
    </row>
    <row r="2101" spans="1:14" x14ac:dyDescent="0.25">
      <c r="A2101">
        <v>2100</v>
      </c>
      <c r="B2101" t="s">
        <v>14</v>
      </c>
      <c r="C2101">
        <v>2001</v>
      </c>
      <c r="D2101">
        <v>1.7</v>
      </c>
      <c r="E2101" t="s">
        <v>27</v>
      </c>
      <c r="F2101">
        <v>39015</v>
      </c>
      <c r="G2101" t="s">
        <v>16</v>
      </c>
      <c r="H2101">
        <v>95395.26</v>
      </c>
      <c r="I2101" t="s">
        <v>39</v>
      </c>
      <c r="J2101" t="s">
        <v>18</v>
      </c>
      <c r="K2101" t="s">
        <v>50</v>
      </c>
      <c r="L2101">
        <v>25</v>
      </c>
      <c r="M2101">
        <v>2.4500000000000002</v>
      </c>
      <c r="N2101" t="s">
        <v>20</v>
      </c>
    </row>
    <row r="2102" spans="1:14" x14ac:dyDescent="0.25">
      <c r="A2102">
        <v>2101</v>
      </c>
      <c r="B2102" t="s">
        <v>24</v>
      </c>
      <c r="C2102">
        <v>2016</v>
      </c>
      <c r="D2102">
        <v>2</v>
      </c>
      <c r="E2102" t="s">
        <v>15</v>
      </c>
      <c r="F2102">
        <v>203877</v>
      </c>
      <c r="G2102" t="s">
        <v>22</v>
      </c>
      <c r="H2102">
        <v>73838.03</v>
      </c>
      <c r="I2102" t="s">
        <v>35</v>
      </c>
      <c r="J2102" t="s">
        <v>32</v>
      </c>
      <c r="K2102" t="s">
        <v>26</v>
      </c>
      <c r="L2102">
        <v>10</v>
      </c>
      <c r="M2102">
        <v>0.36</v>
      </c>
      <c r="N2102" t="s">
        <v>20</v>
      </c>
    </row>
    <row r="2103" spans="1:14" x14ac:dyDescent="0.25">
      <c r="A2103">
        <v>2102</v>
      </c>
      <c r="B2103" t="s">
        <v>21</v>
      </c>
      <c r="C2103">
        <v>2010</v>
      </c>
      <c r="D2103">
        <v>4.8</v>
      </c>
      <c r="E2103" t="s">
        <v>15</v>
      </c>
      <c r="F2103">
        <v>145109</v>
      </c>
      <c r="G2103" t="s">
        <v>16</v>
      </c>
      <c r="H2103">
        <v>80995.070000000007</v>
      </c>
      <c r="I2103" t="s">
        <v>47</v>
      </c>
      <c r="J2103" t="s">
        <v>46</v>
      </c>
      <c r="K2103" t="s">
        <v>19</v>
      </c>
      <c r="L2103">
        <v>16</v>
      </c>
      <c r="M2103">
        <v>0.56000000000000005</v>
      </c>
      <c r="N2103" t="s">
        <v>20</v>
      </c>
    </row>
    <row r="2104" spans="1:14" x14ac:dyDescent="0.25">
      <c r="A2104">
        <v>2103</v>
      </c>
      <c r="B2104" t="s">
        <v>21</v>
      </c>
      <c r="C2104">
        <v>2010</v>
      </c>
      <c r="D2104">
        <v>3.1</v>
      </c>
      <c r="E2104" t="s">
        <v>15</v>
      </c>
      <c r="F2104">
        <v>262063</v>
      </c>
      <c r="G2104" t="s">
        <v>22</v>
      </c>
      <c r="H2104">
        <v>98187.18</v>
      </c>
      <c r="I2104" t="s">
        <v>42</v>
      </c>
      <c r="J2104" t="s">
        <v>18</v>
      </c>
      <c r="K2104" t="s">
        <v>26</v>
      </c>
      <c r="L2104">
        <v>16</v>
      </c>
      <c r="M2104">
        <v>0.37</v>
      </c>
      <c r="N2104" t="s">
        <v>20</v>
      </c>
    </row>
    <row r="2105" spans="1:14" x14ac:dyDescent="0.25">
      <c r="A2105">
        <v>2104</v>
      </c>
      <c r="B2105" t="s">
        <v>29</v>
      </c>
      <c r="C2105">
        <v>2020</v>
      </c>
      <c r="D2105">
        <v>3.8</v>
      </c>
      <c r="E2105" t="s">
        <v>27</v>
      </c>
      <c r="F2105">
        <v>88754</v>
      </c>
      <c r="G2105" t="s">
        <v>16</v>
      </c>
      <c r="H2105">
        <v>93504.73</v>
      </c>
      <c r="I2105" t="s">
        <v>38</v>
      </c>
      <c r="J2105" t="s">
        <v>46</v>
      </c>
      <c r="K2105" t="s">
        <v>19</v>
      </c>
      <c r="L2105">
        <v>6</v>
      </c>
      <c r="M2105">
        <v>1.05</v>
      </c>
      <c r="N2105" t="s">
        <v>33</v>
      </c>
    </row>
    <row r="2106" spans="1:14" x14ac:dyDescent="0.25">
      <c r="A2106">
        <v>2105</v>
      </c>
      <c r="B2106" t="s">
        <v>29</v>
      </c>
      <c r="C2106">
        <v>2015</v>
      </c>
      <c r="D2106">
        <v>1.1000000000000001</v>
      </c>
      <c r="E2106" t="s">
        <v>27</v>
      </c>
      <c r="F2106">
        <v>221775</v>
      </c>
      <c r="G2106" t="s">
        <v>16</v>
      </c>
      <c r="H2106">
        <v>75006.75</v>
      </c>
      <c r="I2106" t="s">
        <v>38</v>
      </c>
      <c r="J2106" t="s">
        <v>46</v>
      </c>
      <c r="K2106" t="s">
        <v>26</v>
      </c>
      <c r="L2106">
        <v>11</v>
      </c>
      <c r="M2106">
        <v>0.34</v>
      </c>
      <c r="N2106" t="s">
        <v>33</v>
      </c>
    </row>
    <row r="2107" spans="1:14" x14ac:dyDescent="0.25">
      <c r="A2107">
        <v>2106</v>
      </c>
      <c r="B2107" t="s">
        <v>21</v>
      </c>
      <c r="C2107">
        <v>2001</v>
      </c>
      <c r="D2107">
        <v>1.2</v>
      </c>
      <c r="E2107" t="s">
        <v>27</v>
      </c>
      <c r="F2107">
        <v>203225</v>
      </c>
      <c r="G2107" t="s">
        <v>22</v>
      </c>
      <c r="H2107">
        <v>70928.77</v>
      </c>
      <c r="I2107" t="s">
        <v>23</v>
      </c>
      <c r="J2107" t="s">
        <v>32</v>
      </c>
      <c r="K2107" t="s">
        <v>26</v>
      </c>
      <c r="L2107">
        <v>25</v>
      </c>
      <c r="M2107">
        <v>0.35</v>
      </c>
      <c r="N2107" t="s">
        <v>20</v>
      </c>
    </row>
    <row r="2108" spans="1:14" x14ac:dyDescent="0.25">
      <c r="A2108">
        <v>2107</v>
      </c>
      <c r="B2108" t="s">
        <v>24</v>
      </c>
      <c r="C2108">
        <v>2001</v>
      </c>
      <c r="D2108">
        <v>3.2</v>
      </c>
      <c r="E2108" t="s">
        <v>15</v>
      </c>
      <c r="F2108">
        <v>152606</v>
      </c>
      <c r="G2108" t="s">
        <v>30</v>
      </c>
      <c r="H2108">
        <v>37000.75</v>
      </c>
      <c r="I2108" t="s">
        <v>34</v>
      </c>
      <c r="J2108" t="s">
        <v>41</v>
      </c>
      <c r="K2108" t="s">
        <v>26</v>
      </c>
      <c r="L2108">
        <v>25</v>
      </c>
      <c r="M2108">
        <v>0.24</v>
      </c>
      <c r="N2108" t="s">
        <v>20</v>
      </c>
    </row>
    <row r="2109" spans="1:14" x14ac:dyDescent="0.25">
      <c r="A2109">
        <v>2108</v>
      </c>
      <c r="B2109" t="s">
        <v>21</v>
      </c>
      <c r="C2109">
        <v>2022</v>
      </c>
      <c r="D2109">
        <v>5.0999999999999996</v>
      </c>
      <c r="E2109" t="s">
        <v>15</v>
      </c>
      <c r="F2109">
        <v>222067</v>
      </c>
      <c r="G2109" t="s">
        <v>30</v>
      </c>
      <c r="H2109">
        <v>14881.64</v>
      </c>
      <c r="I2109" t="s">
        <v>42</v>
      </c>
      <c r="J2109" t="s">
        <v>32</v>
      </c>
      <c r="K2109" t="s">
        <v>26</v>
      </c>
      <c r="L2109">
        <v>4</v>
      </c>
      <c r="M2109">
        <v>7.0000000000000007E-2</v>
      </c>
      <c r="N2109" t="s">
        <v>20</v>
      </c>
    </row>
    <row r="2110" spans="1:14" x14ac:dyDescent="0.25">
      <c r="A2110">
        <v>2109</v>
      </c>
      <c r="B2110" t="s">
        <v>14</v>
      </c>
      <c r="C2110">
        <v>2007</v>
      </c>
      <c r="D2110">
        <v>5.4</v>
      </c>
      <c r="E2110" t="s">
        <v>15</v>
      </c>
      <c r="F2110">
        <v>56879</v>
      </c>
      <c r="G2110" t="s">
        <v>22</v>
      </c>
      <c r="H2110">
        <v>59503.64</v>
      </c>
      <c r="I2110" t="s">
        <v>28</v>
      </c>
      <c r="J2110" t="s">
        <v>18</v>
      </c>
      <c r="K2110" t="s">
        <v>19</v>
      </c>
      <c r="L2110">
        <v>19</v>
      </c>
      <c r="M2110">
        <v>1.05</v>
      </c>
      <c r="N2110" t="s">
        <v>20</v>
      </c>
    </row>
    <row r="2111" spans="1:14" x14ac:dyDescent="0.25">
      <c r="A2111">
        <v>2110</v>
      </c>
      <c r="B2111" t="s">
        <v>24</v>
      </c>
      <c r="C2111">
        <v>2012</v>
      </c>
      <c r="D2111">
        <v>1.4</v>
      </c>
      <c r="E2111" t="s">
        <v>27</v>
      </c>
      <c r="F2111">
        <v>119894</v>
      </c>
      <c r="G2111" t="s">
        <v>22</v>
      </c>
      <c r="H2111">
        <v>59744.06</v>
      </c>
      <c r="I2111" t="s">
        <v>35</v>
      </c>
      <c r="J2111" t="s">
        <v>18</v>
      </c>
      <c r="K2111" t="s">
        <v>19</v>
      </c>
      <c r="L2111">
        <v>14</v>
      </c>
      <c r="M2111">
        <v>0.5</v>
      </c>
      <c r="N2111" t="s">
        <v>20</v>
      </c>
    </row>
    <row r="2112" spans="1:14" x14ac:dyDescent="0.25">
      <c r="A2112">
        <v>2111</v>
      </c>
      <c r="B2112" t="s">
        <v>29</v>
      </c>
      <c r="C2112">
        <v>2009</v>
      </c>
      <c r="D2112">
        <v>3.7</v>
      </c>
      <c r="E2112" t="s">
        <v>15</v>
      </c>
      <c r="F2112">
        <v>65839</v>
      </c>
      <c r="G2112" t="s">
        <v>30</v>
      </c>
      <c r="H2112">
        <v>95462.54</v>
      </c>
      <c r="I2112" t="s">
        <v>38</v>
      </c>
      <c r="J2112" t="s">
        <v>32</v>
      </c>
      <c r="K2112" t="s">
        <v>19</v>
      </c>
      <c r="L2112">
        <v>17</v>
      </c>
      <c r="M2112">
        <v>1.45</v>
      </c>
      <c r="N2112" t="s">
        <v>33</v>
      </c>
    </row>
    <row r="2113" spans="1:14" x14ac:dyDescent="0.25">
      <c r="A2113">
        <v>2112</v>
      </c>
      <c r="B2113" t="s">
        <v>52</v>
      </c>
      <c r="C2113">
        <v>2007</v>
      </c>
      <c r="D2113">
        <v>5.6</v>
      </c>
      <c r="E2113" t="s">
        <v>15</v>
      </c>
      <c r="F2113">
        <v>29756</v>
      </c>
      <c r="G2113" t="s">
        <v>30</v>
      </c>
      <c r="H2113">
        <v>47044.23</v>
      </c>
      <c r="I2113" t="s">
        <v>59</v>
      </c>
      <c r="J2113" t="s">
        <v>41</v>
      </c>
      <c r="K2113" t="s">
        <v>50</v>
      </c>
      <c r="L2113">
        <v>19</v>
      </c>
      <c r="M2113">
        <v>1.58</v>
      </c>
      <c r="N2113" t="s">
        <v>33</v>
      </c>
    </row>
    <row r="2114" spans="1:14" x14ac:dyDescent="0.25">
      <c r="A2114">
        <v>2113</v>
      </c>
      <c r="B2114" t="s">
        <v>43</v>
      </c>
      <c r="C2114">
        <v>2003</v>
      </c>
      <c r="D2114">
        <v>2.9</v>
      </c>
      <c r="E2114" t="s">
        <v>27</v>
      </c>
      <c r="F2114">
        <v>143755</v>
      </c>
      <c r="G2114" t="s">
        <v>30</v>
      </c>
      <c r="H2114">
        <v>70626.720000000001</v>
      </c>
      <c r="I2114" t="s">
        <v>48</v>
      </c>
      <c r="J2114" t="s">
        <v>46</v>
      </c>
      <c r="K2114" t="s">
        <v>19</v>
      </c>
      <c r="L2114">
        <v>23</v>
      </c>
      <c r="M2114">
        <v>0.49</v>
      </c>
      <c r="N2114" t="s">
        <v>20</v>
      </c>
    </row>
    <row r="2115" spans="1:14" x14ac:dyDescent="0.25">
      <c r="A2115">
        <v>2114</v>
      </c>
      <c r="B2115" t="s">
        <v>14</v>
      </c>
      <c r="C2115">
        <v>2014</v>
      </c>
      <c r="D2115">
        <v>5.0999999999999996</v>
      </c>
      <c r="E2115" t="s">
        <v>15</v>
      </c>
      <c r="F2115">
        <v>180557</v>
      </c>
      <c r="G2115" t="s">
        <v>22</v>
      </c>
      <c r="H2115">
        <v>59622.21</v>
      </c>
      <c r="I2115" t="s">
        <v>17</v>
      </c>
      <c r="J2115" t="s">
        <v>18</v>
      </c>
      <c r="K2115" t="s">
        <v>26</v>
      </c>
      <c r="L2115">
        <v>12</v>
      </c>
      <c r="M2115">
        <v>0.33</v>
      </c>
      <c r="N2115" t="s">
        <v>20</v>
      </c>
    </row>
    <row r="2116" spans="1:14" x14ac:dyDescent="0.25">
      <c r="A2116">
        <v>2115</v>
      </c>
      <c r="B2116" t="s">
        <v>14</v>
      </c>
      <c r="C2116">
        <v>2000</v>
      </c>
      <c r="D2116">
        <v>1.7</v>
      </c>
      <c r="E2116" t="s">
        <v>27</v>
      </c>
      <c r="F2116">
        <v>229303</v>
      </c>
      <c r="G2116" t="s">
        <v>16</v>
      </c>
      <c r="H2116">
        <v>21792.22</v>
      </c>
      <c r="I2116" t="s">
        <v>39</v>
      </c>
      <c r="J2116" t="s">
        <v>18</v>
      </c>
      <c r="K2116" t="s">
        <v>26</v>
      </c>
      <c r="L2116">
        <v>26</v>
      </c>
      <c r="M2116">
        <v>0.1</v>
      </c>
      <c r="N2116" t="s">
        <v>20</v>
      </c>
    </row>
    <row r="2117" spans="1:14" x14ac:dyDescent="0.25">
      <c r="A2117">
        <v>2116</v>
      </c>
      <c r="B2117" t="s">
        <v>29</v>
      </c>
      <c r="C2117">
        <v>2010</v>
      </c>
      <c r="D2117">
        <v>5.7</v>
      </c>
      <c r="E2117" t="s">
        <v>15</v>
      </c>
      <c r="F2117">
        <v>149787</v>
      </c>
      <c r="G2117" t="s">
        <v>22</v>
      </c>
      <c r="H2117">
        <v>61246.11</v>
      </c>
      <c r="I2117" t="s">
        <v>38</v>
      </c>
      <c r="J2117" t="s">
        <v>32</v>
      </c>
      <c r="K2117" t="s">
        <v>19</v>
      </c>
      <c r="L2117">
        <v>16</v>
      </c>
      <c r="M2117">
        <v>0.41</v>
      </c>
      <c r="N2117" t="s">
        <v>33</v>
      </c>
    </row>
    <row r="2118" spans="1:14" x14ac:dyDescent="0.25">
      <c r="A2118">
        <v>2117</v>
      </c>
      <c r="B2118" t="s">
        <v>29</v>
      </c>
      <c r="C2118">
        <v>2006</v>
      </c>
      <c r="D2118">
        <v>4.8</v>
      </c>
      <c r="E2118" t="s">
        <v>27</v>
      </c>
      <c r="F2118">
        <v>92943</v>
      </c>
      <c r="G2118" t="s">
        <v>30</v>
      </c>
      <c r="H2118">
        <v>56311.09</v>
      </c>
      <c r="I2118" t="s">
        <v>62</v>
      </c>
      <c r="J2118" t="s">
        <v>46</v>
      </c>
      <c r="K2118" t="s">
        <v>19</v>
      </c>
      <c r="L2118">
        <v>20</v>
      </c>
      <c r="M2118">
        <v>0.61</v>
      </c>
      <c r="N2118" t="s">
        <v>33</v>
      </c>
    </row>
    <row r="2119" spans="1:14" x14ac:dyDescent="0.25">
      <c r="A2119">
        <v>2118</v>
      </c>
      <c r="B2119" t="s">
        <v>36</v>
      </c>
      <c r="C2119">
        <v>2016</v>
      </c>
      <c r="D2119">
        <v>5.7</v>
      </c>
      <c r="E2119" t="s">
        <v>27</v>
      </c>
      <c r="F2119">
        <v>218188</v>
      </c>
      <c r="G2119" t="s">
        <v>16</v>
      </c>
      <c r="H2119">
        <v>51921.07</v>
      </c>
      <c r="I2119" t="s">
        <v>51</v>
      </c>
      <c r="J2119" t="s">
        <v>32</v>
      </c>
      <c r="K2119" t="s">
        <v>26</v>
      </c>
      <c r="L2119">
        <v>10</v>
      </c>
      <c r="M2119">
        <v>0.24</v>
      </c>
      <c r="N2119" t="s">
        <v>33</v>
      </c>
    </row>
    <row r="2120" spans="1:14" x14ac:dyDescent="0.25">
      <c r="A2120">
        <v>2119</v>
      </c>
      <c r="B2120" t="s">
        <v>14</v>
      </c>
      <c r="C2120">
        <v>2019</v>
      </c>
      <c r="D2120">
        <v>4.4000000000000004</v>
      </c>
      <c r="E2120" t="s">
        <v>27</v>
      </c>
      <c r="F2120">
        <v>148188</v>
      </c>
      <c r="G2120" t="s">
        <v>22</v>
      </c>
      <c r="H2120">
        <v>53775.18</v>
      </c>
      <c r="I2120" t="s">
        <v>17</v>
      </c>
      <c r="J2120" t="s">
        <v>18</v>
      </c>
      <c r="K2120" t="s">
        <v>19</v>
      </c>
      <c r="L2120">
        <v>7</v>
      </c>
      <c r="M2120">
        <v>0.36</v>
      </c>
      <c r="N2120" t="s">
        <v>20</v>
      </c>
    </row>
    <row r="2121" spans="1:14" x14ac:dyDescent="0.25">
      <c r="A2121">
        <v>2120</v>
      </c>
      <c r="B2121" t="s">
        <v>36</v>
      </c>
      <c r="C2121">
        <v>2023</v>
      </c>
      <c r="D2121">
        <v>2.8</v>
      </c>
      <c r="E2121" t="s">
        <v>27</v>
      </c>
      <c r="F2121">
        <v>36744</v>
      </c>
      <c r="G2121" t="s">
        <v>30</v>
      </c>
      <c r="H2121">
        <v>20578.86</v>
      </c>
      <c r="I2121" t="s">
        <v>54</v>
      </c>
      <c r="J2121" t="s">
        <v>46</v>
      </c>
      <c r="K2121" t="s">
        <v>50</v>
      </c>
      <c r="L2121">
        <v>3</v>
      </c>
      <c r="M2121">
        <v>0.56000000000000005</v>
      </c>
      <c r="N2121" t="s">
        <v>33</v>
      </c>
    </row>
    <row r="2122" spans="1:14" x14ac:dyDescent="0.25">
      <c r="A2122">
        <v>2121</v>
      </c>
      <c r="B2122" t="s">
        <v>36</v>
      </c>
      <c r="C2122">
        <v>2017</v>
      </c>
      <c r="D2122">
        <v>5.7</v>
      </c>
      <c r="E2122" t="s">
        <v>27</v>
      </c>
      <c r="F2122">
        <v>124697</v>
      </c>
      <c r="G2122" t="s">
        <v>22</v>
      </c>
      <c r="H2122">
        <v>49030.38</v>
      </c>
      <c r="I2122" t="s">
        <v>37</v>
      </c>
      <c r="J2122" t="s">
        <v>32</v>
      </c>
      <c r="K2122" t="s">
        <v>19</v>
      </c>
      <c r="L2122">
        <v>9</v>
      </c>
      <c r="M2122">
        <v>0.39</v>
      </c>
      <c r="N2122" t="s">
        <v>33</v>
      </c>
    </row>
    <row r="2123" spans="1:14" x14ac:dyDescent="0.25">
      <c r="A2123">
        <v>2122</v>
      </c>
      <c r="B2123" t="s">
        <v>43</v>
      </c>
      <c r="C2123">
        <v>2021</v>
      </c>
      <c r="D2123">
        <v>2.4</v>
      </c>
      <c r="E2123" t="s">
        <v>15</v>
      </c>
      <c r="F2123">
        <v>116072</v>
      </c>
      <c r="G2123" t="s">
        <v>16</v>
      </c>
      <c r="H2123">
        <v>62537.06</v>
      </c>
      <c r="I2123" t="s">
        <v>48</v>
      </c>
      <c r="J2123" t="s">
        <v>32</v>
      </c>
      <c r="K2123" t="s">
        <v>19</v>
      </c>
      <c r="L2123">
        <v>5</v>
      </c>
      <c r="M2123">
        <v>0.54</v>
      </c>
      <c r="N2123" t="s">
        <v>20</v>
      </c>
    </row>
    <row r="2124" spans="1:14" x14ac:dyDescent="0.25">
      <c r="A2124">
        <v>2123</v>
      </c>
      <c r="B2124" t="s">
        <v>36</v>
      </c>
      <c r="C2124">
        <v>2021</v>
      </c>
      <c r="D2124">
        <v>2.7</v>
      </c>
      <c r="E2124" t="s">
        <v>27</v>
      </c>
      <c r="F2124">
        <v>236028</v>
      </c>
      <c r="G2124" t="s">
        <v>30</v>
      </c>
      <c r="H2124">
        <v>51497.67</v>
      </c>
      <c r="I2124" t="s">
        <v>57</v>
      </c>
      <c r="J2124" t="s">
        <v>18</v>
      </c>
      <c r="K2124" t="s">
        <v>26</v>
      </c>
      <c r="L2124">
        <v>5</v>
      </c>
      <c r="M2124">
        <v>0.22</v>
      </c>
      <c r="N2124" t="s">
        <v>33</v>
      </c>
    </row>
    <row r="2125" spans="1:14" x14ac:dyDescent="0.25">
      <c r="A2125">
        <v>2124</v>
      </c>
      <c r="B2125" t="s">
        <v>24</v>
      </c>
      <c r="C2125">
        <v>2011</v>
      </c>
      <c r="D2125">
        <v>4.5</v>
      </c>
      <c r="E2125" t="s">
        <v>27</v>
      </c>
      <c r="F2125">
        <v>169123</v>
      </c>
      <c r="G2125" t="s">
        <v>22</v>
      </c>
      <c r="H2125">
        <v>51425.19</v>
      </c>
      <c r="I2125" t="s">
        <v>35</v>
      </c>
      <c r="J2125" t="s">
        <v>18</v>
      </c>
      <c r="K2125" t="s">
        <v>26</v>
      </c>
      <c r="L2125">
        <v>15</v>
      </c>
      <c r="M2125">
        <v>0.3</v>
      </c>
      <c r="N2125" t="s">
        <v>20</v>
      </c>
    </row>
    <row r="2126" spans="1:14" x14ac:dyDescent="0.25">
      <c r="A2126">
        <v>2125</v>
      </c>
      <c r="B2126" t="s">
        <v>21</v>
      </c>
      <c r="C2126">
        <v>2008</v>
      </c>
      <c r="D2126">
        <v>4.8</v>
      </c>
      <c r="E2126" t="s">
        <v>27</v>
      </c>
      <c r="F2126">
        <v>7176</v>
      </c>
      <c r="G2126" t="s">
        <v>16</v>
      </c>
      <c r="H2126">
        <v>12364.18</v>
      </c>
      <c r="I2126" t="s">
        <v>42</v>
      </c>
      <c r="J2126" t="s">
        <v>18</v>
      </c>
      <c r="K2126" t="s">
        <v>50</v>
      </c>
      <c r="L2126">
        <v>18</v>
      </c>
      <c r="M2126">
        <v>1.72</v>
      </c>
      <c r="N2126" t="s">
        <v>20</v>
      </c>
    </row>
    <row r="2127" spans="1:14" x14ac:dyDescent="0.25">
      <c r="A2127">
        <v>2126</v>
      </c>
      <c r="B2127" t="s">
        <v>52</v>
      </c>
      <c r="C2127">
        <v>2004</v>
      </c>
      <c r="D2127">
        <v>5.6</v>
      </c>
      <c r="E2127" t="s">
        <v>27</v>
      </c>
      <c r="F2127">
        <v>252365</v>
      </c>
      <c r="G2127" t="s">
        <v>16</v>
      </c>
      <c r="H2127">
        <v>23123.54</v>
      </c>
      <c r="I2127" t="s">
        <v>61</v>
      </c>
      <c r="J2127" t="s">
        <v>46</v>
      </c>
      <c r="K2127" t="s">
        <v>26</v>
      </c>
      <c r="L2127">
        <v>22</v>
      </c>
      <c r="M2127">
        <v>0.09</v>
      </c>
      <c r="N2127" t="s">
        <v>33</v>
      </c>
    </row>
    <row r="2128" spans="1:14" x14ac:dyDescent="0.25">
      <c r="A2128">
        <v>2127</v>
      </c>
      <c r="B2128" t="s">
        <v>29</v>
      </c>
      <c r="C2128">
        <v>2009</v>
      </c>
      <c r="D2128">
        <v>2</v>
      </c>
      <c r="E2128" t="s">
        <v>15</v>
      </c>
      <c r="F2128">
        <v>149748</v>
      </c>
      <c r="G2128" t="s">
        <v>22</v>
      </c>
      <c r="H2128">
        <v>35492.410000000003</v>
      </c>
      <c r="I2128" t="s">
        <v>40</v>
      </c>
      <c r="J2128" t="s">
        <v>46</v>
      </c>
      <c r="K2128" t="s">
        <v>19</v>
      </c>
      <c r="L2128">
        <v>17</v>
      </c>
      <c r="M2128">
        <v>0.24</v>
      </c>
      <c r="N2128" t="s">
        <v>33</v>
      </c>
    </row>
    <row r="2129" spans="1:14" x14ac:dyDescent="0.25">
      <c r="A2129">
        <v>2128</v>
      </c>
      <c r="B2129" t="s">
        <v>24</v>
      </c>
      <c r="C2129">
        <v>2003</v>
      </c>
      <c r="D2129">
        <v>5</v>
      </c>
      <c r="E2129" t="s">
        <v>27</v>
      </c>
      <c r="F2129">
        <v>45177</v>
      </c>
      <c r="G2129" t="s">
        <v>16</v>
      </c>
      <c r="H2129">
        <v>44837.96</v>
      </c>
      <c r="I2129" t="s">
        <v>25</v>
      </c>
      <c r="J2129" t="s">
        <v>18</v>
      </c>
      <c r="K2129" t="s">
        <v>50</v>
      </c>
      <c r="L2129">
        <v>23</v>
      </c>
      <c r="M2129">
        <v>0.99</v>
      </c>
      <c r="N2129" t="s">
        <v>20</v>
      </c>
    </row>
    <row r="2130" spans="1:14" x14ac:dyDescent="0.25">
      <c r="A2130">
        <v>2129</v>
      </c>
      <c r="B2130" t="s">
        <v>52</v>
      </c>
      <c r="C2130">
        <v>2004</v>
      </c>
      <c r="D2130">
        <v>4.7</v>
      </c>
      <c r="E2130" t="s">
        <v>15</v>
      </c>
      <c r="F2130">
        <v>110623</v>
      </c>
      <c r="G2130" t="s">
        <v>30</v>
      </c>
      <c r="H2130">
        <v>61424.06</v>
      </c>
      <c r="I2130" t="s">
        <v>56</v>
      </c>
      <c r="J2130" t="s">
        <v>41</v>
      </c>
      <c r="K2130" t="s">
        <v>19</v>
      </c>
      <c r="L2130">
        <v>22</v>
      </c>
      <c r="M2130">
        <v>0.56000000000000005</v>
      </c>
      <c r="N2130" t="s">
        <v>33</v>
      </c>
    </row>
    <row r="2131" spans="1:14" x14ac:dyDescent="0.25">
      <c r="A2131">
        <v>2130</v>
      </c>
      <c r="B2131" t="s">
        <v>14</v>
      </c>
      <c r="C2131">
        <v>2009</v>
      </c>
      <c r="D2131">
        <v>1.3</v>
      </c>
      <c r="E2131" t="s">
        <v>27</v>
      </c>
      <c r="F2131">
        <v>997</v>
      </c>
      <c r="G2131" t="s">
        <v>16</v>
      </c>
      <c r="H2131">
        <v>87017.78</v>
      </c>
      <c r="I2131" t="s">
        <v>58</v>
      </c>
      <c r="J2131" t="s">
        <v>18</v>
      </c>
      <c r="K2131" t="s">
        <v>50</v>
      </c>
      <c r="L2131">
        <v>17</v>
      </c>
      <c r="M2131">
        <v>87.28</v>
      </c>
      <c r="N2131" t="s">
        <v>20</v>
      </c>
    </row>
    <row r="2132" spans="1:14" x14ac:dyDescent="0.25">
      <c r="A2132">
        <v>2131</v>
      </c>
      <c r="B2132" t="s">
        <v>14</v>
      </c>
      <c r="C2132">
        <v>2010</v>
      </c>
      <c r="D2132">
        <v>2.9</v>
      </c>
      <c r="E2132" t="s">
        <v>27</v>
      </c>
      <c r="F2132">
        <v>120179</v>
      </c>
      <c r="G2132" t="s">
        <v>22</v>
      </c>
      <c r="H2132">
        <v>20120.650000000001</v>
      </c>
      <c r="I2132" t="s">
        <v>28</v>
      </c>
      <c r="J2132" t="s">
        <v>18</v>
      </c>
      <c r="K2132" t="s">
        <v>19</v>
      </c>
      <c r="L2132">
        <v>16</v>
      </c>
      <c r="M2132">
        <v>0.17</v>
      </c>
      <c r="N2132" t="s">
        <v>20</v>
      </c>
    </row>
    <row r="2133" spans="1:14" x14ac:dyDescent="0.25">
      <c r="A2133">
        <v>2132</v>
      </c>
      <c r="B2133" t="s">
        <v>14</v>
      </c>
      <c r="C2133">
        <v>2020</v>
      </c>
      <c r="D2133">
        <v>2.4</v>
      </c>
      <c r="E2133" t="s">
        <v>15</v>
      </c>
      <c r="F2133">
        <v>247439</v>
      </c>
      <c r="G2133" t="s">
        <v>30</v>
      </c>
      <c r="H2133">
        <v>6433.36</v>
      </c>
      <c r="I2133" t="s">
        <v>17</v>
      </c>
      <c r="J2133" t="s">
        <v>18</v>
      </c>
      <c r="K2133" t="s">
        <v>26</v>
      </c>
      <c r="L2133">
        <v>6</v>
      </c>
      <c r="M2133">
        <v>0.03</v>
      </c>
      <c r="N2133" t="s">
        <v>20</v>
      </c>
    </row>
    <row r="2134" spans="1:14" x14ac:dyDescent="0.25">
      <c r="A2134">
        <v>2133</v>
      </c>
      <c r="B2134" t="s">
        <v>24</v>
      </c>
      <c r="C2134">
        <v>2023</v>
      </c>
      <c r="D2134">
        <v>2.5</v>
      </c>
      <c r="E2134" t="s">
        <v>15</v>
      </c>
      <c r="F2134">
        <v>120403</v>
      </c>
      <c r="G2134" t="s">
        <v>16</v>
      </c>
      <c r="H2134">
        <v>47677.53</v>
      </c>
      <c r="I2134" t="s">
        <v>25</v>
      </c>
      <c r="J2134" t="s">
        <v>32</v>
      </c>
      <c r="K2134" t="s">
        <v>19</v>
      </c>
      <c r="L2134">
        <v>3</v>
      </c>
      <c r="M2134">
        <v>0.4</v>
      </c>
      <c r="N2134" t="s">
        <v>20</v>
      </c>
    </row>
    <row r="2135" spans="1:14" x14ac:dyDescent="0.25">
      <c r="A2135">
        <v>2134</v>
      </c>
      <c r="B2135" t="s">
        <v>24</v>
      </c>
      <c r="C2135">
        <v>2009</v>
      </c>
      <c r="D2135">
        <v>5.9</v>
      </c>
      <c r="E2135" t="s">
        <v>15</v>
      </c>
      <c r="F2135">
        <v>95287</v>
      </c>
      <c r="G2135" t="s">
        <v>16</v>
      </c>
      <c r="H2135">
        <v>46049.78</v>
      </c>
      <c r="I2135" t="s">
        <v>25</v>
      </c>
      <c r="J2135" t="s">
        <v>46</v>
      </c>
      <c r="K2135" t="s">
        <v>19</v>
      </c>
      <c r="L2135">
        <v>17</v>
      </c>
      <c r="M2135">
        <v>0.48</v>
      </c>
      <c r="N2135" t="s">
        <v>20</v>
      </c>
    </row>
    <row r="2136" spans="1:14" x14ac:dyDescent="0.25">
      <c r="A2136">
        <v>2135</v>
      </c>
      <c r="B2136" t="s">
        <v>29</v>
      </c>
      <c r="C2136">
        <v>2007</v>
      </c>
      <c r="D2136">
        <v>4.2</v>
      </c>
      <c r="E2136" t="s">
        <v>27</v>
      </c>
      <c r="F2136">
        <v>119574</v>
      </c>
      <c r="G2136" t="s">
        <v>30</v>
      </c>
      <c r="H2136">
        <v>57430.62</v>
      </c>
      <c r="I2136" t="s">
        <v>40</v>
      </c>
      <c r="J2136" t="s">
        <v>46</v>
      </c>
      <c r="K2136" t="s">
        <v>19</v>
      </c>
      <c r="L2136">
        <v>19</v>
      </c>
      <c r="M2136">
        <v>0.48</v>
      </c>
      <c r="N2136" t="s">
        <v>33</v>
      </c>
    </row>
    <row r="2137" spans="1:14" x14ac:dyDescent="0.25">
      <c r="A2137">
        <v>2136</v>
      </c>
      <c r="B2137" t="s">
        <v>21</v>
      </c>
      <c r="C2137">
        <v>2001</v>
      </c>
      <c r="D2137">
        <v>4.5999999999999996</v>
      </c>
      <c r="E2137" t="s">
        <v>15</v>
      </c>
      <c r="F2137">
        <v>256463</v>
      </c>
      <c r="G2137" t="s">
        <v>30</v>
      </c>
      <c r="H2137">
        <v>84156.07</v>
      </c>
      <c r="I2137" t="s">
        <v>47</v>
      </c>
      <c r="J2137" t="s">
        <v>41</v>
      </c>
      <c r="K2137" t="s">
        <v>26</v>
      </c>
      <c r="L2137">
        <v>25</v>
      </c>
      <c r="M2137">
        <v>0.33</v>
      </c>
      <c r="N2137" t="s">
        <v>20</v>
      </c>
    </row>
    <row r="2138" spans="1:14" x14ac:dyDescent="0.25">
      <c r="A2138">
        <v>2137</v>
      </c>
      <c r="B2138" t="s">
        <v>36</v>
      </c>
      <c r="C2138">
        <v>2022</v>
      </c>
      <c r="D2138">
        <v>5.9</v>
      </c>
      <c r="E2138" t="s">
        <v>27</v>
      </c>
      <c r="F2138">
        <v>121509</v>
      </c>
      <c r="G2138" t="s">
        <v>16</v>
      </c>
      <c r="H2138">
        <v>81224.25</v>
      </c>
      <c r="I2138" t="s">
        <v>51</v>
      </c>
      <c r="J2138" t="s">
        <v>46</v>
      </c>
      <c r="K2138" t="s">
        <v>19</v>
      </c>
      <c r="L2138">
        <v>4</v>
      </c>
      <c r="M2138">
        <v>0.67</v>
      </c>
      <c r="N2138" t="s">
        <v>33</v>
      </c>
    </row>
    <row r="2139" spans="1:14" x14ac:dyDescent="0.25">
      <c r="A2139">
        <v>2138</v>
      </c>
      <c r="B2139" t="s">
        <v>14</v>
      </c>
      <c r="C2139">
        <v>2007</v>
      </c>
      <c r="D2139">
        <v>2.9</v>
      </c>
      <c r="E2139" t="s">
        <v>15</v>
      </c>
      <c r="F2139">
        <v>248505</v>
      </c>
      <c r="G2139" t="s">
        <v>30</v>
      </c>
      <c r="H2139">
        <v>14504.11</v>
      </c>
      <c r="I2139" t="s">
        <v>28</v>
      </c>
      <c r="J2139" t="s">
        <v>18</v>
      </c>
      <c r="K2139" t="s">
        <v>26</v>
      </c>
      <c r="L2139">
        <v>19</v>
      </c>
      <c r="M2139">
        <v>0.06</v>
      </c>
      <c r="N2139" t="s">
        <v>20</v>
      </c>
    </row>
    <row r="2140" spans="1:14" x14ac:dyDescent="0.25">
      <c r="A2140">
        <v>2139</v>
      </c>
      <c r="B2140" t="s">
        <v>43</v>
      </c>
      <c r="C2140">
        <v>2015</v>
      </c>
      <c r="D2140">
        <v>5</v>
      </c>
      <c r="E2140" t="s">
        <v>15</v>
      </c>
      <c r="F2140">
        <v>192589</v>
      </c>
      <c r="G2140" t="s">
        <v>22</v>
      </c>
      <c r="H2140">
        <v>93729.56</v>
      </c>
      <c r="I2140" t="s">
        <v>49</v>
      </c>
      <c r="J2140" t="s">
        <v>18</v>
      </c>
      <c r="K2140" t="s">
        <v>26</v>
      </c>
      <c r="L2140">
        <v>11</v>
      </c>
      <c r="M2140">
        <v>0.49</v>
      </c>
      <c r="N2140" t="s">
        <v>20</v>
      </c>
    </row>
    <row r="2141" spans="1:14" x14ac:dyDescent="0.25">
      <c r="A2141">
        <v>2140</v>
      </c>
      <c r="B2141" t="s">
        <v>21</v>
      </c>
      <c r="C2141">
        <v>2021</v>
      </c>
      <c r="D2141">
        <v>3.2</v>
      </c>
      <c r="E2141" t="s">
        <v>27</v>
      </c>
      <c r="F2141">
        <v>289531</v>
      </c>
      <c r="G2141" t="s">
        <v>16</v>
      </c>
      <c r="H2141">
        <v>15489.37</v>
      </c>
      <c r="I2141" t="s">
        <v>23</v>
      </c>
      <c r="J2141" t="s">
        <v>41</v>
      </c>
      <c r="K2141" t="s">
        <v>26</v>
      </c>
      <c r="L2141">
        <v>5</v>
      </c>
      <c r="M2141">
        <v>0.05</v>
      </c>
      <c r="N2141" t="s">
        <v>20</v>
      </c>
    </row>
    <row r="2142" spans="1:14" x14ac:dyDescent="0.25">
      <c r="A2142">
        <v>2141</v>
      </c>
      <c r="B2142" t="s">
        <v>43</v>
      </c>
      <c r="C2142">
        <v>2004</v>
      </c>
      <c r="D2142">
        <v>5.3</v>
      </c>
      <c r="E2142" t="s">
        <v>15</v>
      </c>
      <c r="F2142">
        <v>4090</v>
      </c>
      <c r="G2142" t="s">
        <v>22</v>
      </c>
      <c r="H2142">
        <v>65284.2</v>
      </c>
      <c r="I2142" t="s">
        <v>44</v>
      </c>
      <c r="J2142" t="s">
        <v>41</v>
      </c>
      <c r="K2142" t="s">
        <v>50</v>
      </c>
      <c r="L2142">
        <v>22</v>
      </c>
      <c r="M2142">
        <v>15.96</v>
      </c>
      <c r="N2142" t="s">
        <v>20</v>
      </c>
    </row>
    <row r="2143" spans="1:14" x14ac:dyDescent="0.25">
      <c r="A2143">
        <v>2142</v>
      </c>
      <c r="B2143" t="s">
        <v>29</v>
      </c>
      <c r="C2143">
        <v>2002</v>
      </c>
      <c r="D2143">
        <v>1.9</v>
      </c>
      <c r="E2143" t="s">
        <v>15</v>
      </c>
      <c r="F2143">
        <v>3743</v>
      </c>
      <c r="G2143" t="s">
        <v>16</v>
      </c>
      <c r="H2143">
        <v>68878.600000000006</v>
      </c>
      <c r="I2143" t="s">
        <v>31</v>
      </c>
      <c r="J2143" t="s">
        <v>32</v>
      </c>
      <c r="K2143" t="s">
        <v>50</v>
      </c>
      <c r="L2143">
        <v>24</v>
      </c>
      <c r="M2143">
        <v>18.399999999999999</v>
      </c>
      <c r="N2143" t="s">
        <v>33</v>
      </c>
    </row>
    <row r="2144" spans="1:14" x14ac:dyDescent="0.25">
      <c r="A2144">
        <v>2143</v>
      </c>
      <c r="B2144" t="s">
        <v>29</v>
      </c>
      <c r="C2144">
        <v>2011</v>
      </c>
      <c r="D2144">
        <v>5.7</v>
      </c>
      <c r="E2144" t="s">
        <v>27</v>
      </c>
      <c r="F2144">
        <v>30924</v>
      </c>
      <c r="G2144" t="s">
        <v>22</v>
      </c>
      <c r="H2144">
        <v>69588.36</v>
      </c>
      <c r="I2144" t="s">
        <v>40</v>
      </c>
      <c r="J2144" t="s">
        <v>46</v>
      </c>
      <c r="K2144" t="s">
        <v>50</v>
      </c>
      <c r="L2144">
        <v>15</v>
      </c>
      <c r="M2144">
        <v>2.25</v>
      </c>
      <c r="N2144" t="s">
        <v>33</v>
      </c>
    </row>
    <row r="2145" spans="1:14" x14ac:dyDescent="0.25">
      <c r="A2145">
        <v>2144</v>
      </c>
      <c r="B2145" t="s">
        <v>29</v>
      </c>
      <c r="C2145">
        <v>2012</v>
      </c>
      <c r="D2145">
        <v>2.1</v>
      </c>
      <c r="E2145" t="s">
        <v>27</v>
      </c>
      <c r="F2145">
        <v>141268</v>
      </c>
      <c r="G2145" t="s">
        <v>22</v>
      </c>
      <c r="H2145">
        <v>30208.36</v>
      </c>
      <c r="I2145" t="s">
        <v>40</v>
      </c>
      <c r="J2145" t="s">
        <v>32</v>
      </c>
      <c r="K2145" t="s">
        <v>19</v>
      </c>
      <c r="L2145">
        <v>14</v>
      </c>
      <c r="M2145">
        <v>0.21</v>
      </c>
      <c r="N2145" t="s">
        <v>33</v>
      </c>
    </row>
    <row r="2146" spans="1:14" x14ac:dyDescent="0.25">
      <c r="A2146">
        <v>2145</v>
      </c>
      <c r="B2146" t="s">
        <v>52</v>
      </c>
      <c r="C2146">
        <v>2012</v>
      </c>
      <c r="D2146">
        <v>2.6</v>
      </c>
      <c r="E2146" t="s">
        <v>27</v>
      </c>
      <c r="F2146">
        <v>105312</v>
      </c>
      <c r="G2146" t="s">
        <v>30</v>
      </c>
      <c r="H2146">
        <v>36382.78</v>
      </c>
      <c r="I2146" t="s">
        <v>61</v>
      </c>
      <c r="J2146" t="s">
        <v>32</v>
      </c>
      <c r="K2146" t="s">
        <v>19</v>
      </c>
      <c r="L2146">
        <v>14</v>
      </c>
      <c r="M2146">
        <v>0.35</v>
      </c>
      <c r="N2146" t="s">
        <v>33</v>
      </c>
    </row>
    <row r="2147" spans="1:14" x14ac:dyDescent="0.25">
      <c r="A2147">
        <v>2146</v>
      </c>
      <c r="B2147" t="s">
        <v>43</v>
      </c>
      <c r="C2147">
        <v>2009</v>
      </c>
      <c r="D2147">
        <v>4.8</v>
      </c>
      <c r="E2147" t="s">
        <v>15</v>
      </c>
      <c r="F2147">
        <v>216249</v>
      </c>
      <c r="G2147" t="s">
        <v>16</v>
      </c>
      <c r="H2147">
        <v>57124.3</v>
      </c>
      <c r="I2147" t="s">
        <v>49</v>
      </c>
      <c r="J2147" t="s">
        <v>18</v>
      </c>
      <c r="K2147" t="s">
        <v>26</v>
      </c>
      <c r="L2147">
        <v>17</v>
      </c>
      <c r="M2147">
        <v>0.26</v>
      </c>
      <c r="N2147" t="s">
        <v>20</v>
      </c>
    </row>
    <row r="2148" spans="1:14" x14ac:dyDescent="0.25">
      <c r="A2148">
        <v>2147</v>
      </c>
      <c r="B2148" t="s">
        <v>21</v>
      </c>
      <c r="C2148">
        <v>2003</v>
      </c>
      <c r="D2148">
        <v>3</v>
      </c>
      <c r="E2148" t="s">
        <v>15</v>
      </c>
      <c r="F2148">
        <v>224090</v>
      </c>
      <c r="G2148" t="s">
        <v>30</v>
      </c>
      <c r="H2148">
        <v>23960.81</v>
      </c>
      <c r="I2148" t="s">
        <v>23</v>
      </c>
      <c r="J2148" t="s">
        <v>18</v>
      </c>
      <c r="K2148" t="s">
        <v>26</v>
      </c>
      <c r="L2148">
        <v>23</v>
      </c>
      <c r="M2148">
        <v>0.11</v>
      </c>
      <c r="N2148" t="s">
        <v>20</v>
      </c>
    </row>
    <row r="2149" spans="1:14" x14ac:dyDescent="0.25">
      <c r="A2149">
        <v>2148</v>
      </c>
      <c r="B2149" t="s">
        <v>21</v>
      </c>
      <c r="C2149">
        <v>2008</v>
      </c>
      <c r="D2149">
        <v>4</v>
      </c>
      <c r="E2149" t="s">
        <v>15</v>
      </c>
      <c r="F2149">
        <v>229602</v>
      </c>
      <c r="G2149" t="s">
        <v>30</v>
      </c>
      <c r="H2149">
        <v>6929.49</v>
      </c>
      <c r="I2149" t="s">
        <v>42</v>
      </c>
      <c r="J2149" t="s">
        <v>18</v>
      </c>
      <c r="K2149" t="s">
        <v>26</v>
      </c>
      <c r="L2149">
        <v>18</v>
      </c>
      <c r="M2149">
        <v>0.03</v>
      </c>
      <c r="N2149" t="s">
        <v>20</v>
      </c>
    </row>
    <row r="2150" spans="1:14" x14ac:dyDescent="0.25">
      <c r="A2150">
        <v>2149</v>
      </c>
      <c r="B2150" t="s">
        <v>24</v>
      </c>
      <c r="C2150">
        <v>2021</v>
      </c>
      <c r="D2150">
        <v>3.2</v>
      </c>
      <c r="E2150" t="s">
        <v>15</v>
      </c>
      <c r="F2150">
        <v>103976</v>
      </c>
      <c r="G2150" t="s">
        <v>16</v>
      </c>
      <c r="H2150">
        <v>58403.72</v>
      </c>
      <c r="I2150" t="s">
        <v>25</v>
      </c>
      <c r="J2150" t="s">
        <v>18</v>
      </c>
      <c r="K2150" t="s">
        <v>19</v>
      </c>
      <c r="L2150">
        <v>5</v>
      </c>
      <c r="M2150">
        <v>0.56000000000000005</v>
      </c>
      <c r="N2150" t="s">
        <v>20</v>
      </c>
    </row>
    <row r="2151" spans="1:14" x14ac:dyDescent="0.25">
      <c r="A2151">
        <v>2150</v>
      </c>
      <c r="B2151" t="s">
        <v>24</v>
      </c>
      <c r="C2151">
        <v>2023</v>
      </c>
      <c r="D2151">
        <v>4.7</v>
      </c>
      <c r="E2151" t="s">
        <v>15</v>
      </c>
      <c r="F2151">
        <v>155183</v>
      </c>
      <c r="G2151" t="s">
        <v>22</v>
      </c>
      <c r="H2151">
        <v>49201.46</v>
      </c>
      <c r="I2151" t="s">
        <v>45</v>
      </c>
      <c r="J2151" t="s">
        <v>32</v>
      </c>
      <c r="K2151" t="s">
        <v>26</v>
      </c>
      <c r="L2151">
        <v>3</v>
      </c>
      <c r="M2151">
        <v>0.32</v>
      </c>
      <c r="N2151" t="s">
        <v>20</v>
      </c>
    </row>
    <row r="2152" spans="1:14" x14ac:dyDescent="0.25">
      <c r="A2152">
        <v>2151</v>
      </c>
      <c r="B2152" t="s">
        <v>14</v>
      </c>
      <c r="C2152">
        <v>2022</v>
      </c>
      <c r="D2152">
        <v>2.1</v>
      </c>
      <c r="E2152" t="s">
        <v>27</v>
      </c>
      <c r="F2152">
        <v>113566</v>
      </c>
      <c r="G2152" t="s">
        <v>16</v>
      </c>
      <c r="H2152">
        <v>67389.460000000006</v>
      </c>
      <c r="I2152" t="s">
        <v>17</v>
      </c>
      <c r="J2152" t="s">
        <v>18</v>
      </c>
      <c r="K2152" t="s">
        <v>19</v>
      </c>
      <c r="L2152">
        <v>4</v>
      </c>
      <c r="M2152">
        <v>0.59</v>
      </c>
      <c r="N2152" t="s">
        <v>20</v>
      </c>
    </row>
    <row r="2153" spans="1:14" x14ac:dyDescent="0.25">
      <c r="A2153">
        <v>2152</v>
      </c>
      <c r="B2153" t="s">
        <v>24</v>
      </c>
      <c r="C2153">
        <v>2001</v>
      </c>
      <c r="D2153">
        <v>1.3</v>
      </c>
      <c r="E2153" t="s">
        <v>15</v>
      </c>
      <c r="F2153">
        <v>257443</v>
      </c>
      <c r="G2153" t="s">
        <v>16</v>
      </c>
      <c r="H2153">
        <v>18936.55</v>
      </c>
      <c r="I2153" t="s">
        <v>45</v>
      </c>
      <c r="J2153" t="s">
        <v>46</v>
      </c>
      <c r="K2153" t="s">
        <v>26</v>
      </c>
      <c r="L2153">
        <v>25</v>
      </c>
      <c r="M2153">
        <v>7.0000000000000007E-2</v>
      </c>
      <c r="N2153" t="s">
        <v>20</v>
      </c>
    </row>
    <row r="2154" spans="1:14" x14ac:dyDescent="0.25">
      <c r="A2154">
        <v>2153</v>
      </c>
      <c r="B2154" t="s">
        <v>29</v>
      </c>
      <c r="C2154">
        <v>2018</v>
      </c>
      <c r="D2154">
        <v>2.5</v>
      </c>
      <c r="E2154" t="s">
        <v>27</v>
      </c>
      <c r="F2154">
        <v>119968</v>
      </c>
      <c r="G2154" t="s">
        <v>16</v>
      </c>
      <c r="H2154">
        <v>84887.86</v>
      </c>
      <c r="I2154" t="s">
        <v>62</v>
      </c>
      <c r="J2154" t="s">
        <v>18</v>
      </c>
      <c r="K2154" t="s">
        <v>19</v>
      </c>
      <c r="L2154">
        <v>8</v>
      </c>
      <c r="M2154">
        <v>0.71</v>
      </c>
      <c r="N2154" t="s">
        <v>33</v>
      </c>
    </row>
    <row r="2155" spans="1:14" x14ac:dyDescent="0.25">
      <c r="A2155">
        <v>2154</v>
      </c>
      <c r="B2155" t="s">
        <v>21</v>
      </c>
      <c r="C2155">
        <v>2000</v>
      </c>
      <c r="D2155">
        <v>3.4</v>
      </c>
      <c r="E2155" t="s">
        <v>15</v>
      </c>
      <c r="F2155">
        <v>61600</v>
      </c>
      <c r="G2155" t="s">
        <v>30</v>
      </c>
      <c r="H2155">
        <v>18891.04</v>
      </c>
      <c r="I2155" t="s">
        <v>47</v>
      </c>
      <c r="J2155" t="s">
        <v>18</v>
      </c>
      <c r="K2155" t="s">
        <v>19</v>
      </c>
      <c r="L2155">
        <v>26</v>
      </c>
      <c r="M2155">
        <v>0.31</v>
      </c>
      <c r="N2155" t="s">
        <v>20</v>
      </c>
    </row>
    <row r="2156" spans="1:14" x14ac:dyDescent="0.25">
      <c r="A2156">
        <v>2155</v>
      </c>
      <c r="B2156" t="s">
        <v>43</v>
      </c>
      <c r="C2156">
        <v>2006</v>
      </c>
      <c r="D2156">
        <v>1.8</v>
      </c>
      <c r="E2156" t="s">
        <v>27</v>
      </c>
      <c r="F2156">
        <v>50022</v>
      </c>
      <c r="G2156" t="s">
        <v>16</v>
      </c>
      <c r="H2156">
        <v>89677.64</v>
      </c>
      <c r="I2156" t="s">
        <v>44</v>
      </c>
      <c r="J2156" t="s">
        <v>18</v>
      </c>
      <c r="K2156" t="s">
        <v>19</v>
      </c>
      <c r="L2156">
        <v>20</v>
      </c>
      <c r="M2156">
        <v>1.79</v>
      </c>
      <c r="N2156" t="s">
        <v>20</v>
      </c>
    </row>
    <row r="2157" spans="1:14" x14ac:dyDescent="0.25">
      <c r="A2157">
        <v>2156</v>
      </c>
      <c r="B2157" t="s">
        <v>29</v>
      </c>
      <c r="C2157">
        <v>2016</v>
      </c>
      <c r="D2157">
        <v>2.8</v>
      </c>
      <c r="E2157" t="s">
        <v>15</v>
      </c>
      <c r="F2157">
        <v>134271</v>
      </c>
      <c r="G2157" t="s">
        <v>16</v>
      </c>
      <c r="H2157">
        <v>47704.51</v>
      </c>
      <c r="I2157" t="s">
        <v>62</v>
      </c>
      <c r="J2157" t="s">
        <v>41</v>
      </c>
      <c r="K2157" t="s">
        <v>19</v>
      </c>
      <c r="L2157">
        <v>10</v>
      </c>
      <c r="M2157">
        <v>0.36</v>
      </c>
      <c r="N2157" t="s">
        <v>33</v>
      </c>
    </row>
    <row r="2158" spans="1:14" x14ac:dyDescent="0.25">
      <c r="A2158">
        <v>2157</v>
      </c>
      <c r="B2158" t="s">
        <v>52</v>
      </c>
      <c r="C2158">
        <v>2002</v>
      </c>
      <c r="D2158">
        <v>3</v>
      </c>
      <c r="E2158" t="s">
        <v>15</v>
      </c>
      <c r="F2158">
        <v>123323</v>
      </c>
      <c r="G2158" t="s">
        <v>16</v>
      </c>
      <c r="H2158">
        <v>57231.5</v>
      </c>
      <c r="I2158" t="s">
        <v>59</v>
      </c>
      <c r="J2158" t="s">
        <v>46</v>
      </c>
      <c r="K2158" t="s">
        <v>19</v>
      </c>
      <c r="L2158">
        <v>24</v>
      </c>
      <c r="M2158">
        <v>0.46</v>
      </c>
      <c r="N2158" t="s">
        <v>33</v>
      </c>
    </row>
    <row r="2159" spans="1:14" x14ac:dyDescent="0.25">
      <c r="A2159">
        <v>2158</v>
      </c>
      <c r="B2159" t="s">
        <v>24</v>
      </c>
      <c r="C2159">
        <v>2019</v>
      </c>
      <c r="D2159">
        <v>1.3</v>
      </c>
      <c r="E2159" t="s">
        <v>27</v>
      </c>
      <c r="F2159">
        <v>186110</v>
      </c>
      <c r="G2159" t="s">
        <v>22</v>
      </c>
      <c r="H2159">
        <v>90175.23</v>
      </c>
      <c r="I2159" t="s">
        <v>45</v>
      </c>
      <c r="J2159" t="s">
        <v>46</v>
      </c>
      <c r="K2159" t="s">
        <v>26</v>
      </c>
      <c r="L2159">
        <v>7</v>
      </c>
      <c r="M2159">
        <v>0.48</v>
      </c>
      <c r="N2159" t="s">
        <v>20</v>
      </c>
    </row>
    <row r="2160" spans="1:14" x14ac:dyDescent="0.25">
      <c r="A2160">
        <v>2159</v>
      </c>
      <c r="B2160" t="s">
        <v>29</v>
      </c>
      <c r="C2160">
        <v>2019</v>
      </c>
      <c r="D2160">
        <v>3.9</v>
      </c>
      <c r="E2160" t="s">
        <v>15</v>
      </c>
      <c r="F2160">
        <v>120278</v>
      </c>
      <c r="G2160" t="s">
        <v>22</v>
      </c>
      <c r="H2160">
        <v>33491.74</v>
      </c>
      <c r="I2160" t="s">
        <v>38</v>
      </c>
      <c r="J2160" t="s">
        <v>32</v>
      </c>
      <c r="K2160" t="s">
        <v>19</v>
      </c>
      <c r="L2160">
        <v>7</v>
      </c>
      <c r="M2160">
        <v>0.28000000000000003</v>
      </c>
      <c r="N2160" t="s">
        <v>33</v>
      </c>
    </row>
    <row r="2161" spans="1:14" x14ac:dyDescent="0.25">
      <c r="A2161">
        <v>2160</v>
      </c>
      <c r="B2161" t="s">
        <v>29</v>
      </c>
      <c r="C2161">
        <v>2020</v>
      </c>
      <c r="D2161">
        <v>5.4</v>
      </c>
      <c r="E2161" t="s">
        <v>27</v>
      </c>
      <c r="F2161">
        <v>270041</v>
      </c>
      <c r="G2161" t="s">
        <v>22</v>
      </c>
      <c r="H2161">
        <v>22273.56</v>
      </c>
      <c r="I2161" t="s">
        <v>38</v>
      </c>
      <c r="J2161" t="s">
        <v>32</v>
      </c>
      <c r="K2161" t="s">
        <v>26</v>
      </c>
      <c r="L2161">
        <v>6</v>
      </c>
      <c r="M2161">
        <v>0.08</v>
      </c>
      <c r="N2161" t="s">
        <v>33</v>
      </c>
    </row>
    <row r="2162" spans="1:14" x14ac:dyDescent="0.25">
      <c r="A2162">
        <v>2161</v>
      </c>
      <c r="B2162" t="s">
        <v>52</v>
      </c>
      <c r="C2162">
        <v>2002</v>
      </c>
      <c r="D2162">
        <v>1.8</v>
      </c>
      <c r="E2162" t="s">
        <v>15</v>
      </c>
      <c r="F2162">
        <v>64541</v>
      </c>
      <c r="G2162" t="s">
        <v>22</v>
      </c>
      <c r="H2162">
        <v>47346.400000000001</v>
      </c>
      <c r="I2162" t="s">
        <v>56</v>
      </c>
      <c r="J2162" t="s">
        <v>18</v>
      </c>
      <c r="K2162" t="s">
        <v>19</v>
      </c>
      <c r="L2162">
        <v>24</v>
      </c>
      <c r="M2162">
        <v>0.73</v>
      </c>
      <c r="N2162" t="s">
        <v>33</v>
      </c>
    </row>
    <row r="2163" spans="1:14" x14ac:dyDescent="0.25">
      <c r="A2163">
        <v>2162</v>
      </c>
      <c r="B2163" t="s">
        <v>36</v>
      </c>
      <c r="C2163">
        <v>2002</v>
      </c>
      <c r="D2163">
        <v>4</v>
      </c>
      <c r="E2163" t="s">
        <v>15</v>
      </c>
      <c r="F2163">
        <v>106968</v>
      </c>
      <c r="G2163" t="s">
        <v>30</v>
      </c>
      <c r="H2163">
        <v>28214.89</v>
      </c>
      <c r="I2163" t="s">
        <v>51</v>
      </c>
      <c r="J2163" t="s">
        <v>41</v>
      </c>
      <c r="K2163" t="s">
        <v>19</v>
      </c>
      <c r="L2163">
        <v>24</v>
      </c>
      <c r="M2163">
        <v>0.26</v>
      </c>
      <c r="N2163" t="s">
        <v>33</v>
      </c>
    </row>
    <row r="2164" spans="1:14" x14ac:dyDescent="0.25">
      <c r="A2164">
        <v>2163</v>
      </c>
      <c r="B2164" t="s">
        <v>21</v>
      </c>
      <c r="C2164">
        <v>2016</v>
      </c>
      <c r="D2164">
        <v>4.3</v>
      </c>
      <c r="E2164" t="s">
        <v>27</v>
      </c>
      <c r="F2164">
        <v>14892</v>
      </c>
      <c r="G2164" t="s">
        <v>30</v>
      </c>
      <c r="H2164">
        <v>55145.17</v>
      </c>
      <c r="I2164" t="s">
        <v>23</v>
      </c>
      <c r="J2164" t="s">
        <v>32</v>
      </c>
      <c r="K2164" t="s">
        <v>50</v>
      </c>
      <c r="L2164">
        <v>10</v>
      </c>
      <c r="M2164">
        <v>3.7</v>
      </c>
      <c r="N2164" t="s">
        <v>20</v>
      </c>
    </row>
    <row r="2165" spans="1:14" x14ac:dyDescent="0.25">
      <c r="A2165">
        <v>2164</v>
      </c>
      <c r="B2165" t="s">
        <v>43</v>
      </c>
      <c r="C2165">
        <v>2006</v>
      </c>
      <c r="D2165">
        <v>3.1</v>
      </c>
      <c r="E2165" t="s">
        <v>15</v>
      </c>
      <c r="F2165">
        <v>24815</v>
      </c>
      <c r="G2165" t="s">
        <v>16</v>
      </c>
      <c r="H2165">
        <v>31149.5</v>
      </c>
      <c r="I2165" t="s">
        <v>55</v>
      </c>
      <c r="J2165" t="s">
        <v>32</v>
      </c>
      <c r="K2165" t="s">
        <v>50</v>
      </c>
      <c r="L2165">
        <v>20</v>
      </c>
      <c r="M2165">
        <v>1.26</v>
      </c>
      <c r="N2165" t="s">
        <v>20</v>
      </c>
    </row>
    <row r="2166" spans="1:14" x14ac:dyDescent="0.25">
      <c r="A2166">
        <v>2165</v>
      </c>
      <c r="B2166" t="s">
        <v>14</v>
      </c>
      <c r="C2166">
        <v>2013</v>
      </c>
      <c r="D2166">
        <v>4.5</v>
      </c>
      <c r="E2166" t="s">
        <v>27</v>
      </c>
      <c r="F2166">
        <v>278411</v>
      </c>
      <c r="G2166" t="s">
        <v>30</v>
      </c>
      <c r="H2166">
        <v>87126.51</v>
      </c>
      <c r="I2166" t="s">
        <v>17</v>
      </c>
      <c r="J2166" t="s">
        <v>18</v>
      </c>
      <c r="K2166" t="s">
        <v>26</v>
      </c>
      <c r="L2166">
        <v>13</v>
      </c>
      <c r="M2166">
        <v>0.31</v>
      </c>
      <c r="N2166" t="s">
        <v>20</v>
      </c>
    </row>
    <row r="2167" spans="1:14" x14ac:dyDescent="0.25">
      <c r="A2167">
        <v>2166</v>
      </c>
      <c r="B2167" t="s">
        <v>36</v>
      </c>
      <c r="C2167">
        <v>2016</v>
      </c>
      <c r="D2167">
        <v>3.1</v>
      </c>
      <c r="E2167" t="s">
        <v>15</v>
      </c>
      <c r="F2167">
        <v>280412</v>
      </c>
      <c r="G2167" t="s">
        <v>22</v>
      </c>
      <c r="H2167">
        <v>62695.839999999997</v>
      </c>
      <c r="I2167" t="s">
        <v>37</v>
      </c>
      <c r="J2167" t="s">
        <v>18</v>
      </c>
      <c r="K2167" t="s">
        <v>26</v>
      </c>
      <c r="L2167">
        <v>10</v>
      </c>
      <c r="M2167">
        <v>0.22</v>
      </c>
      <c r="N2167" t="s">
        <v>33</v>
      </c>
    </row>
    <row r="2168" spans="1:14" x14ac:dyDescent="0.25">
      <c r="A2168">
        <v>2167</v>
      </c>
      <c r="B2168" t="s">
        <v>24</v>
      </c>
      <c r="C2168">
        <v>2017</v>
      </c>
      <c r="D2168">
        <v>3.5</v>
      </c>
      <c r="E2168" t="s">
        <v>15</v>
      </c>
      <c r="F2168">
        <v>114463</v>
      </c>
      <c r="G2168" t="s">
        <v>16</v>
      </c>
      <c r="H2168">
        <v>5022.8599999999997</v>
      </c>
      <c r="I2168" t="s">
        <v>45</v>
      </c>
      <c r="J2168" t="s">
        <v>32</v>
      </c>
      <c r="K2168" t="s">
        <v>19</v>
      </c>
      <c r="L2168">
        <v>9</v>
      </c>
      <c r="M2168">
        <v>0.04</v>
      </c>
      <c r="N2168" t="s">
        <v>20</v>
      </c>
    </row>
    <row r="2169" spans="1:14" x14ac:dyDescent="0.25">
      <c r="A2169">
        <v>2168</v>
      </c>
      <c r="B2169" t="s">
        <v>29</v>
      </c>
      <c r="C2169">
        <v>2012</v>
      </c>
      <c r="D2169">
        <v>1</v>
      </c>
      <c r="E2169" t="s">
        <v>15</v>
      </c>
      <c r="F2169">
        <v>190732</v>
      </c>
      <c r="G2169" t="s">
        <v>16</v>
      </c>
      <c r="H2169">
        <v>81520</v>
      </c>
      <c r="I2169" t="s">
        <v>40</v>
      </c>
      <c r="J2169" t="s">
        <v>32</v>
      </c>
      <c r="K2169" t="s">
        <v>26</v>
      </c>
      <c r="L2169">
        <v>14</v>
      </c>
      <c r="M2169">
        <v>0.43</v>
      </c>
      <c r="N2169" t="s">
        <v>33</v>
      </c>
    </row>
    <row r="2170" spans="1:14" x14ac:dyDescent="0.25">
      <c r="A2170">
        <v>2169</v>
      </c>
      <c r="B2170" t="s">
        <v>52</v>
      </c>
      <c r="C2170">
        <v>2019</v>
      </c>
      <c r="D2170">
        <v>4.5</v>
      </c>
      <c r="E2170" t="s">
        <v>15</v>
      </c>
      <c r="F2170">
        <v>196599</v>
      </c>
      <c r="G2170" t="s">
        <v>22</v>
      </c>
      <c r="H2170">
        <v>36370.17</v>
      </c>
      <c r="I2170" t="s">
        <v>59</v>
      </c>
      <c r="J2170" t="s">
        <v>46</v>
      </c>
      <c r="K2170" t="s">
        <v>26</v>
      </c>
      <c r="L2170">
        <v>7</v>
      </c>
      <c r="M2170">
        <v>0.18</v>
      </c>
      <c r="N2170" t="s">
        <v>33</v>
      </c>
    </row>
    <row r="2171" spans="1:14" x14ac:dyDescent="0.25">
      <c r="A2171">
        <v>2170</v>
      </c>
      <c r="B2171" t="s">
        <v>52</v>
      </c>
      <c r="C2171">
        <v>2019</v>
      </c>
      <c r="D2171">
        <v>4.3</v>
      </c>
      <c r="E2171" t="s">
        <v>15</v>
      </c>
      <c r="F2171">
        <v>194451</v>
      </c>
      <c r="G2171" t="s">
        <v>22</v>
      </c>
      <c r="H2171">
        <v>35419.760000000002</v>
      </c>
      <c r="I2171" t="s">
        <v>53</v>
      </c>
      <c r="J2171" t="s">
        <v>41</v>
      </c>
      <c r="K2171" t="s">
        <v>26</v>
      </c>
      <c r="L2171">
        <v>7</v>
      </c>
      <c r="M2171">
        <v>0.18</v>
      </c>
      <c r="N2171" t="s">
        <v>33</v>
      </c>
    </row>
    <row r="2172" spans="1:14" x14ac:dyDescent="0.25">
      <c r="A2172">
        <v>2171</v>
      </c>
      <c r="B2172" t="s">
        <v>21</v>
      </c>
      <c r="C2172">
        <v>2020</v>
      </c>
      <c r="D2172">
        <v>1.2</v>
      </c>
      <c r="E2172" t="s">
        <v>15</v>
      </c>
      <c r="F2172">
        <v>172343</v>
      </c>
      <c r="G2172" t="s">
        <v>22</v>
      </c>
      <c r="H2172">
        <v>41390.97</v>
      </c>
      <c r="I2172" t="s">
        <v>23</v>
      </c>
      <c r="J2172" t="s">
        <v>46</v>
      </c>
      <c r="K2172" t="s">
        <v>26</v>
      </c>
      <c r="L2172">
        <v>6</v>
      </c>
      <c r="M2172">
        <v>0.24</v>
      </c>
      <c r="N2172" t="s">
        <v>20</v>
      </c>
    </row>
    <row r="2173" spans="1:14" x14ac:dyDescent="0.25">
      <c r="A2173">
        <v>2172</v>
      </c>
      <c r="B2173" t="s">
        <v>36</v>
      </c>
      <c r="C2173">
        <v>2017</v>
      </c>
      <c r="D2173">
        <v>2.8</v>
      </c>
      <c r="E2173" t="s">
        <v>15</v>
      </c>
      <c r="F2173">
        <v>138307</v>
      </c>
      <c r="G2173" t="s">
        <v>30</v>
      </c>
      <c r="H2173">
        <v>64874.94</v>
      </c>
      <c r="I2173" t="s">
        <v>57</v>
      </c>
      <c r="J2173" t="s">
        <v>32</v>
      </c>
      <c r="K2173" t="s">
        <v>19</v>
      </c>
      <c r="L2173">
        <v>9</v>
      </c>
      <c r="M2173">
        <v>0.47</v>
      </c>
      <c r="N2173" t="s">
        <v>33</v>
      </c>
    </row>
    <row r="2174" spans="1:14" x14ac:dyDescent="0.25">
      <c r="A2174">
        <v>2173</v>
      </c>
      <c r="B2174" t="s">
        <v>14</v>
      </c>
      <c r="C2174">
        <v>2003</v>
      </c>
      <c r="D2174">
        <v>5.9</v>
      </c>
      <c r="E2174" t="s">
        <v>27</v>
      </c>
      <c r="F2174">
        <v>88757</v>
      </c>
      <c r="G2174" t="s">
        <v>16</v>
      </c>
      <c r="H2174">
        <v>46995.77</v>
      </c>
      <c r="I2174" t="s">
        <v>58</v>
      </c>
      <c r="J2174" t="s">
        <v>18</v>
      </c>
      <c r="K2174" t="s">
        <v>19</v>
      </c>
      <c r="L2174">
        <v>23</v>
      </c>
      <c r="M2174">
        <v>0.53</v>
      </c>
      <c r="N2174" t="s">
        <v>20</v>
      </c>
    </row>
    <row r="2175" spans="1:14" x14ac:dyDescent="0.25">
      <c r="A2175">
        <v>2174</v>
      </c>
      <c r="B2175" t="s">
        <v>21</v>
      </c>
      <c r="C2175">
        <v>2000</v>
      </c>
      <c r="D2175">
        <v>3.1</v>
      </c>
      <c r="E2175" t="s">
        <v>15</v>
      </c>
      <c r="F2175">
        <v>296753</v>
      </c>
      <c r="G2175" t="s">
        <v>22</v>
      </c>
      <c r="H2175">
        <v>64720.38</v>
      </c>
      <c r="I2175" t="s">
        <v>60</v>
      </c>
      <c r="J2175" t="s">
        <v>46</v>
      </c>
      <c r="K2175" t="s">
        <v>26</v>
      </c>
      <c r="L2175">
        <v>26</v>
      </c>
      <c r="M2175">
        <v>0.22</v>
      </c>
      <c r="N2175" t="s">
        <v>20</v>
      </c>
    </row>
    <row r="2176" spans="1:14" x14ac:dyDescent="0.25">
      <c r="A2176">
        <v>2175</v>
      </c>
      <c r="B2176" t="s">
        <v>29</v>
      </c>
      <c r="C2176">
        <v>2017</v>
      </c>
      <c r="D2176">
        <v>3.5</v>
      </c>
      <c r="E2176" t="s">
        <v>15</v>
      </c>
      <c r="F2176">
        <v>254200</v>
      </c>
      <c r="G2176" t="s">
        <v>16</v>
      </c>
      <c r="H2176">
        <v>18944.169999999998</v>
      </c>
      <c r="I2176" t="s">
        <v>40</v>
      </c>
      <c r="J2176" t="s">
        <v>32</v>
      </c>
      <c r="K2176" t="s">
        <v>26</v>
      </c>
      <c r="L2176">
        <v>9</v>
      </c>
      <c r="M2176">
        <v>7.0000000000000007E-2</v>
      </c>
      <c r="N2176" t="s">
        <v>33</v>
      </c>
    </row>
    <row r="2177" spans="1:14" x14ac:dyDescent="0.25">
      <c r="A2177">
        <v>2176</v>
      </c>
      <c r="B2177" t="s">
        <v>21</v>
      </c>
      <c r="C2177">
        <v>2000</v>
      </c>
      <c r="D2177">
        <v>5.5</v>
      </c>
      <c r="E2177" t="s">
        <v>15</v>
      </c>
      <c r="F2177">
        <v>23645</v>
      </c>
      <c r="G2177" t="s">
        <v>16</v>
      </c>
      <c r="H2177">
        <v>97165.62</v>
      </c>
      <c r="I2177" t="s">
        <v>23</v>
      </c>
      <c r="J2177" t="s">
        <v>18</v>
      </c>
      <c r="K2177" t="s">
        <v>50</v>
      </c>
      <c r="L2177">
        <v>26</v>
      </c>
      <c r="M2177">
        <v>4.1100000000000003</v>
      </c>
      <c r="N2177" t="s">
        <v>20</v>
      </c>
    </row>
    <row r="2178" spans="1:14" x14ac:dyDescent="0.25">
      <c r="A2178">
        <v>2177</v>
      </c>
      <c r="B2178" t="s">
        <v>43</v>
      </c>
      <c r="C2178">
        <v>2012</v>
      </c>
      <c r="D2178">
        <v>4.5999999999999996</v>
      </c>
      <c r="E2178" t="s">
        <v>27</v>
      </c>
      <c r="F2178">
        <v>195630</v>
      </c>
      <c r="G2178" t="s">
        <v>30</v>
      </c>
      <c r="H2178">
        <v>74312.600000000006</v>
      </c>
      <c r="I2178" t="s">
        <v>55</v>
      </c>
      <c r="J2178" t="s">
        <v>32</v>
      </c>
      <c r="K2178" t="s">
        <v>26</v>
      </c>
      <c r="L2178">
        <v>14</v>
      </c>
      <c r="M2178">
        <v>0.38</v>
      </c>
      <c r="N2178" t="s">
        <v>20</v>
      </c>
    </row>
    <row r="2179" spans="1:14" x14ac:dyDescent="0.25">
      <c r="A2179">
        <v>2178</v>
      </c>
      <c r="B2179" t="s">
        <v>52</v>
      </c>
      <c r="C2179">
        <v>2019</v>
      </c>
      <c r="D2179">
        <v>3.9</v>
      </c>
      <c r="E2179" t="s">
        <v>27</v>
      </c>
      <c r="F2179">
        <v>154473</v>
      </c>
      <c r="G2179" t="s">
        <v>16</v>
      </c>
      <c r="H2179">
        <v>28769.68</v>
      </c>
      <c r="I2179" t="s">
        <v>59</v>
      </c>
      <c r="J2179" t="s">
        <v>18</v>
      </c>
      <c r="K2179" t="s">
        <v>26</v>
      </c>
      <c r="L2179">
        <v>7</v>
      </c>
      <c r="M2179">
        <v>0.19</v>
      </c>
      <c r="N2179" t="s">
        <v>33</v>
      </c>
    </row>
    <row r="2180" spans="1:14" x14ac:dyDescent="0.25">
      <c r="A2180">
        <v>2179</v>
      </c>
      <c r="B2180" t="s">
        <v>52</v>
      </c>
      <c r="C2180">
        <v>2019</v>
      </c>
      <c r="D2180">
        <v>5</v>
      </c>
      <c r="E2180" t="s">
        <v>15</v>
      </c>
      <c r="F2180">
        <v>269915</v>
      </c>
      <c r="G2180" t="s">
        <v>22</v>
      </c>
      <c r="H2180">
        <v>73796.14</v>
      </c>
      <c r="I2180" t="s">
        <v>53</v>
      </c>
      <c r="J2180" t="s">
        <v>32</v>
      </c>
      <c r="K2180" t="s">
        <v>26</v>
      </c>
      <c r="L2180">
        <v>7</v>
      </c>
      <c r="M2180">
        <v>0.27</v>
      </c>
      <c r="N2180" t="s">
        <v>33</v>
      </c>
    </row>
    <row r="2181" spans="1:14" x14ac:dyDescent="0.25">
      <c r="A2181">
        <v>2180</v>
      </c>
      <c r="B2181" t="s">
        <v>24</v>
      </c>
      <c r="C2181">
        <v>2022</v>
      </c>
      <c r="D2181">
        <v>5.3</v>
      </c>
      <c r="E2181" t="s">
        <v>15</v>
      </c>
      <c r="F2181">
        <v>151460</v>
      </c>
      <c r="G2181" t="s">
        <v>22</v>
      </c>
      <c r="H2181">
        <v>59627.42</v>
      </c>
      <c r="I2181" t="s">
        <v>35</v>
      </c>
      <c r="J2181" t="s">
        <v>32</v>
      </c>
      <c r="K2181" t="s">
        <v>26</v>
      </c>
      <c r="L2181">
        <v>4</v>
      </c>
      <c r="M2181">
        <v>0.39</v>
      </c>
      <c r="N2181" t="s">
        <v>20</v>
      </c>
    </row>
    <row r="2182" spans="1:14" x14ac:dyDescent="0.25">
      <c r="A2182">
        <v>2181</v>
      </c>
      <c r="B2182" t="s">
        <v>24</v>
      </c>
      <c r="C2182">
        <v>2009</v>
      </c>
      <c r="D2182">
        <v>3.3</v>
      </c>
      <c r="E2182" t="s">
        <v>15</v>
      </c>
      <c r="F2182">
        <v>83251</v>
      </c>
      <c r="G2182" t="s">
        <v>16</v>
      </c>
      <c r="H2182">
        <v>15372.95</v>
      </c>
      <c r="I2182" t="s">
        <v>45</v>
      </c>
      <c r="J2182" t="s">
        <v>32</v>
      </c>
      <c r="K2182" t="s">
        <v>19</v>
      </c>
      <c r="L2182">
        <v>17</v>
      </c>
      <c r="M2182">
        <v>0.18</v>
      </c>
      <c r="N2182" t="s">
        <v>20</v>
      </c>
    </row>
    <row r="2183" spans="1:14" x14ac:dyDescent="0.25">
      <c r="A2183">
        <v>2182</v>
      </c>
      <c r="B2183" t="s">
        <v>14</v>
      </c>
      <c r="C2183">
        <v>2010</v>
      </c>
      <c r="D2183">
        <v>3.4</v>
      </c>
      <c r="E2183" t="s">
        <v>27</v>
      </c>
      <c r="F2183">
        <v>57042</v>
      </c>
      <c r="G2183" t="s">
        <v>16</v>
      </c>
      <c r="H2183">
        <v>21928.66</v>
      </c>
      <c r="I2183" t="s">
        <v>39</v>
      </c>
      <c r="J2183" t="s">
        <v>18</v>
      </c>
      <c r="K2183" t="s">
        <v>19</v>
      </c>
      <c r="L2183">
        <v>16</v>
      </c>
      <c r="M2183">
        <v>0.38</v>
      </c>
      <c r="N2183" t="s">
        <v>20</v>
      </c>
    </row>
    <row r="2184" spans="1:14" x14ac:dyDescent="0.25">
      <c r="A2184">
        <v>2183</v>
      </c>
      <c r="B2184" t="s">
        <v>29</v>
      </c>
      <c r="C2184">
        <v>2008</v>
      </c>
      <c r="D2184">
        <v>2.9</v>
      </c>
      <c r="E2184" t="s">
        <v>15</v>
      </c>
      <c r="F2184">
        <v>196945</v>
      </c>
      <c r="G2184" t="s">
        <v>30</v>
      </c>
      <c r="H2184">
        <v>8924.27</v>
      </c>
      <c r="I2184" t="s">
        <v>40</v>
      </c>
      <c r="J2184" t="s">
        <v>18</v>
      </c>
      <c r="K2184" t="s">
        <v>26</v>
      </c>
      <c r="L2184">
        <v>18</v>
      </c>
      <c r="M2184">
        <v>0.05</v>
      </c>
      <c r="N2184" t="s">
        <v>33</v>
      </c>
    </row>
    <row r="2185" spans="1:14" x14ac:dyDescent="0.25">
      <c r="A2185">
        <v>2184</v>
      </c>
      <c r="B2185" t="s">
        <v>43</v>
      </c>
      <c r="C2185">
        <v>2008</v>
      </c>
      <c r="D2185">
        <v>5.8</v>
      </c>
      <c r="E2185" t="s">
        <v>27</v>
      </c>
      <c r="F2185">
        <v>47024</v>
      </c>
      <c r="G2185" t="s">
        <v>22</v>
      </c>
      <c r="H2185">
        <v>81877.62</v>
      </c>
      <c r="I2185" t="s">
        <v>55</v>
      </c>
      <c r="J2185" t="s">
        <v>41</v>
      </c>
      <c r="K2185" t="s">
        <v>50</v>
      </c>
      <c r="L2185">
        <v>18</v>
      </c>
      <c r="M2185">
        <v>1.74</v>
      </c>
      <c r="N2185" t="s">
        <v>20</v>
      </c>
    </row>
    <row r="2186" spans="1:14" x14ac:dyDescent="0.25">
      <c r="A2186">
        <v>2185</v>
      </c>
      <c r="B2186" t="s">
        <v>36</v>
      </c>
      <c r="C2186">
        <v>2004</v>
      </c>
      <c r="D2186">
        <v>4.5</v>
      </c>
      <c r="E2186" t="s">
        <v>15</v>
      </c>
      <c r="F2186">
        <v>154522</v>
      </c>
      <c r="G2186" t="s">
        <v>22</v>
      </c>
      <c r="H2186">
        <v>57411.95</v>
      </c>
      <c r="I2186" t="s">
        <v>51</v>
      </c>
      <c r="J2186" t="s">
        <v>32</v>
      </c>
      <c r="K2186" t="s">
        <v>26</v>
      </c>
      <c r="L2186">
        <v>22</v>
      </c>
      <c r="M2186">
        <v>0.37</v>
      </c>
      <c r="N2186" t="s">
        <v>33</v>
      </c>
    </row>
    <row r="2187" spans="1:14" x14ac:dyDescent="0.25">
      <c r="A2187">
        <v>2186</v>
      </c>
      <c r="B2187" t="s">
        <v>21</v>
      </c>
      <c r="C2187">
        <v>2000</v>
      </c>
      <c r="D2187">
        <v>1.4</v>
      </c>
      <c r="E2187" t="s">
        <v>27</v>
      </c>
      <c r="F2187">
        <v>56965</v>
      </c>
      <c r="G2187" t="s">
        <v>16</v>
      </c>
      <c r="H2187">
        <v>35091.120000000003</v>
      </c>
      <c r="I2187" t="s">
        <v>42</v>
      </c>
      <c r="J2187" t="s">
        <v>46</v>
      </c>
      <c r="K2187" t="s">
        <v>19</v>
      </c>
      <c r="L2187">
        <v>26</v>
      </c>
      <c r="M2187">
        <v>0.62</v>
      </c>
      <c r="N2187" t="s">
        <v>20</v>
      </c>
    </row>
    <row r="2188" spans="1:14" x14ac:dyDescent="0.25">
      <c r="A2188">
        <v>2187</v>
      </c>
      <c r="B2188" t="s">
        <v>14</v>
      </c>
      <c r="C2188">
        <v>2016</v>
      </c>
      <c r="D2188">
        <v>5.3</v>
      </c>
      <c r="E2188" t="s">
        <v>27</v>
      </c>
      <c r="F2188">
        <v>272201</v>
      </c>
      <c r="G2188" t="s">
        <v>16</v>
      </c>
      <c r="H2188">
        <v>17002.77</v>
      </c>
      <c r="I2188" t="s">
        <v>17</v>
      </c>
      <c r="J2188" t="s">
        <v>18</v>
      </c>
      <c r="K2188" t="s">
        <v>26</v>
      </c>
      <c r="L2188">
        <v>10</v>
      </c>
      <c r="M2188">
        <v>0.06</v>
      </c>
      <c r="N2188" t="s">
        <v>20</v>
      </c>
    </row>
    <row r="2189" spans="1:14" x14ac:dyDescent="0.25">
      <c r="A2189">
        <v>2188</v>
      </c>
      <c r="B2189" t="s">
        <v>29</v>
      </c>
      <c r="C2189">
        <v>2021</v>
      </c>
      <c r="D2189">
        <v>3.4</v>
      </c>
      <c r="E2189" t="s">
        <v>15</v>
      </c>
      <c r="F2189">
        <v>224321</v>
      </c>
      <c r="G2189" t="s">
        <v>16</v>
      </c>
      <c r="H2189">
        <v>50984.36</v>
      </c>
      <c r="I2189" t="s">
        <v>40</v>
      </c>
      <c r="J2189" t="s">
        <v>18</v>
      </c>
      <c r="K2189" t="s">
        <v>26</v>
      </c>
      <c r="L2189">
        <v>5</v>
      </c>
      <c r="M2189">
        <v>0.23</v>
      </c>
      <c r="N2189" t="s">
        <v>33</v>
      </c>
    </row>
    <row r="2190" spans="1:14" x14ac:dyDescent="0.25">
      <c r="A2190">
        <v>2189</v>
      </c>
      <c r="B2190" t="s">
        <v>24</v>
      </c>
      <c r="C2190">
        <v>2001</v>
      </c>
      <c r="D2190">
        <v>1.3</v>
      </c>
      <c r="E2190" t="s">
        <v>15</v>
      </c>
      <c r="F2190">
        <v>271127</v>
      </c>
      <c r="G2190" t="s">
        <v>22</v>
      </c>
      <c r="H2190">
        <v>54899.83</v>
      </c>
      <c r="I2190" t="s">
        <v>25</v>
      </c>
      <c r="J2190" t="s">
        <v>32</v>
      </c>
      <c r="K2190" t="s">
        <v>26</v>
      </c>
      <c r="L2190">
        <v>25</v>
      </c>
      <c r="M2190">
        <v>0.2</v>
      </c>
      <c r="N2190" t="s">
        <v>20</v>
      </c>
    </row>
    <row r="2191" spans="1:14" x14ac:dyDescent="0.25">
      <c r="A2191">
        <v>2190</v>
      </c>
      <c r="B2191" t="s">
        <v>21</v>
      </c>
      <c r="C2191">
        <v>2023</v>
      </c>
      <c r="D2191">
        <v>3.7</v>
      </c>
      <c r="E2191" t="s">
        <v>15</v>
      </c>
      <c r="F2191">
        <v>19995</v>
      </c>
      <c r="G2191" t="s">
        <v>16</v>
      </c>
      <c r="H2191">
        <v>71685.11</v>
      </c>
      <c r="I2191" t="s">
        <v>60</v>
      </c>
      <c r="J2191" t="s">
        <v>41</v>
      </c>
      <c r="K2191" t="s">
        <v>50</v>
      </c>
      <c r="L2191">
        <v>3</v>
      </c>
      <c r="M2191">
        <v>3.59</v>
      </c>
      <c r="N2191" t="s">
        <v>20</v>
      </c>
    </row>
    <row r="2192" spans="1:14" x14ac:dyDescent="0.25">
      <c r="A2192">
        <v>2191</v>
      </c>
      <c r="B2192" t="s">
        <v>24</v>
      </c>
      <c r="C2192">
        <v>2012</v>
      </c>
      <c r="D2192">
        <v>3.1</v>
      </c>
      <c r="E2192" t="s">
        <v>15</v>
      </c>
      <c r="F2192">
        <v>114587</v>
      </c>
      <c r="G2192" t="s">
        <v>30</v>
      </c>
      <c r="H2192">
        <v>97144.03</v>
      </c>
      <c r="I2192" t="s">
        <v>35</v>
      </c>
      <c r="J2192" t="s">
        <v>46</v>
      </c>
      <c r="K2192" t="s">
        <v>19</v>
      </c>
      <c r="L2192">
        <v>14</v>
      </c>
      <c r="M2192">
        <v>0.85</v>
      </c>
      <c r="N2192" t="s">
        <v>20</v>
      </c>
    </row>
    <row r="2193" spans="1:14" x14ac:dyDescent="0.25">
      <c r="A2193">
        <v>2192</v>
      </c>
      <c r="B2193" t="s">
        <v>21</v>
      </c>
      <c r="C2193">
        <v>2008</v>
      </c>
      <c r="D2193">
        <v>5.4</v>
      </c>
      <c r="E2193" t="s">
        <v>15</v>
      </c>
      <c r="F2193">
        <v>233076</v>
      </c>
      <c r="G2193" t="s">
        <v>30</v>
      </c>
      <c r="H2193">
        <v>46319.83</v>
      </c>
      <c r="I2193" t="s">
        <v>47</v>
      </c>
      <c r="J2193" t="s">
        <v>41</v>
      </c>
      <c r="K2193" t="s">
        <v>26</v>
      </c>
      <c r="L2193">
        <v>18</v>
      </c>
      <c r="M2193">
        <v>0.2</v>
      </c>
      <c r="N2193" t="s">
        <v>20</v>
      </c>
    </row>
    <row r="2194" spans="1:14" x14ac:dyDescent="0.25">
      <c r="A2194">
        <v>2193</v>
      </c>
      <c r="B2194" t="s">
        <v>36</v>
      </c>
      <c r="C2194">
        <v>2003</v>
      </c>
      <c r="D2194">
        <v>2</v>
      </c>
      <c r="E2194" t="s">
        <v>15</v>
      </c>
      <c r="F2194">
        <v>222700</v>
      </c>
      <c r="G2194" t="s">
        <v>16</v>
      </c>
      <c r="H2194">
        <v>43573.25</v>
      </c>
      <c r="I2194" t="s">
        <v>54</v>
      </c>
      <c r="J2194" t="s">
        <v>18</v>
      </c>
      <c r="K2194" t="s">
        <v>26</v>
      </c>
      <c r="L2194">
        <v>23</v>
      </c>
      <c r="M2194">
        <v>0.2</v>
      </c>
      <c r="N2194" t="s">
        <v>33</v>
      </c>
    </row>
    <row r="2195" spans="1:14" x14ac:dyDescent="0.25">
      <c r="A2195">
        <v>2194</v>
      </c>
      <c r="B2195" t="s">
        <v>29</v>
      </c>
      <c r="C2195">
        <v>2004</v>
      </c>
      <c r="D2195">
        <v>5.0999999999999996</v>
      </c>
      <c r="E2195" t="s">
        <v>15</v>
      </c>
      <c r="F2195">
        <v>38886</v>
      </c>
      <c r="G2195" t="s">
        <v>30</v>
      </c>
      <c r="H2195">
        <v>40143.35</v>
      </c>
      <c r="I2195" t="s">
        <v>62</v>
      </c>
      <c r="J2195" t="s">
        <v>41</v>
      </c>
      <c r="K2195" t="s">
        <v>50</v>
      </c>
      <c r="L2195">
        <v>22</v>
      </c>
      <c r="M2195">
        <v>1.03</v>
      </c>
      <c r="N2195" t="s">
        <v>33</v>
      </c>
    </row>
    <row r="2196" spans="1:14" x14ac:dyDescent="0.25">
      <c r="A2196">
        <v>2195</v>
      </c>
      <c r="B2196" t="s">
        <v>21</v>
      </c>
      <c r="C2196">
        <v>2010</v>
      </c>
      <c r="D2196">
        <v>3.8</v>
      </c>
      <c r="E2196" t="s">
        <v>27</v>
      </c>
      <c r="F2196">
        <v>95149</v>
      </c>
      <c r="G2196" t="s">
        <v>30</v>
      </c>
      <c r="H2196">
        <v>83557.77</v>
      </c>
      <c r="I2196" t="s">
        <v>42</v>
      </c>
      <c r="J2196" t="s">
        <v>46</v>
      </c>
      <c r="K2196" t="s">
        <v>19</v>
      </c>
      <c r="L2196">
        <v>16</v>
      </c>
      <c r="M2196">
        <v>0.88</v>
      </c>
      <c r="N2196" t="s">
        <v>20</v>
      </c>
    </row>
    <row r="2197" spans="1:14" x14ac:dyDescent="0.25">
      <c r="A2197">
        <v>2196</v>
      </c>
      <c r="B2197" t="s">
        <v>43</v>
      </c>
      <c r="C2197">
        <v>2023</v>
      </c>
      <c r="D2197">
        <v>1.3</v>
      </c>
      <c r="E2197" t="s">
        <v>15</v>
      </c>
      <c r="F2197">
        <v>94020</v>
      </c>
      <c r="G2197" t="s">
        <v>30</v>
      </c>
      <c r="H2197">
        <v>19850.14</v>
      </c>
      <c r="I2197" t="s">
        <v>48</v>
      </c>
      <c r="J2197" t="s">
        <v>46</v>
      </c>
      <c r="K2197" t="s">
        <v>19</v>
      </c>
      <c r="L2197">
        <v>3</v>
      </c>
      <c r="M2197">
        <v>0.21</v>
      </c>
      <c r="N2197" t="s">
        <v>20</v>
      </c>
    </row>
    <row r="2198" spans="1:14" x14ac:dyDescent="0.25">
      <c r="A2198">
        <v>2197</v>
      </c>
      <c r="B2198" t="s">
        <v>14</v>
      </c>
      <c r="C2198">
        <v>2018</v>
      </c>
      <c r="D2198">
        <v>5.9</v>
      </c>
      <c r="E2198" t="s">
        <v>15</v>
      </c>
      <c r="F2198">
        <v>2673</v>
      </c>
      <c r="G2198" t="s">
        <v>30</v>
      </c>
      <c r="H2198">
        <v>37662.230000000003</v>
      </c>
      <c r="I2198" t="s">
        <v>28</v>
      </c>
      <c r="J2198" t="s">
        <v>18</v>
      </c>
      <c r="K2198" t="s">
        <v>50</v>
      </c>
      <c r="L2198">
        <v>8</v>
      </c>
      <c r="M2198">
        <v>14.09</v>
      </c>
      <c r="N2198" t="s">
        <v>20</v>
      </c>
    </row>
    <row r="2199" spans="1:14" x14ac:dyDescent="0.25">
      <c r="A2199">
        <v>2198</v>
      </c>
      <c r="B2199" t="s">
        <v>52</v>
      </c>
      <c r="C2199">
        <v>2020</v>
      </c>
      <c r="D2199">
        <v>3.6</v>
      </c>
      <c r="E2199" t="s">
        <v>27</v>
      </c>
      <c r="F2199">
        <v>23466</v>
      </c>
      <c r="G2199" t="s">
        <v>30</v>
      </c>
      <c r="H2199">
        <v>73872.23</v>
      </c>
      <c r="I2199" t="s">
        <v>56</v>
      </c>
      <c r="J2199" t="s">
        <v>46</v>
      </c>
      <c r="K2199" t="s">
        <v>50</v>
      </c>
      <c r="L2199">
        <v>6</v>
      </c>
      <c r="M2199">
        <v>3.15</v>
      </c>
      <c r="N2199" t="s">
        <v>33</v>
      </c>
    </row>
    <row r="2200" spans="1:14" x14ac:dyDescent="0.25">
      <c r="A2200">
        <v>2199</v>
      </c>
      <c r="B2200" t="s">
        <v>43</v>
      </c>
      <c r="C2200">
        <v>2002</v>
      </c>
      <c r="D2200">
        <v>2.5</v>
      </c>
      <c r="E2200" t="s">
        <v>15</v>
      </c>
      <c r="F2200">
        <v>237626</v>
      </c>
      <c r="G2200" t="s">
        <v>22</v>
      </c>
      <c r="H2200">
        <v>6491.02</v>
      </c>
      <c r="I2200" t="s">
        <v>44</v>
      </c>
      <c r="J2200" t="s">
        <v>32</v>
      </c>
      <c r="K2200" t="s">
        <v>26</v>
      </c>
      <c r="L2200">
        <v>24</v>
      </c>
      <c r="M2200">
        <v>0.03</v>
      </c>
      <c r="N2200" t="s">
        <v>20</v>
      </c>
    </row>
    <row r="2201" spans="1:14" x14ac:dyDescent="0.25">
      <c r="A2201">
        <v>2200</v>
      </c>
      <c r="B2201" t="s">
        <v>43</v>
      </c>
      <c r="C2201">
        <v>2011</v>
      </c>
      <c r="D2201">
        <v>3.3</v>
      </c>
      <c r="E2201" t="s">
        <v>15</v>
      </c>
      <c r="F2201">
        <v>50406</v>
      </c>
      <c r="G2201" t="s">
        <v>16</v>
      </c>
      <c r="H2201">
        <v>32491.17</v>
      </c>
      <c r="I2201" t="s">
        <v>48</v>
      </c>
      <c r="J2201" t="s">
        <v>46</v>
      </c>
      <c r="K2201" t="s">
        <v>19</v>
      </c>
      <c r="L2201">
        <v>15</v>
      </c>
      <c r="M2201">
        <v>0.64</v>
      </c>
      <c r="N2201" t="s">
        <v>20</v>
      </c>
    </row>
    <row r="2202" spans="1:14" x14ac:dyDescent="0.25">
      <c r="A2202">
        <v>2201</v>
      </c>
      <c r="B2202" t="s">
        <v>14</v>
      </c>
      <c r="C2202">
        <v>2018</v>
      </c>
      <c r="D2202">
        <v>5.3</v>
      </c>
      <c r="E2202" t="s">
        <v>15</v>
      </c>
      <c r="F2202">
        <v>69284</v>
      </c>
      <c r="G2202" t="s">
        <v>30</v>
      </c>
      <c r="H2202">
        <v>65937.48</v>
      </c>
      <c r="I2202" t="s">
        <v>17</v>
      </c>
      <c r="J2202" t="s">
        <v>18</v>
      </c>
      <c r="K2202" t="s">
        <v>19</v>
      </c>
      <c r="L2202">
        <v>8</v>
      </c>
      <c r="M2202">
        <v>0.95</v>
      </c>
      <c r="N2202" t="s">
        <v>20</v>
      </c>
    </row>
    <row r="2203" spans="1:14" x14ac:dyDescent="0.25">
      <c r="A2203">
        <v>2202</v>
      </c>
      <c r="B2203" t="s">
        <v>52</v>
      </c>
      <c r="C2203">
        <v>2018</v>
      </c>
      <c r="D2203">
        <v>2.5</v>
      </c>
      <c r="E2203" t="s">
        <v>15</v>
      </c>
      <c r="F2203">
        <v>235718</v>
      </c>
      <c r="G2203" t="s">
        <v>16</v>
      </c>
      <c r="H2203">
        <v>22665.45</v>
      </c>
      <c r="I2203" t="s">
        <v>56</v>
      </c>
      <c r="J2203" t="s">
        <v>41</v>
      </c>
      <c r="K2203" t="s">
        <v>26</v>
      </c>
      <c r="L2203">
        <v>8</v>
      </c>
      <c r="M2203">
        <v>0.1</v>
      </c>
      <c r="N2203" t="s">
        <v>33</v>
      </c>
    </row>
    <row r="2204" spans="1:14" x14ac:dyDescent="0.25">
      <c r="A2204">
        <v>2203</v>
      </c>
      <c r="B2204" t="s">
        <v>43</v>
      </c>
      <c r="C2204">
        <v>2012</v>
      </c>
      <c r="D2204">
        <v>2</v>
      </c>
      <c r="E2204" t="s">
        <v>27</v>
      </c>
      <c r="F2204">
        <v>13665</v>
      </c>
      <c r="G2204" t="s">
        <v>30</v>
      </c>
      <c r="H2204">
        <v>33757.5</v>
      </c>
      <c r="I2204" t="s">
        <v>55</v>
      </c>
      <c r="J2204" t="s">
        <v>32</v>
      </c>
      <c r="K2204" t="s">
        <v>50</v>
      </c>
      <c r="L2204">
        <v>14</v>
      </c>
      <c r="M2204">
        <v>2.4700000000000002</v>
      </c>
      <c r="N2204" t="s">
        <v>20</v>
      </c>
    </row>
    <row r="2205" spans="1:14" x14ac:dyDescent="0.25">
      <c r="A2205">
        <v>2204</v>
      </c>
      <c r="B2205" t="s">
        <v>21</v>
      </c>
      <c r="C2205">
        <v>2006</v>
      </c>
      <c r="D2205">
        <v>1.6</v>
      </c>
      <c r="E2205" t="s">
        <v>27</v>
      </c>
      <c r="F2205">
        <v>20641</v>
      </c>
      <c r="G2205" t="s">
        <v>22</v>
      </c>
      <c r="H2205">
        <v>51174.28</v>
      </c>
      <c r="I2205" t="s">
        <v>42</v>
      </c>
      <c r="J2205" t="s">
        <v>32</v>
      </c>
      <c r="K2205" t="s">
        <v>50</v>
      </c>
      <c r="L2205">
        <v>20</v>
      </c>
      <c r="M2205">
        <v>2.48</v>
      </c>
      <c r="N2205" t="s">
        <v>20</v>
      </c>
    </row>
    <row r="2206" spans="1:14" x14ac:dyDescent="0.25">
      <c r="A2206">
        <v>2205</v>
      </c>
      <c r="B2206" t="s">
        <v>21</v>
      </c>
      <c r="C2206">
        <v>2014</v>
      </c>
      <c r="D2206">
        <v>2.5</v>
      </c>
      <c r="E2206" t="s">
        <v>15</v>
      </c>
      <c r="F2206">
        <v>35797</v>
      </c>
      <c r="G2206" t="s">
        <v>22</v>
      </c>
      <c r="H2206">
        <v>45092.24</v>
      </c>
      <c r="I2206" t="s">
        <v>47</v>
      </c>
      <c r="J2206" t="s">
        <v>41</v>
      </c>
      <c r="K2206" t="s">
        <v>50</v>
      </c>
      <c r="L2206">
        <v>12</v>
      </c>
      <c r="M2206">
        <v>1.26</v>
      </c>
      <c r="N2206" t="s">
        <v>20</v>
      </c>
    </row>
    <row r="2207" spans="1:14" x14ac:dyDescent="0.25">
      <c r="A2207">
        <v>2206</v>
      </c>
      <c r="B2207" t="s">
        <v>21</v>
      </c>
      <c r="C2207">
        <v>2022</v>
      </c>
      <c r="D2207">
        <v>4.9000000000000004</v>
      </c>
      <c r="E2207" t="s">
        <v>15</v>
      </c>
      <c r="F2207">
        <v>215838</v>
      </c>
      <c r="G2207" t="s">
        <v>30</v>
      </c>
      <c r="H2207">
        <v>15072.58</v>
      </c>
      <c r="I2207" t="s">
        <v>23</v>
      </c>
      <c r="J2207" t="s">
        <v>46</v>
      </c>
      <c r="K2207" t="s">
        <v>26</v>
      </c>
      <c r="L2207">
        <v>4</v>
      </c>
      <c r="M2207">
        <v>7.0000000000000007E-2</v>
      </c>
      <c r="N2207" t="s">
        <v>20</v>
      </c>
    </row>
    <row r="2208" spans="1:14" x14ac:dyDescent="0.25">
      <c r="A2208">
        <v>2207</v>
      </c>
      <c r="B2208" t="s">
        <v>52</v>
      </c>
      <c r="C2208">
        <v>2006</v>
      </c>
      <c r="D2208">
        <v>3.4</v>
      </c>
      <c r="E2208" t="s">
        <v>27</v>
      </c>
      <c r="F2208">
        <v>102339</v>
      </c>
      <c r="G2208" t="s">
        <v>30</v>
      </c>
      <c r="H2208">
        <v>94132.36</v>
      </c>
      <c r="I2208" t="s">
        <v>61</v>
      </c>
      <c r="J2208" t="s">
        <v>32</v>
      </c>
      <c r="K2208" t="s">
        <v>19</v>
      </c>
      <c r="L2208">
        <v>20</v>
      </c>
      <c r="M2208">
        <v>0.92</v>
      </c>
      <c r="N2208" t="s">
        <v>33</v>
      </c>
    </row>
    <row r="2209" spans="1:14" x14ac:dyDescent="0.25">
      <c r="A2209">
        <v>2208</v>
      </c>
      <c r="B2209" t="s">
        <v>43</v>
      </c>
      <c r="C2209">
        <v>2007</v>
      </c>
      <c r="D2209">
        <v>2.1</v>
      </c>
      <c r="E2209" t="s">
        <v>15</v>
      </c>
      <c r="F2209">
        <v>113431</v>
      </c>
      <c r="G2209" t="s">
        <v>30</v>
      </c>
      <c r="H2209">
        <v>9207.81</v>
      </c>
      <c r="I2209" t="s">
        <v>48</v>
      </c>
      <c r="J2209" t="s">
        <v>46</v>
      </c>
      <c r="K2209" t="s">
        <v>19</v>
      </c>
      <c r="L2209">
        <v>19</v>
      </c>
      <c r="M2209">
        <v>0.08</v>
      </c>
      <c r="N2209" t="s">
        <v>20</v>
      </c>
    </row>
    <row r="2210" spans="1:14" x14ac:dyDescent="0.25">
      <c r="A2210">
        <v>2209</v>
      </c>
      <c r="B2210" t="s">
        <v>52</v>
      </c>
      <c r="C2210">
        <v>2004</v>
      </c>
      <c r="D2210">
        <v>1.8</v>
      </c>
      <c r="E2210" t="s">
        <v>27</v>
      </c>
      <c r="F2210">
        <v>232275</v>
      </c>
      <c r="G2210" t="s">
        <v>22</v>
      </c>
      <c r="H2210">
        <v>76225.56</v>
      </c>
      <c r="I2210" t="s">
        <v>59</v>
      </c>
      <c r="J2210" t="s">
        <v>41</v>
      </c>
      <c r="K2210" t="s">
        <v>26</v>
      </c>
      <c r="L2210">
        <v>22</v>
      </c>
      <c r="M2210">
        <v>0.33</v>
      </c>
      <c r="N2210" t="s">
        <v>33</v>
      </c>
    </row>
    <row r="2211" spans="1:14" x14ac:dyDescent="0.25">
      <c r="A2211">
        <v>2210</v>
      </c>
      <c r="B2211" t="s">
        <v>21</v>
      </c>
      <c r="C2211">
        <v>2020</v>
      </c>
      <c r="D2211">
        <v>2.7</v>
      </c>
      <c r="E2211" t="s">
        <v>27</v>
      </c>
      <c r="F2211">
        <v>283317</v>
      </c>
      <c r="G2211" t="s">
        <v>22</v>
      </c>
      <c r="H2211">
        <v>11785.16</v>
      </c>
      <c r="I2211" t="s">
        <v>42</v>
      </c>
      <c r="J2211" t="s">
        <v>18</v>
      </c>
      <c r="K2211" t="s">
        <v>26</v>
      </c>
      <c r="L2211">
        <v>6</v>
      </c>
      <c r="M2211">
        <v>0.04</v>
      </c>
      <c r="N2211" t="s">
        <v>20</v>
      </c>
    </row>
    <row r="2212" spans="1:14" x14ac:dyDescent="0.25">
      <c r="A2212">
        <v>2211</v>
      </c>
      <c r="B2212" t="s">
        <v>14</v>
      </c>
      <c r="C2212">
        <v>2013</v>
      </c>
      <c r="D2212">
        <v>5.7</v>
      </c>
      <c r="E2212" t="s">
        <v>27</v>
      </c>
      <c r="F2212">
        <v>144294</v>
      </c>
      <c r="G2212" t="s">
        <v>16</v>
      </c>
      <c r="H2212">
        <v>49393.1</v>
      </c>
      <c r="I2212" t="s">
        <v>17</v>
      </c>
      <c r="J2212" t="s">
        <v>18</v>
      </c>
      <c r="K2212" t="s">
        <v>19</v>
      </c>
      <c r="L2212">
        <v>13</v>
      </c>
      <c r="M2212">
        <v>0.34</v>
      </c>
      <c r="N2212" t="s">
        <v>20</v>
      </c>
    </row>
    <row r="2213" spans="1:14" x14ac:dyDescent="0.25">
      <c r="A2213">
        <v>2212</v>
      </c>
      <c r="B2213" t="s">
        <v>43</v>
      </c>
      <c r="C2213">
        <v>2003</v>
      </c>
      <c r="D2213">
        <v>2.7</v>
      </c>
      <c r="E2213" t="s">
        <v>15</v>
      </c>
      <c r="F2213">
        <v>181136</v>
      </c>
      <c r="G2213" t="s">
        <v>22</v>
      </c>
      <c r="H2213">
        <v>21664.07</v>
      </c>
      <c r="I2213" t="s">
        <v>48</v>
      </c>
      <c r="J2213" t="s">
        <v>46</v>
      </c>
      <c r="K2213" t="s">
        <v>26</v>
      </c>
      <c r="L2213">
        <v>23</v>
      </c>
      <c r="M2213">
        <v>0.12</v>
      </c>
      <c r="N2213" t="s">
        <v>20</v>
      </c>
    </row>
    <row r="2214" spans="1:14" x14ac:dyDescent="0.25">
      <c r="A2214">
        <v>2213</v>
      </c>
      <c r="B2214" t="s">
        <v>43</v>
      </c>
      <c r="C2214">
        <v>2022</v>
      </c>
      <c r="D2214">
        <v>5.9</v>
      </c>
      <c r="E2214" t="s">
        <v>15</v>
      </c>
      <c r="F2214">
        <v>168082</v>
      </c>
      <c r="G2214" t="s">
        <v>30</v>
      </c>
      <c r="H2214">
        <v>18404.29</v>
      </c>
      <c r="I2214" t="s">
        <v>44</v>
      </c>
      <c r="J2214" t="s">
        <v>18</v>
      </c>
      <c r="K2214" t="s">
        <v>26</v>
      </c>
      <c r="L2214">
        <v>4</v>
      </c>
      <c r="M2214">
        <v>0.11</v>
      </c>
      <c r="N2214" t="s">
        <v>20</v>
      </c>
    </row>
    <row r="2215" spans="1:14" x14ac:dyDescent="0.25">
      <c r="A2215">
        <v>2214</v>
      </c>
      <c r="B2215" t="s">
        <v>24</v>
      </c>
      <c r="C2215">
        <v>2009</v>
      </c>
      <c r="D2215">
        <v>3.4</v>
      </c>
      <c r="E2215" t="s">
        <v>15</v>
      </c>
      <c r="F2215">
        <v>253301</v>
      </c>
      <c r="G2215" t="s">
        <v>16</v>
      </c>
      <c r="H2215">
        <v>16960.310000000001</v>
      </c>
      <c r="I2215" t="s">
        <v>35</v>
      </c>
      <c r="J2215" t="s">
        <v>18</v>
      </c>
      <c r="K2215" t="s">
        <v>26</v>
      </c>
      <c r="L2215">
        <v>17</v>
      </c>
      <c r="M2215">
        <v>7.0000000000000007E-2</v>
      </c>
      <c r="N2215" t="s">
        <v>20</v>
      </c>
    </row>
    <row r="2216" spans="1:14" x14ac:dyDescent="0.25">
      <c r="A2216">
        <v>2215</v>
      </c>
      <c r="B2216" t="s">
        <v>24</v>
      </c>
      <c r="C2216">
        <v>2019</v>
      </c>
      <c r="D2216">
        <v>1.9</v>
      </c>
      <c r="E2216" t="s">
        <v>27</v>
      </c>
      <c r="F2216">
        <v>18095</v>
      </c>
      <c r="G2216" t="s">
        <v>22</v>
      </c>
      <c r="H2216">
        <v>48014.73</v>
      </c>
      <c r="I2216" t="s">
        <v>45</v>
      </c>
      <c r="J2216" t="s">
        <v>41</v>
      </c>
      <c r="K2216" t="s">
        <v>50</v>
      </c>
      <c r="L2216">
        <v>7</v>
      </c>
      <c r="M2216">
        <v>2.65</v>
      </c>
      <c r="N2216" t="s">
        <v>20</v>
      </c>
    </row>
    <row r="2217" spans="1:14" x14ac:dyDescent="0.25">
      <c r="A2217">
        <v>2216</v>
      </c>
      <c r="B2217" t="s">
        <v>36</v>
      </c>
      <c r="C2217">
        <v>2014</v>
      </c>
      <c r="D2217">
        <v>5.5</v>
      </c>
      <c r="E2217" t="s">
        <v>15</v>
      </c>
      <c r="F2217">
        <v>123554</v>
      </c>
      <c r="G2217" t="s">
        <v>22</v>
      </c>
      <c r="H2217">
        <v>53971.07</v>
      </c>
      <c r="I2217" t="s">
        <v>54</v>
      </c>
      <c r="J2217" t="s">
        <v>46</v>
      </c>
      <c r="K2217" t="s">
        <v>19</v>
      </c>
      <c r="L2217">
        <v>12</v>
      </c>
      <c r="M2217">
        <v>0.44</v>
      </c>
      <c r="N2217" t="s">
        <v>33</v>
      </c>
    </row>
    <row r="2218" spans="1:14" x14ac:dyDescent="0.25">
      <c r="A2218">
        <v>2217</v>
      </c>
      <c r="B2218" t="s">
        <v>29</v>
      </c>
      <c r="C2218">
        <v>2017</v>
      </c>
      <c r="D2218">
        <v>3.3</v>
      </c>
      <c r="E2218" t="s">
        <v>15</v>
      </c>
      <c r="F2218">
        <v>234989</v>
      </c>
      <c r="G2218" t="s">
        <v>30</v>
      </c>
      <c r="H2218">
        <v>17671.53</v>
      </c>
      <c r="I2218" t="s">
        <v>38</v>
      </c>
      <c r="J2218" t="s">
        <v>46</v>
      </c>
      <c r="K2218" t="s">
        <v>26</v>
      </c>
      <c r="L2218">
        <v>9</v>
      </c>
      <c r="M2218">
        <v>0.08</v>
      </c>
      <c r="N2218" t="s">
        <v>33</v>
      </c>
    </row>
    <row r="2219" spans="1:14" x14ac:dyDescent="0.25">
      <c r="A2219">
        <v>2218</v>
      </c>
      <c r="B2219" t="s">
        <v>24</v>
      </c>
      <c r="C2219">
        <v>2019</v>
      </c>
      <c r="D2219">
        <v>4.5</v>
      </c>
      <c r="E2219" t="s">
        <v>27</v>
      </c>
      <c r="F2219">
        <v>89023</v>
      </c>
      <c r="G2219" t="s">
        <v>16</v>
      </c>
      <c r="H2219">
        <v>98042.59</v>
      </c>
      <c r="I2219" t="s">
        <v>34</v>
      </c>
      <c r="J2219" t="s">
        <v>41</v>
      </c>
      <c r="K2219" t="s">
        <v>19</v>
      </c>
      <c r="L2219">
        <v>7</v>
      </c>
      <c r="M2219">
        <v>1.1000000000000001</v>
      </c>
      <c r="N2219" t="s">
        <v>20</v>
      </c>
    </row>
    <row r="2220" spans="1:14" x14ac:dyDescent="0.25">
      <c r="A2220">
        <v>2219</v>
      </c>
      <c r="B2220" t="s">
        <v>52</v>
      </c>
      <c r="C2220">
        <v>2012</v>
      </c>
      <c r="D2220">
        <v>5.9</v>
      </c>
      <c r="E2220" t="s">
        <v>15</v>
      </c>
      <c r="F2220">
        <v>107181</v>
      </c>
      <c r="G2220" t="s">
        <v>22</v>
      </c>
      <c r="H2220">
        <v>29487.759999999998</v>
      </c>
      <c r="I2220" t="s">
        <v>56</v>
      </c>
      <c r="J2220" t="s">
        <v>46</v>
      </c>
      <c r="K2220" t="s">
        <v>19</v>
      </c>
      <c r="L2220">
        <v>14</v>
      </c>
      <c r="M2220">
        <v>0.28000000000000003</v>
      </c>
      <c r="N2220" t="s">
        <v>33</v>
      </c>
    </row>
    <row r="2221" spans="1:14" x14ac:dyDescent="0.25">
      <c r="A2221">
        <v>2220</v>
      </c>
      <c r="B2221" t="s">
        <v>24</v>
      </c>
      <c r="C2221">
        <v>2007</v>
      </c>
      <c r="D2221">
        <v>1.3</v>
      </c>
      <c r="E2221" t="s">
        <v>15</v>
      </c>
      <c r="F2221">
        <v>222310</v>
      </c>
      <c r="G2221" t="s">
        <v>22</v>
      </c>
      <c r="H2221">
        <v>48589.93</v>
      </c>
      <c r="I2221" t="s">
        <v>45</v>
      </c>
      <c r="J2221" t="s">
        <v>32</v>
      </c>
      <c r="K2221" t="s">
        <v>26</v>
      </c>
      <c r="L2221">
        <v>19</v>
      </c>
      <c r="M2221">
        <v>0.22</v>
      </c>
      <c r="N2221" t="s">
        <v>20</v>
      </c>
    </row>
    <row r="2222" spans="1:14" x14ac:dyDescent="0.25">
      <c r="A2222">
        <v>2221</v>
      </c>
      <c r="B2222" t="s">
        <v>36</v>
      </c>
      <c r="C2222">
        <v>2008</v>
      </c>
      <c r="D2222">
        <v>1.5</v>
      </c>
      <c r="E2222" t="s">
        <v>15</v>
      </c>
      <c r="F2222">
        <v>282744</v>
      </c>
      <c r="G2222" t="s">
        <v>30</v>
      </c>
      <c r="H2222">
        <v>25545.61</v>
      </c>
      <c r="I2222" t="s">
        <v>51</v>
      </c>
      <c r="J2222" t="s">
        <v>32</v>
      </c>
      <c r="K2222" t="s">
        <v>26</v>
      </c>
      <c r="L2222">
        <v>18</v>
      </c>
      <c r="M2222">
        <v>0.09</v>
      </c>
      <c r="N2222" t="s">
        <v>33</v>
      </c>
    </row>
    <row r="2223" spans="1:14" x14ac:dyDescent="0.25">
      <c r="A2223">
        <v>2222</v>
      </c>
      <c r="B2223" t="s">
        <v>43</v>
      </c>
      <c r="C2223">
        <v>2015</v>
      </c>
      <c r="D2223">
        <v>4.5999999999999996</v>
      </c>
      <c r="E2223" t="s">
        <v>27</v>
      </c>
      <c r="F2223">
        <v>264610</v>
      </c>
      <c r="G2223" t="s">
        <v>16</v>
      </c>
      <c r="H2223">
        <v>51922.65</v>
      </c>
      <c r="I2223" t="s">
        <v>44</v>
      </c>
      <c r="J2223" t="s">
        <v>32</v>
      </c>
      <c r="K2223" t="s">
        <v>26</v>
      </c>
      <c r="L2223">
        <v>11</v>
      </c>
      <c r="M2223">
        <v>0.2</v>
      </c>
      <c r="N2223" t="s">
        <v>20</v>
      </c>
    </row>
    <row r="2224" spans="1:14" x14ac:dyDescent="0.25">
      <c r="A2224">
        <v>2223</v>
      </c>
      <c r="B2224" t="s">
        <v>36</v>
      </c>
      <c r="C2224">
        <v>2018</v>
      </c>
      <c r="D2224">
        <v>2.4</v>
      </c>
      <c r="E2224" t="s">
        <v>15</v>
      </c>
      <c r="F2224">
        <v>256349</v>
      </c>
      <c r="G2224" t="s">
        <v>16</v>
      </c>
      <c r="H2224">
        <v>76821.58</v>
      </c>
      <c r="I2224" t="s">
        <v>37</v>
      </c>
      <c r="J2224" t="s">
        <v>46</v>
      </c>
      <c r="K2224" t="s">
        <v>26</v>
      </c>
      <c r="L2224">
        <v>8</v>
      </c>
      <c r="M2224">
        <v>0.3</v>
      </c>
      <c r="N2224" t="s">
        <v>33</v>
      </c>
    </row>
    <row r="2225" spans="1:14" x14ac:dyDescent="0.25">
      <c r="A2225">
        <v>2224</v>
      </c>
      <c r="B2225" t="s">
        <v>43</v>
      </c>
      <c r="C2225">
        <v>2015</v>
      </c>
      <c r="D2225">
        <v>1.9</v>
      </c>
      <c r="E2225" t="s">
        <v>27</v>
      </c>
      <c r="F2225">
        <v>176169</v>
      </c>
      <c r="G2225" t="s">
        <v>16</v>
      </c>
      <c r="H2225">
        <v>54504.69</v>
      </c>
      <c r="I2225" t="s">
        <v>49</v>
      </c>
      <c r="J2225" t="s">
        <v>32</v>
      </c>
      <c r="K2225" t="s">
        <v>26</v>
      </c>
      <c r="L2225">
        <v>11</v>
      </c>
      <c r="M2225">
        <v>0.31</v>
      </c>
      <c r="N2225" t="s">
        <v>20</v>
      </c>
    </row>
    <row r="2226" spans="1:14" x14ac:dyDescent="0.25">
      <c r="A2226">
        <v>2225</v>
      </c>
      <c r="B2226" t="s">
        <v>14</v>
      </c>
      <c r="C2226">
        <v>2006</v>
      </c>
      <c r="D2226">
        <v>1.2</v>
      </c>
      <c r="E2226" t="s">
        <v>27</v>
      </c>
      <c r="F2226">
        <v>53276</v>
      </c>
      <c r="G2226" t="s">
        <v>16</v>
      </c>
      <c r="H2226">
        <v>32136.639999999999</v>
      </c>
      <c r="I2226" t="s">
        <v>17</v>
      </c>
      <c r="J2226" t="s">
        <v>18</v>
      </c>
      <c r="K2226" t="s">
        <v>19</v>
      </c>
      <c r="L2226">
        <v>20</v>
      </c>
      <c r="M2226">
        <v>0.6</v>
      </c>
      <c r="N2226" t="s">
        <v>20</v>
      </c>
    </row>
    <row r="2227" spans="1:14" x14ac:dyDescent="0.25">
      <c r="A2227">
        <v>2226</v>
      </c>
      <c r="B2227" t="s">
        <v>14</v>
      </c>
      <c r="C2227">
        <v>2013</v>
      </c>
      <c r="D2227">
        <v>1.1000000000000001</v>
      </c>
      <c r="E2227" t="s">
        <v>27</v>
      </c>
      <c r="F2227">
        <v>269072</v>
      </c>
      <c r="G2227" t="s">
        <v>30</v>
      </c>
      <c r="H2227">
        <v>28597.68</v>
      </c>
      <c r="I2227" t="s">
        <v>39</v>
      </c>
      <c r="J2227" t="s">
        <v>18</v>
      </c>
      <c r="K2227" t="s">
        <v>26</v>
      </c>
      <c r="L2227">
        <v>13</v>
      </c>
      <c r="M2227">
        <v>0.11</v>
      </c>
      <c r="N2227" t="s">
        <v>20</v>
      </c>
    </row>
    <row r="2228" spans="1:14" x14ac:dyDescent="0.25">
      <c r="A2228">
        <v>2227</v>
      </c>
      <c r="B2228" t="s">
        <v>43</v>
      </c>
      <c r="C2228">
        <v>2013</v>
      </c>
      <c r="D2228">
        <v>4.9000000000000004</v>
      </c>
      <c r="E2228" t="s">
        <v>15</v>
      </c>
      <c r="F2228">
        <v>205719</v>
      </c>
      <c r="G2228" t="s">
        <v>22</v>
      </c>
      <c r="H2228">
        <v>77098.77</v>
      </c>
      <c r="I2228" t="s">
        <v>48</v>
      </c>
      <c r="J2228" t="s">
        <v>41</v>
      </c>
      <c r="K2228" t="s">
        <v>26</v>
      </c>
      <c r="L2228">
        <v>13</v>
      </c>
      <c r="M2228">
        <v>0.37</v>
      </c>
      <c r="N2228" t="s">
        <v>20</v>
      </c>
    </row>
    <row r="2229" spans="1:14" x14ac:dyDescent="0.25">
      <c r="A2229">
        <v>2228</v>
      </c>
      <c r="B2229" t="s">
        <v>29</v>
      </c>
      <c r="C2229">
        <v>2003</v>
      </c>
      <c r="D2229">
        <v>1.7</v>
      </c>
      <c r="E2229" t="s">
        <v>15</v>
      </c>
      <c r="F2229">
        <v>171960</v>
      </c>
      <c r="G2229" t="s">
        <v>22</v>
      </c>
      <c r="H2229">
        <v>16232.63</v>
      </c>
      <c r="I2229" t="s">
        <v>38</v>
      </c>
      <c r="J2229" t="s">
        <v>18</v>
      </c>
      <c r="K2229" t="s">
        <v>26</v>
      </c>
      <c r="L2229">
        <v>23</v>
      </c>
      <c r="M2229">
        <v>0.09</v>
      </c>
      <c r="N2229" t="s">
        <v>33</v>
      </c>
    </row>
    <row r="2230" spans="1:14" x14ac:dyDescent="0.25">
      <c r="A2230">
        <v>2229</v>
      </c>
      <c r="B2230" t="s">
        <v>24</v>
      </c>
      <c r="C2230">
        <v>2014</v>
      </c>
      <c r="D2230">
        <v>3.3</v>
      </c>
      <c r="E2230" t="s">
        <v>15</v>
      </c>
      <c r="F2230">
        <v>226097</v>
      </c>
      <c r="G2230" t="s">
        <v>16</v>
      </c>
      <c r="H2230">
        <v>40146.82</v>
      </c>
      <c r="I2230" t="s">
        <v>34</v>
      </c>
      <c r="J2230" t="s">
        <v>18</v>
      </c>
      <c r="K2230" t="s">
        <v>26</v>
      </c>
      <c r="L2230">
        <v>12</v>
      </c>
      <c r="M2230">
        <v>0.18</v>
      </c>
      <c r="N2230" t="s">
        <v>20</v>
      </c>
    </row>
    <row r="2231" spans="1:14" x14ac:dyDescent="0.25">
      <c r="A2231">
        <v>2230</v>
      </c>
      <c r="B2231" t="s">
        <v>52</v>
      </c>
      <c r="C2231">
        <v>2002</v>
      </c>
      <c r="D2231">
        <v>4</v>
      </c>
      <c r="E2231" t="s">
        <v>27</v>
      </c>
      <c r="F2231">
        <v>174904</v>
      </c>
      <c r="G2231" t="s">
        <v>16</v>
      </c>
      <c r="H2231">
        <v>19390.86</v>
      </c>
      <c r="I2231" t="s">
        <v>59</v>
      </c>
      <c r="J2231" t="s">
        <v>18</v>
      </c>
      <c r="K2231" t="s">
        <v>26</v>
      </c>
      <c r="L2231">
        <v>24</v>
      </c>
      <c r="M2231">
        <v>0.11</v>
      </c>
      <c r="N2231" t="s">
        <v>33</v>
      </c>
    </row>
    <row r="2232" spans="1:14" x14ac:dyDescent="0.25">
      <c r="A2232">
        <v>2231</v>
      </c>
      <c r="B2232" t="s">
        <v>52</v>
      </c>
      <c r="C2232">
        <v>2004</v>
      </c>
      <c r="D2232">
        <v>3.1</v>
      </c>
      <c r="E2232" t="s">
        <v>27</v>
      </c>
      <c r="F2232">
        <v>116196</v>
      </c>
      <c r="G2232" t="s">
        <v>16</v>
      </c>
      <c r="H2232">
        <v>29507.7</v>
      </c>
      <c r="I2232" t="s">
        <v>53</v>
      </c>
      <c r="J2232" t="s">
        <v>18</v>
      </c>
      <c r="K2232" t="s">
        <v>19</v>
      </c>
      <c r="L2232">
        <v>22</v>
      </c>
      <c r="M2232">
        <v>0.25</v>
      </c>
      <c r="N2232" t="s">
        <v>33</v>
      </c>
    </row>
    <row r="2233" spans="1:14" x14ac:dyDescent="0.25">
      <c r="A2233">
        <v>2232</v>
      </c>
      <c r="B2233" t="s">
        <v>21</v>
      </c>
      <c r="C2233">
        <v>2000</v>
      </c>
      <c r="D2233">
        <v>1.1000000000000001</v>
      </c>
      <c r="E2233" t="s">
        <v>15</v>
      </c>
      <c r="F2233">
        <v>9404</v>
      </c>
      <c r="G2233" t="s">
        <v>22</v>
      </c>
      <c r="H2233">
        <v>19504.91</v>
      </c>
      <c r="I2233" t="s">
        <v>47</v>
      </c>
      <c r="J2233" t="s">
        <v>41</v>
      </c>
      <c r="K2233" t="s">
        <v>50</v>
      </c>
      <c r="L2233">
        <v>26</v>
      </c>
      <c r="M2233">
        <v>2.0699999999999998</v>
      </c>
      <c r="N2233" t="s">
        <v>20</v>
      </c>
    </row>
    <row r="2234" spans="1:14" x14ac:dyDescent="0.25">
      <c r="A2234">
        <v>2233</v>
      </c>
      <c r="B2234" t="s">
        <v>43</v>
      </c>
      <c r="C2234">
        <v>2002</v>
      </c>
      <c r="D2234">
        <v>4.9000000000000004</v>
      </c>
      <c r="E2234" t="s">
        <v>27</v>
      </c>
      <c r="F2234">
        <v>209190</v>
      </c>
      <c r="G2234" t="s">
        <v>22</v>
      </c>
      <c r="H2234">
        <v>89243.39</v>
      </c>
      <c r="I2234" t="s">
        <v>49</v>
      </c>
      <c r="J2234" t="s">
        <v>41</v>
      </c>
      <c r="K2234" t="s">
        <v>26</v>
      </c>
      <c r="L2234">
        <v>24</v>
      </c>
      <c r="M2234">
        <v>0.43</v>
      </c>
      <c r="N2234" t="s">
        <v>20</v>
      </c>
    </row>
    <row r="2235" spans="1:14" x14ac:dyDescent="0.25">
      <c r="A2235">
        <v>2234</v>
      </c>
      <c r="B2235" t="s">
        <v>52</v>
      </c>
      <c r="C2235">
        <v>2014</v>
      </c>
      <c r="D2235">
        <v>1.1000000000000001</v>
      </c>
      <c r="E2235" t="s">
        <v>15</v>
      </c>
      <c r="F2235">
        <v>113187</v>
      </c>
      <c r="G2235" t="s">
        <v>16</v>
      </c>
      <c r="H2235">
        <v>74530.899999999994</v>
      </c>
      <c r="I2235" t="s">
        <v>59</v>
      </c>
      <c r="J2235" t="s">
        <v>41</v>
      </c>
      <c r="K2235" t="s">
        <v>19</v>
      </c>
      <c r="L2235">
        <v>12</v>
      </c>
      <c r="M2235">
        <v>0.66</v>
      </c>
      <c r="N2235" t="s">
        <v>33</v>
      </c>
    </row>
    <row r="2236" spans="1:14" x14ac:dyDescent="0.25">
      <c r="A2236">
        <v>2235</v>
      </c>
      <c r="B2236" t="s">
        <v>29</v>
      </c>
      <c r="C2236">
        <v>2023</v>
      </c>
      <c r="D2236">
        <v>4.8</v>
      </c>
      <c r="E2236" t="s">
        <v>15</v>
      </c>
      <c r="F2236">
        <v>27684</v>
      </c>
      <c r="G2236" t="s">
        <v>30</v>
      </c>
      <c r="H2236">
        <v>58288.09</v>
      </c>
      <c r="I2236" t="s">
        <v>40</v>
      </c>
      <c r="J2236" t="s">
        <v>32</v>
      </c>
      <c r="K2236" t="s">
        <v>50</v>
      </c>
      <c r="L2236">
        <v>3</v>
      </c>
      <c r="M2236">
        <v>2.11</v>
      </c>
      <c r="N2236" t="s">
        <v>33</v>
      </c>
    </row>
    <row r="2237" spans="1:14" x14ac:dyDescent="0.25">
      <c r="A2237">
        <v>2236</v>
      </c>
      <c r="B2237" t="s">
        <v>43</v>
      </c>
      <c r="C2237">
        <v>2007</v>
      </c>
      <c r="D2237">
        <v>5.5</v>
      </c>
      <c r="E2237" t="s">
        <v>15</v>
      </c>
      <c r="F2237">
        <v>68591</v>
      </c>
      <c r="G2237" t="s">
        <v>22</v>
      </c>
      <c r="H2237">
        <v>26320.400000000001</v>
      </c>
      <c r="I2237" t="s">
        <v>44</v>
      </c>
      <c r="J2237" t="s">
        <v>32</v>
      </c>
      <c r="K2237" t="s">
        <v>19</v>
      </c>
      <c r="L2237">
        <v>19</v>
      </c>
      <c r="M2237">
        <v>0.38</v>
      </c>
      <c r="N2237" t="s">
        <v>20</v>
      </c>
    </row>
    <row r="2238" spans="1:14" x14ac:dyDescent="0.25">
      <c r="A2238">
        <v>2237</v>
      </c>
      <c r="B2238" t="s">
        <v>29</v>
      </c>
      <c r="C2238">
        <v>2003</v>
      </c>
      <c r="D2238">
        <v>3.2</v>
      </c>
      <c r="E2238" t="s">
        <v>15</v>
      </c>
      <c r="F2238">
        <v>208794</v>
      </c>
      <c r="G2238" t="s">
        <v>22</v>
      </c>
      <c r="H2238">
        <v>53471.55</v>
      </c>
      <c r="I2238" t="s">
        <v>40</v>
      </c>
      <c r="J2238" t="s">
        <v>18</v>
      </c>
      <c r="K2238" t="s">
        <v>26</v>
      </c>
      <c r="L2238">
        <v>23</v>
      </c>
      <c r="M2238">
        <v>0.26</v>
      </c>
      <c r="N2238" t="s">
        <v>33</v>
      </c>
    </row>
    <row r="2239" spans="1:14" x14ac:dyDescent="0.25">
      <c r="A2239">
        <v>2238</v>
      </c>
      <c r="B2239" t="s">
        <v>52</v>
      </c>
      <c r="C2239">
        <v>2001</v>
      </c>
      <c r="D2239">
        <v>3.7</v>
      </c>
      <c r="E2239" t="s">
        <v>15</v>
      </c>
      <c r="F2239">
        <v>264826</v>
      </c>
      <c r="G2239" t="s">
        <v>16</v>
      </c>
      <c r="H2239">
        <v>54479.15</v>
      </c>
      <c r="I2239" t="s">
        <v>61</v>
      </c>
      <c r="J2239" t="s">
        <v>32</v>
      </c>
      <c r="K2239" t="s">
        <v>26</v>
      </c>
      <c r="L2239">
        <v>25</v>
      </c>
      <c r="M2239">
        <v>0.21</v>
      </c>
      <c r="N2239" t="s">
        <v>33</v>
      </c>
    </row>
    <row r="2240" spans="1:14" x14ac:dyDescent="0.25">
      <c r="A2240">
        <v>2239</v>
      </c>
      <c r="B2240" t="s">
        <v>52</v>
      </c>
      <c r="C2240">
        <v>2023</v>
      </c>
      <c r="D2240">
        <v>3.4</v>
      </c>
      <c r="E2240" t="s">
        <v>15</v>
      </c>
      <c r="F2240">
        <v>111186</v>
      </c>
      <c r="G2240" t="s">
        <v>30</v>
      </c>
      <c r="H2240">
        <v>61088.35</v>
      </c>
      <c r="I2240" t="s">
        <v>56</v>
      </c>
      <c r="J2240" t="s">
        <v>46</v>
      </c>
      <c r="K2240" t="s">
        <v>19</v>
      </c>
      <c r="L2240">
        <v>3</v>
      </c>
      <c r="M2240">
        <v>0.55000000000000004</v>
      </c>
      <c r="N2240" t="s">
        <v>33</v>
      </c>
    </row>
    <row r="2241" spans="1:14" x14ac:dyDescent="0.25">
      <c r="A2241">
        <v>2240</v>
      </c>
      <c r="B2241" t="s">
        <v>21</v>
      </c>
      <c r="C2241">
        <v>2023</v>
      </c>
      <c r="D2241">
        <v>2.9</v>
      </c>
      <c r="E2241" t="s">
        <v>15</v>
      </c>
      <c r="F2241">
        <v>243181</v>
      </c>
      <c r="G2241" t="s">
        <v>16</v>
      </c>
      <c r="H2241">
        <v>10708.09</v>
      </c>
      <c r="I2241" t="s">
        <v>60</v>
      </c>
      <c r="J2241" t="s">
        <v>41</v>
      </c>
      <c r="K2241" t="s">
        <v>26</v>
      </c>
      <c r="L2241">
        <v>3</v>
      </c>
      <c r="M2241">
        <v>0.04</v>
      </c>
      <c r="N2241" t="s">
        <v>20</v>
      </c>
    </row>
    <row r="2242" spans="1:14" x14ac:dyDescent="0.25">
      <c r="A2242">
        <v>2241</v>
      </c>
      <c r="B2242" t="s">
        <v>52</v>
      </c>
      <c r="C2242">
        <v>2009</v>
      </c>
      <c r="D2242">
        <v>5.4</v>
      </c>
      <c r="E2242" t="s">
        <v>27</v>
      </c>
      <c r="F2242">
        <v>21832</v>
      </c>
      <c r="G2242" t="s">
        <v>16</v>
      </c>
      <c r="H2242">
        <v>97425.69</v>
      </c>
      <c r="I2242" t="s">
        <v>59</v>
      </c>
      <c r="J2242" t="s">
        <v>18</v>
      </c>
      <c r="K2242" t="s">
        <v>50</v>
      </c>
      <c r="L2242">
        <v>17</v>
      </c>
      <c r="M2242">
        <v>4.46</v>
      </c>
      <c r="N2242" t="s">
        <v>33</v>
      </c>
    </row>
    <row r="2243" spans="1:14" x14ac:dyDescent="0.25">
      <c r="A2243">
        <v>2242</v>
      </c>
      <c r="B2243" t="s">
        <v>43</v>
      </c>
      <c r="C2243">
        <v>2003</v>
      </c>
      <c r="D2243">
        <v>5.5</v>
      </c>
      <c r="E2243" t="s">
        <v>15</v>
      </c>
      <c r="F2243">
        <v>16997</v>
      </c>
      <c r="G2243" t="s">
        <v>30</v>
      </c>
      <c r="H2243">
        <v>49216.7</v>
      </c>
      <c r="I2243" t="s">
        <v>55</v>
      </c>
      <c r="J2243" t="s">
        <v>18</v>
      </c>
      <c r="K2243" t="s">
        <v>50</v>
      </c>
      <c r="L2243">
        <v>23</v>
      </c>
      <c r="M2243">
        <v>2.9</v>
      </c>
      <c r="N2243" t="s">
        <v>20</v>
      </c>
    </row>
    <row r="2244" spans="1:14" x14ac:dyDescent="0.25">
      <c r="A2244">
        <v>2243</v>
      </c>
      <c r="B2244" t="s">
        <v>14</v>
      </c>
      <c r="C2244">
        <v>2002</v>
      </c>
      <c r="D2244">
        <v>2.7</v>
      </c>
      <c r="E2244" t="s">
        <v>27</v>
      </c>
      <c r="F2244">
        <v>296784</v>
      </c>
      <c r="G2244" t="s">
        <v>30</v>
      </c>
      <c r="H2244">
        <v>93020.52</v>
      </c>
      <c r="I2244" t="s">
        <v>28</v>
      </c>
      <c r="J2244" t="s">
        <v>18</v>
      </c>
      <c r="K2244" t="s">
        <v>26</v>
      </c>
      <c r="L2244">
        <v>24</v>
      </c>
      <c r="M2244">
        <v>0.31</v>
      </c>
      <c r="N2244" t="s">
        <v>20</v>
      </c>
    </row>
    <row r="2245" spans="1:14" x14ac:dyDescent="0.25">
      <c r="A2245">
        <v>2244</v>
      </c>
      <c r="B2245" t="s">
        <v>43</v>
      </c>
      <c r="C2245">
        <v>2001</v>
      </c>
      <c r="D2245">
        <v>4.0999999999999996</v>
      </c>
      <c r="E2245" t="s">
        <v>27</v>
      </c>
      <c r="F2245">
        <v>40491</v>
      </c>
      <c r="G2245" t="s">
        <v>30</v>
      </c>
      <c r="H2245">
        <v>5931.77</v>
      </c>
      <c r="I2245" t="s">
        <v>49</v>
      </c>
      <c r="J2245" t="s">
        <v>32</v>
      </c>
      <c r="K2245" t="s">
        <v>50</v>
      </c>
      <c r="L2245">
        <v>25</v>
      </c>
      <c r="M2245">
        <v>0.15</v>
      </c>
      <c r="N2245" t="s">
        <v>20</v>
      </c>
    </row>
    <row r="2246" spans="1:14" x14ac:dyDescent="0.25">
      <c r="A2246">
        <v>2245</v>
      </c>
      <c r="B2246" t="s">
        <v>43</v>
      </c>
      <c r="C2246">
        <v>2016</v>
      </c>
      <c r="D2246">
        <v>5.6</v>
      </c>
      <c r="E2246" t="s">
        <v>15</v>
      </c>
      <c r="F2246">
        <v>63043</v>
      </c>
      <c r="G2246" t="s">
        <v>22</v>
      </c>
      <c r="H2246">
        <v>28518.05</v>
      </c>
      <c r="I2246" t="s">
        <v>49</v>
      </c>
      <c r="J2246" t="s">
        <v>18</v>
      </c>
      <c r="K2246" t="s">
        <v>19</v>
      </c>
      <c r="L2246">
        <v>10</v>
      </c>
      <c r="M2246">
        <v>0.45</v>
      </c>
      <c r="N2246" t="s">
        <v>20</v>
      </c>
    </row>
    <row r="2247" spans="1:14" x14ac:dyDescent="0.25">
      <c r="A2247">
        <v>2246</v>
      </c>
      <c r="B2247" t="s">
        <v>21</v>
      </c>
      <c r="C2247">
        <v>2022</v>
      </c>
      <c r="D2247">
        <v>5.8</v>
      </c>
      <c r="E2247" t="s">
        <v>27</v>
      </c>
      <c r="F2247">
        <v>128568</v>
      </c>
      <c r="G2247" t="s">
        <v>16</v>
      </c>
      <c r="H2247">
        <v>14879.58</v>
      </c>
      <c r="I2247" t="s">
        <v>60</v>
      </c>
      <c r="J2247" t="s">
        <v>32</v>
      </c>
      <c r="K2247" t="s">
        <v>19</v>
      </c>
      <c r="L2247">
        <v>4</v>
      </c>
      <c r="M2247">
        <v>0.12</v>
      </c>
      <c r="N2247" t="s">
        <v>20</v>
      </c>
    </row>
    <row r="2248" spans="1:14" x14ac:dyDescent="0.25">
      <c r="A2248">
        <v>2247</v>
      </c>
      <c r="B2248" t="s">
        <v>21</v>
      </c>
      <c r="C2248">
        <v>2020</v>
      </c>
      <c r="D2248">
        <v>3.5</v>
      </c>
      <c r="E2248" t="s">
        <v>27</v>
      </c>
      <c r="F2248">
        <v>72725</v>
      </c>
      <c r="G2248" t="s">
        <v>22</v>
      </c>
      <c r="H2248">
        <v>78113.539999999994</v>
      </c>
      <c r="I2248" t="s">
        <v>60</v>
      </c>
      <c r="J2248" t="s">
        <v>32</v>
      </c>
      <c r="K2248" t="s">
        <v>19</v>
      </c>
      <c r="L2248">
        <v>6</v>
      </c>
      <c r="M2248">
        <v>1.07</v>
      </c>
      <c r="N2248" t="s">
        <v>20</v>
      </c>
    </row>
    <row r="2249" spans="1:14" x14ac:dyDescent="0.25">
      <c r="A2249">
        <v>2248</v>
      </c>
      <c r="B2249" t="s">
        <v>52</v>
      </c>
      <c r="C2249">
        <v>2023</v>
      </c>
      <c r="D2249">
        <v>3.3</v>
      </c>
      <c r="E2249" t="s">
        <v>27</v>
      </c>
      <c r="F2249">
        <v>128131</v>
      </c>
      <c r="G2249" t="s">
        <v>30</v>
      </c>
      <c r="H2249">
        <v>35411.879999999997</v>
      </c>
      <c r="I2249" t="s">
        <v>61</v>
      </c>
      <c r="J2249" t="s">
        <v>46</v>
      </c>
      <c r="K2249" t="s">
        <v>19</v>
      </c>
      <c r="L2249">
        <v>3</v>
      </c>
      <c r="M2249">
        <v>0.28000000000000003</v>
      </c>
      <c r="N2249" t="s">
        <v>33</v>
      </c>
    </row>
    <row r="2250" spans="1:14" x14ac:dyDescent="0.25">
      <c r="A2250">
        <v>2249</v>
      </c>
      <c r="B2250" t="s">
        <v>36</v>
      </c>
      <c r="C2250">
        <v>2019</v>
      </c>
      <c r="D2250">
        <v>2.4</v>
      </c>
      <c r="E2250" t="s">
        <v>15</v>
      </c>
      <c r="F2250">
        <v>45520</v>
      </c>
      <c r="G2250" t="s">
        <v>22</v>
      </c>
      <c r="H2250">
        <v>84846.79</v>
      </c>
      <c r="I2250" t="s">
        <v>57</v>
      </c>
      <c r="J2250" t="s">
        <v>18</v>
      </c>
      <c r="K2250" t="s">
        <v>50</v>
      </c>
      <c r="L2250">
        <v>7</v>
      </c>
      <c r="M2250">
        <v>1.86</v>
      </c>
      <c r="N2250" t="s">
        <v>33</v>
      </c>
    </row>
    <row r="2251" spans="1:14" x14ac:dyDescent="0.25">
      <c r="A2251">
        <v>2250</v>
      </c>
      <c r="B2251" t="s">
        <v>36</v>
      </c>
      <c r="C2251">
        <v>2022</v>
      </c>
      <c r="D2251">
        <v>5.8</v>
      </c>
      <c r="E2251" t="s">
        <v>15</v>
      </c>
      <c r="F2251">
        <v>109869</v>
      </c>
      <c r="G2251" t="s">
        <v>30</v>
      </c>
      <c r="H2251">
        <v>84076.61</v>
      </c>
      <c r="I2251" t="s">
        <v>37</v>
      </c>
      <c r="J2251" t="s">
        <v>32</v>
      </c>
      <c r="K2251" t="s">
        <v>19</v>
      </c>
      <c r="L2251">
        <v>4</v>
      </c>
      <c r="M2251">
        <v>0.77</v>
      </c>
      <c r="N2251" t="s">
        <v>33</v>
      </c>
    </row>
    <row r="2252" spans="1:14" x14ac:dyDescent="0.25">
      <c r="A2252">
        <v>2251</v>
      </c>
      <c r="B2252" t="s">
        <v>21</v>
      </c>
      <c r="C2252">
        <v>2012</v>
      </c>
      <c r="D2252">
        <v>1.7</v>
      </c>
      <c r="E2252" t="s">
        <v>15</v>
      </c>
      <c r="F2252">
        <v>64442</v>
      </c>
      <c r="G2252" t="s">
        <v>30</v>
      </c>
      <c r="H2252">
        <v>68440.509999999995</v>
      </c>
      <c r="I2252" t="s">
        <v>23</v>
      </c>
      <c r="J2252" t="s">
        <v>32</v>
      </c>
      <c r="K2252" t="s">
        <v>19</v>
      </c>
      <c r="L2252">
        <v>14</v>
      </c>
      <c r="M2252">
        <v>1.06</v>
      </c>
      <c r="N2252" t="s">
        <v>20</v>
      </c>
    </row>
    <row r="2253" spans="1:14" x14ac:dyDescent="0.25">
      <c r="A2253">
        <v>2252</v>
      </c>
      <c r="B2253" t="s">
        <v>52</v>
      </c>
      <c r="C2253">
        <v>2004</v>
      </c>
      <c r="D2253">
        <v>3.9</v>
      </c>
      <c r="E2253" t="s">
        <v>15</v>
      </c>
      <c r="F2253">
        <v>261025</v>
      </c>
      <c r="G2253" t="s">
        <v>16</v>
      </c>
      <c r="H2253">
        <v>68249.27</v>
      </c>
      <c r="I2253" t="s">
        <v>53</v>
      </c>
      <c r="J2253" t="s">
        <v>46</v>
      </c>
      <c r="K2253" t="s">
        <v>26</v>
      </c>
      <c r="L2253">
        <v>22</v>
      </c>
      <c r="M2253">
        <v>0.26</v>
      </c>
      <c r="N2253" t="s">
        <v>33</v>
      </c>
    </row>
    <row r="2254" spans="1:14" x14ac:dyDescent="0.25">
      <c r="A2254">
        <v>2253</v>
      </c>
      <c r="B2254" t="s">
        <v>36</v>
      </c>
      <c r="C2254">
        <v>2020</v>
      </c>
      <c r="D2254">
        <v>2.4</v>
      </c>
      <c r="E2254" t="s">
        <v>15</v>
      </c>
      <c r="F2254">
        <v>152842</v>
      </c>
      <c r="G2254" t="s">
        <v>16</v>
      </c>
      <c r="H2254">
        <v>71515.17</v>
      </c>
      <c r="I2254" t="s">
        <v>51</v>
      </c>
      <c r="J2254" t="s">
        <v>46</v>
      </c>
      <c r="K2254" t="s">
        <v>26</v>
      </c>
      <c r="L2254">
        <v>6</v>
      </c>
      <c r="M2254">
        <v>0.47</v>
      </c>
      <c r="N2254" t="s">
        <v>33</v>
      </c>
    </row>
    <row r="2255" spans="1:14" x14ac:dyDescent="0.25">
      <c r="A2255">
        <v>2254</v>
      </c>
      <c r="B2255" t="s">
        <v>52</v>
      </c>
      <c r="C2255">
        <v>2008</v>
      </c>
      <c r="D2255">
        <v>2.4</v>
      </c>
      <c r="E2255" t="s">
        <v>27</v>
      </c>
      <c r="F2255">
        <v>178570</v>
      </c>
      <c r="G2255" t="s">
        <v>16</v>
      </c>
      <c r="H2255">
        <v>69007.56</v>
      </c>
      <c r="I2255" t="s">
        <v>56</v>
      </c>
      <c r="J2255" t="s">
        <v>32</v>
      </c>
      <c r="K2255" t="s">
        <v>26</v>
      </c>
      <c r="L2255">
        <v>18</v>
      </c>
      <c r="M2255">
        <v>0.39</v>
      </c>
      <c r="N2255" t="s">
        <v>33</v>
      </c>
    </row>
    <row r="2256" spans="1:14" x14ac:dyDescent="0.25">
      <c r="A2256">
        <v>2255</v>
      </c>
      <c r="B2256" t="s">
        <v>52</v>
      </c>
      <c r="C2256">
        <v>2021</v>
      </c>
      <c r="D2256">
        <v>3</v>
      </c>
      <c r="E2256" t="s">
        <v>27</v>
      </c>
      <c r="F2256">
        <v>123447</v>
      </c>
      <c r="G2256" t="s">
        <v>22</v>
      </c>
      <c r="H2256">
        <v>41756.29</v>
      </c>
      <c r="I2256" t="s">
        <v>61</v>
      </c>
      <c r="J2256" t="s">
        <v>46</v>
      </c>
      <c r="K2256" t="s">
        <v>19</v>
      </c>
      <c r="L2256">
        <v>5</v>
      </c>
      <c r="M2256">
        <v>0.34</v>
      </c>
      <c r="N2256" t="s">
        <v>33</v>
      </c>
    </row>
    <row r="2257" spans="1:14" x14ac:dyDescent="0.25">
      <c r="A2257">
        <v>2256</v>
      </c>
      <c r="B2257" t="s">
        <v>52</v>
      </c>
      <c r="C2257">
        <v>2005</v>
      </c>
      <c r="D2257">
        <v>6</v>
      </c>
      <c r="E2257" t="s">
        <v>15</v>
      </c>
      <c r="F2257">
        <v>61477</v>
      </c>
      <c r="G2257" t="s">
        <v>16</v>
      </c>
      <c r="H2257">
        <v>69868.63</v>
      </c>
      <c r="I2257" t="s">
        <v>56</v>
      </c>
      <c r="J2257" t="s">
        <v>32</v>
      </c>
      <c r="K2257" t="s">
        <v>19</v>
      </c>
      <c r="L2257">
        <v>21</v>
      </c>
      <c r="M2257">
        <v>1.1399999999999999</v>
      </c>
      <c r="N2257" t="s">
        <v>33</v>
      </c>
    </row>
    <row r="2258" spans="1:14" x14ac:dyDescent="0.25">
      <c r="A2258">
        <v>2257</v>
      </c>
      <c r="B2258" t="s">
        <v>24</v>
      </c>
      <c r="C2258">
        <v>2004</v>
      </c>
      <c r="D2258">
        <v>1.3</v>
      </c>
      <c r="E2258" t="s">
        <v>27</v>
      </c>
      <c r="F2258">
        <v>244</v>
      </c>
      <c r="G2258" t="s">
        <v>30</v>
      </c>
      <c r="H2258">
        <v>90253.66</v>
      </c>
      <c r="I2258" t="s">
        <v>34</v>
      </c>
      <c r="J2258" t="s">
        <v>18</v>
      </c>
      <c r="K2258" t="s">
        <v>50</v>
      </c>
      <c r="L2258">
        <v>22</v>
      </c>
      <c r="M2258">
        <v>369.89</v>
      </c>
      <c r="N2258" t="s">
        <v>20</v>
      </c>
    </row>
    <row r="2259" spans="1:14" x14ac:dyDescent="0.25">
      <c r="A2259">
        <v>2258</v>
      </c>
      <c r="B2259" t="s">
        <v>43</v>
      </c>
      <c r="C2259">
        <v>2009</v>
      </c>
      <c r="D2259">
        <v>3.9</v>
      </c>
      <c r="E2259" t="s">
        <v>27</v>
      </c>
      <c r="F2259">
        <v>177561</v>
      </c>
      <c r="G2259" t="s">
        <v>16</v>
      </c>
      <c r="H2259">
        <v>36594.480000000003</v>
      </c>
      <c r="I2259" t="s">
        <v>44</v>
      </c>
      <c r="J2259" t="s">
        <v>41</v>
      </c>
      <c r="K2259" t="s">
        <v>26</v>
      </c>
      <c r="L2259">
        <v>17</v>
      </c>
      <c r="M2259">
        <v>0.21</v>
      </c>
      <c r="N2259" t="s">
        <v>20</v>
      </c>
    </row>
    <row r="2260" spans="1:14" x14ac:dyDescent="0.25">
      <c r="A2260">
        <v>2259</v>
      </c>
      <c r="B2260" t="s">
        <v>52</v>
      </c>
      <c r="C2260">
        <v>2007</v>
      </c>
      <c r="D2260">
        <v>1.4</v>
      </c>
      <c r="E2260" t="s">
        <v>27</v>
      </c>
      <c r="F2260">
        <v>290534</v>
      </c>
      <c r="G2260" t="s">
        <v>22</v>
      </c>
      <c r="H2260">
        <v>94764.46</v>
      </c>
      <c r="I2260" t="s">
        <v>53</v>
      </c>
      <c r="J2260" t="s">
        <v>46</v>
      </c>
      <c r="K2260" t="s">
        <v>26</v>
      </c>
      <c r="L2260">
        <v>19</v>
      </c>
      <c r="M2260">
        <v>0.33</v>
      </c>
      <c r="N2260" t="s">
        <v>33</v>
      </c>
    </row>
    <row r="2261" spans="1:14" x14ac:dyDescent="0.25">
      <c r="A2261">
        <v>2260</v>
      </c>
      <c r="B2261" t="s">
        <v>24</v>
      </c>
      <c r="C2261">
        <v>2006</v>
      </c>
      <c r="D2261">
        <v>1.8</v>
      </c>
      <c r="E2261" t="s">
        <v>27</v>
      </c>
      <c r="F2261">
        <v>10247</v>
      </c>
      <c r="G2261" t="s">
        <v>16</v>
      </c>
      <c r="H2261">
        <v>6290.25</v>
      </c>
      <c r="I2261" t="s">
        <v>34</v>
      </c>
      <c r="J2261" t="s">
        <v>41</v>
      </c>
      <c r="K2261" t="s">
        <v>50</v>
      </c>
      <c r="L2261">
        <v>20</v>
      </c>
      <c r="M2261">
        <v>0.61</v>
      </c>
      <c r="N2261" t="s">
        <v>20</v>
      </c>
    </row>
    <row r="2262" spans="1:14" x14ac:dyDescent="0.25">
      <c r="A2262">
        <v>2261</v>
      </c>
      <c r="B2262" t="s">
        <v>21</v>
      </c>
      <c r="C2262">
        <v>2006</v>
      </c>
      <c r="D2262">
        <v>3.2</v>
      </c>
      <c r="E2262" t="s">
        <v>15</v>
      </c>
      <c r="F2262">
        <v>200123</v>
      </c>
      <c r="G2262" t="s">
        <v>16</v>
      </c>
      <c r="H2262">
        <v>38162.839999999997</v>
      </c>
      <c r="I2262" t="s">
        <v>60</v>
      </c>
      <c r="J2262" t="s">
        <v>32</v>
      </c>
      <c r="K2262" t="s">
        <v>26</v>
      </c>
      <c r="L2262">
        <v>20</v>
      </c>
      <c r="M2262">
        <v>0.19</v>
      </c>
      <c r="N2262" t="s">
        <v>20</v>
      </c>
    </row>
    <row r="2263" spans="1:14" x14ac:dyDescent="0.25">
      <c r="A2263">
        <v>2262</v>
      </c>
      <c r="B2263" t="s">
        <v>36</v>
      </c>
      <c r="C2263">
        <v>2005</v>
      </c>
      <c r="D2263">
        <v>3.6</v>
      </c>
      <c r="E2263" t="s">
        <v>15</v>
      </c>
      <c r="F2263">
        <v>190791</v>
      </c>
      <c r="G2263" t="s">
        <v>16</v>
      </c>
      <c r="H2263">
        <v>17549.349999999999</v>
      </c>
      <c r="I2263" t="s">
        <v>54</v>
      </c>
      <c r="J2263" t="s">
        <v>32</v>
      </c>
      <c r="K2263" t="s">
        <v>26</v>
      </c>
      <c r="L2263">
        <v>21</v>
      </c>
      <c r="M2263">
        <v>0.09</v>
      </c>
      <c r="N2263" t="s">
        <v>33</v>
      </c>
    </row>
    <row r="2264" spans="1:14" x14ac:dyDescent="0.25">
      <c r="A2264">
        <v>2263</v>
      </c>
      <c r="B2264" t="s">
        <v>43</v>
      </c>
      <c r="C2264">
        <v>2020</v>
      </c>
      <c r="D2264">
        <v>2.2999999999999998</v>
      </c>
      <c r="E2264" t="s">
        <v>15</v>
      </c>
      <c r="F2264">
        <v>207358</v>
      </c>
      <c r="G2264" t="s">
        <v>22</v>
      </c>
      <c r="H2264">
        <v>17028.88</v>
      </c>
      <c r="I2264" t="s">
        <v>44</v>
      </c>
      <c r="J2264" t="s">
        <v>32</v>
      </c>
      <c r="K2264" t="s">
        <v>26</v>
      </c>
      <c r="L2264">
        <v>6</v>
      </c>
      <c r="M2264">
        <v>0.08</v>
      </c>
      <c r="N2264" t="s">
        <v>20</v>
      </c>
    </row>
    <row r="2265" spans="1:14" x14ac:dyDescent="0.25">
      <c r="A2265">
        <v>2264</v>
      </c>
      <c r="B2265" t="s">
        <v>14</v>
      </c>
      <c r="C2265">
        <v>2019</v>
      </c>
      <c r="D2265">
        <v>2.6</v>
      </c>
      <c r="E2265" t="s">
        <v>27</v>
      </c>
      <c r="F2265">
        <v>291727</v>
      </c>
      <c r="G2265" t="s">
        <v>30</v>
      </c>
      <c r="H2265">
        <v>82465.8</v>
      </c>
      <c r="I2265" t="s">
        <v>58</v>
      </c>
      <c r="J2265" t="s">
        <v>18</v>
      </c>
      <c r="K2265" t="s">
        <v>26</v>
      </c>
      <c r="L2265">
        <v>7</v>
      </c>
      <c r="M2265">
        <v>0.28000000000000003</v>
      </c>
      <c r="N2265" t="s">
        <v>20</v>
      </c>
    </row>
    <row r="2266" spans="1:14" x14ac:dyDescent="0.25">
      <c r="A2266">
        <v>2265</v>
      </c>
      <c r="B2266" t="s">
        <v>36</v>
      </c>
      <c r="C2266">
        <v>2002</v>
      </c>
      <c r="D2266">
        <v>1.4</v>
      </c>
      <c r="E2266" t="s">
        <v>27</v>
      </c>
      <c r="F2266">
        <v>139148</v>
      </c>
      <c r="G2266" t="s">
        <v>30</v>
      </c>
      <c r="H2266">
        <v>92244.99</v>
      </c>
      <c r="I2266" t="s">
        <v>54</v>
      </c>
      <c r="J2266" t="s">
        <v>32</v>
      </c>
      <c r="K2266" t="s">
        <v>19</v>
      </c>
      <c r="L2266">
        <v>24</v>
      </c>
      <c r="M2266">
        <v>0.66</v>
      </c>
      <c r="N2266" t="s">
        <v>33</v>
      </c>
    </row>
    <row r="2267" spans="1:14" x14ac:dyDescent="0.25">
      <c r="A2267">
        <v>2266</v>
      </c>
      <c r="B2267" t="s">
        <v>43</v>
      </c>
      <c r="C2267">
        <v>2018</v>
      </c>
      <c r="D2267">
        <v>2.5</v>
      </c>
      <c r="E2267" t="s">
        <v>15</v>
      </c>
      <c r="F2267">
        <v>146123</v>
      </c>
      <c r="G2267" t="s">
        <v>30</v>
      </c>
      <c r="H2267">
        <v>78887.03</v>
      </c>
      <c r="I2267" t="s">
        <v>49</v>
      </c>
      <c r="J2267" t="s">
        <v>46</v>
      </c>
      <c r="K2267" t="s">
        <v>19</v>
      </c>
      <c r="L2267">
        <v>8</v>
      </c>
      <c r="M2267">
        <v>0.54</v>
      </c>
      <c r="N2267" t="s">
        <v>20</v>
      </c>
    </row>
    <row r="2268" spans="1:14" x14ac:dyDescent="0.25">
      <c r="A2268">
        <v>2267</v>
      </c>
      <c r="B2268" t="s">
        <v>14</v>
      </c>
      <c r="C2268">
        <v>2021</v>
      </c>
      <c r="D2268">
        <v>5.8</v>
      </c>
      <c r="E2268" t="s">
        <v>15</v>
      </c>
      <c r="F2268">
        <v>28670</v>
      </c>
      <c r="G2268" t="s">
        <v>16</v>
      </c>
      <c r="H2268">
        <v>97778.49</v>
      </c>
      <c r="I2268" t="s">
        <v>28</v>
      </c>
      <c r="J2268" t="s">
        <v>18</v>
      </c>
      <c r="K2268" t="s">
        <v>50</v>
      </c>
      <c r="L2268">
        <v>5</v>
      </c>
      <c r="M2268">
        <v>3.41</v>
      </c>
      <c r="N2268" t="s">
        <v>20</v>
      </c>
    </row>
    <row r="2269" spans="1:14" x14ac:dyDescent="0.25">
      <c r="A2269">
        <v>2268</v>
      </c>
      <c r="B2269" t="s">
        <v>36</v>
      </c>
      <c r="C2269">
        <v>2014</v>
      </c>
      <c r="D2269">
        <v>5.7</v>
      </c>
      <c r="E2269" t="s">
        <v>27</v>
      </c>
      <c r="F2269">
        <v>10236</v>
      </c>
      <c r="G2269" t="s">
        <v>16</v>
      </c>
      <c r="H2269">
        <v>25551.25</v>
      </c>
      <c r="I2269" t="s">
        <v>37</v>
      </c>
      <c r="J2269" t="s">
        <v>18</v>
      </c>
      <c r="K2269" t="s">
        <v>50</v>
      </c>
      <c r="L2269">
        <v>12</v>
      </c>
      <c r="M2269">
        <v>2.5</v>
      </c>
      <c r="N2269" t="s">
        <v>33</v>
      </c>
    </row>
    <row r="2270" spans="1:14" x14ac:dyDescent="0.25">
      <c r="A2270">
        <v>2269</v>
      </c>
      <c r="B2270" t="s">
        <v>43</v>
      </c>
      <c r="C2270">
        <v>2003</v>
      </c>
      <c r="D2270">
        <v>2.7</v>
      </c>
      <c r="E2270" t="s">
        <v>15</v>
      </c>
      <c r="F2270">
        <v>35568</v>
      </c>
      <c r="G2270" t="s">
        <v>22</v>
      </c>
      <c r="H2270">
        <v>18375.990000000002</v>
      </c>
      <c r="I2270" t="s">
        <v>49</v>
      </c>
      <c r="J2270" t="s">
        <v>46</v>
      </c>
      <c r="K2270" t="s">
        <v>50</v>
      </c>
      <c r="L2270">
        <v>23</v>
      </c>
      <c r="M2270">
        <v>0.52</v>
      </c>
      <c r="N2270" t="s">
        <v>20</v>
      </c>
    </row>
    <row r="2271" spans="1:14" x14ac:dyDescent="0.25">
      <c r="A2271">
        <v>2270</v>
      </c>
      <c r="B2271" t="s">
        <v>36</v>
      </c>
      <c r="C2271">
        <v>2011</v>
      </c>
      <c r="D2271">
        <v>3.9</v>
      </c>
      <c r="E2271" t="s">
        <v>15</v>
      </c>
      <c r="F2271">
        <v>107327</v>
      </c>
      <c r="G2271" t="s">
        <v>30</v>
      </c>
      <c r="H2271">
        <v>54466.86</v>
      </c>
      <c r="I2271" t="s">
        <v>54</v>
      </c>
      <c r="J2271" t="s">
        <v>18</v>
      </c>
      <c r="K2271" t="s">
        <v>19</v>
      </c>
      <c r="L2271">
        <v>15</v>
      </c>
      <c r="M2271">
        <v>0.51</v>
      </c>
      <c r="N2271" t="s">
        <v>33</v>
      </c>
    </row>
    <row r="2272" spans="1:14" x14ac:dyDescent="0.25">
      <c r="A2272">
        <v>2271</v>
      </c>
      <c r="B2272" t="s">
        <v>36</v>
      </c>
      <c r="C2272">
        <v>2005</v>
      </c>
      <c r="D2272">
        <v>5.5</v>
      </c>
      <c r="E2272" t="s">
        <v>27</v>
      </c>
      <c r="F2272">
        <v>255745</v>
      </c>
      <c r="G2272" t="s">
        <v>16</v>
      </c>
      <c r="H2272">
        <v>83758.570000000007</v>
      </c>
      <c r="I2272" t="s">
        <v>57</v>
      </c>
      <c r="J2272" t="s">
        <v>41</v>
      </c>
      <c r="K2272" t="s">
        <v>26</v>
      </c>
      <c r="L2272">
        <v>21</v>
      </c>
      <c r="M2272">
        <v>0.33</v>
      </c>
      <c r="N2272" t="s">
        <v>33</v>
      </c>
    </row>
    <row r="2273" spans="1:14" x14ac:dyDescent="0.25">
      <c r="A2273">
        <v>2272</v>
      </c>
      <c r="B2273" t="s">
        <v>14</v>
      </c>
      <c r="C2273">
        <v>2018</v>
      </c>
      <c r="D2273">
        <v>1</v>
      </c>
      <c r="E2273" t="s">
        <v>27</v>
      </c>
      <c r="F2273">
        <v>278496</v>
      </c>
      <c r="G2273" t="s">
        <v>16</v>
      </c>
      <c r="H2273">
        <v>8784.7099999999991</v>
      </c>
      <c r="I2273" t="s">
        <v>28</v>
      </c>
      <c r="J2273" t="s">
        <v>18</v>
      </c>
      <c r="K2273" t="s">
        <v>26</v>
      </c>
      <c r="L2273">
        <v>8</v>
      </c>
      <c r="M2273">
        <v>0.03</v>
      </c>
      <c r="N2273" t="s">
        <v>20</v>
      </c>
    </row>
    <row r="2274" spans="1:14" x14ac:dyDescent="0.25">
      <c r="A2274">
        <v>2273</v>
      </c>
      <c r="B2274" t="s">
        <v>36</v>
      </c>
      <c r="C2274">
        <v>2003</v>
      </c>
      <c r="D2274">
        <v>5.0999999999999996</v>
      </c>
      <c r="E2274" t="s">
        <v>15</v>
      </c>
      <c r="F2274">
        <v>125721</v>
      </c>
      <c r="G2274" t="s">
        <v>16</v>
      </c>
      <c r="H2274">
        <v>99578.74</v>
      </c>
      <c r="I2274" t="s">
        <v>51</v>
      </c>
      <c r="J2274" t="s">
        <v>32</v>
      </c>
      <c r="K2274" t="s">
        <v>19</v>
      </c>
      <c r="L2274">
        <v>23</v>
      </c>
      <c r="M2274">
        <v>0.79</v>
      </c>
      <c r="N2274" t="s">
        <v>33</v>
      </c>
    </row>
    <row r="2275" spans="1:14" x14ac:dyDescent="0.25">
      <c r="A2275">
        <v>2274</v>
      </c>
      <c r="B2275" t="s">
        <v>36</v>
      </c>
      <c r="C2275">
        <v>2014</v>
      </c>
      <c r="D2275">
        <v>5.7</v>
      </c>
      <c r="E2275" t="s">
        <v>27</v>
      </c>
      <c r="F2275">
        <v>259291</v>
      </c>
      <c r="G2275" t="s">
        <v>22</v>
      </c>
      <c r="H2275">
        <v>62213.36</v>
      </c>
      <c r="I2275" t="s">
        <v>51</v>
      </c>
      <c r="J2275" t="s">
        <v>32</v>
      </c>
      <c r="K2275" t="s">
        <v>26</v>
      </c>
      <c r="L2275">
        <v>12</v>
      </c>
      <c r="M2275">
        <v>0.24</v>
      </c>
      <c r="N2275" t="s">
        <v>33</v>
      </c>
    </row>
    <row r="2276" spans="1:14" x14ac:dyDescent="0.25">
      <c r="A2276">
        <v>2275</v>
      </c>
      <c r="B2276" t="s">
        <v>14</v>
      </c>
      <c r="C2276">
        <v>2008</v>
      </c>
      <c r="D2276">
        <v>1.5</v>
      </c>
      <c r="E2276" t="s">
        <v>15</v>
      </c>
      <c r="F2276">
        <v>156228</v>
      </c>
      <c r="G2276" t="s">
        <v>30</v>
      </c>
      <c r="H2276">
        <v>97999.47</v>
      </c>
      <c r="I2276" t="s">
        <v>39</v>
      </c>
      <c r="J2276" t="s">
        <v>18</v>
      </c>
      <c r="K2276" t="s">
        <v>26</v>
      </c>
      <c r="L2276">
        <v>18</v>
      </c>
      <c r="M2276">
        <v>0.63</v>
      </c>
      <c r="N2276" t="s">
        <v>20</v>
      </c>
    </row>
    <row r="2277" spans="1:14" x14ac:dyDescent="0.25">
      <c r="A2277">
        <v>2276</v>
      </c>
      <c r="B2277" t="s">
        <v>21</v>
      </c>
      <c r="C2277">
        <v>2004</v>
      </c>
      <c r="D2277">
        <v>1.8</v>
      </c>
      <c r="E2277" t="s">
        <v>27</v>
      </c>
      <c r="F2277">
        <v>55904</v>
      </c>
      <c r="G2277" t="s">
        <v>22</v>
      </c>
      <c r="H2277">
        <v>39682.76</v>
      </c>
      <c r="I2277" t="s">
        <v>42</v>
      </c>
      <c r="J2277" t="s">
        <v>41</v>
      </c>
      <c r="K2277" t="s">
        <v>19</v>
      </c>
      <c r="L2277">
        <v>22</v>
      </c>
      <c r="M2277">
        <v>0.71</v>
      </c>
      <c r="N2277" t="s">
        <v>20</v>
      </c>
    </row>
    <row r="2278" spans="1:14" x14ac:dyDescent="0.25">
      <c r="A2278">
        <v>2277</v>
      </c>
      <c r="B2278" t="s">
        <v>52</v>
      </c>
      <c r="C2278">
        <v>2012</v>
      </c>
      <c r="D2278">
        <v>5.8</v>
      </c>
      <c r="E2278" t="s">
        <v>27</v>
      </c>
      <c r="F2278">
        <v>278252</v>
      </c>
      <c r="G2278" t="s">
        <v>30</v>
      </c>
      <c r="H2278">
        <v>48512.26</v>
      </c>
      <c r="I2278" t="s">
        <v>53</v>
      </c>
      <c r="J2278" t="s">
        <v>41</v>
      </c>
      <c r="K2278" t="s">
        <v>26</v>
      </c>
      <c r="L2278">
        <v>14</v>
      </c>
      <c r="M2278">
        <v>0.17</v>
      </c>
      <c r="N2278" t="s">
        <v>33</v>
      </c>
    </row>
    <row r="2279" spans="1:14" x14ac:dyDescent="0.25">
      <c r="A2279">
        <v>2278</v>
      </c>
      <c r="B2279" t="s">
        <v>29</v>
      </c>
      <c r="C2279">
        <v>2022</v>
      </c>
      <c r="D2279">
        <v>3.7</v>
      </c>
      <c r="E2279" t="s">
        <v>15</v>
      </c>
      <c r="F2279">
        <v>264997</v>
      </c>
      <c r="G2279" t="s">
        <v>30</v>
      </c>
      <c r="H2279">
        <v>76474.34</v>
      </c>
      <c r="I2279" t="s">
        <v>40</v>
      </c>
      <c r="J2279" t="s">
        <v>46</v>
      </c>
      <c r="K2279" t="s">
        <v>26</v>
      </c>
      <c r="L2279">
        <v>4</v>
      </c>
      <c r="M2279">
        <v>0.28999999999999998</v>
      </c>
      <c r="N2279" t="s">
        <v>33</v>
      </c>
    </row>
    <row r="2280" spans="1:14" x14ac:dyDescent="0.25">
      <c r="A2280">
        <v>2279</v>
      </c>
      <c r="B2280" t="s">
        <v>24</v>
      </c>
      <c r="C2280">
        <v>2017</v>
      </c>
      <c r="D2280">
        <v>1.1000000000000001</v>
      </c>
      <c r="E2280" t="s">
        <v>27</v>
      </c>
      <c r="F2280">
        <v>266320</v>
      </c>
      <c r="G2280" t="s">
        <v>16</v>
      </c>
      <c r="H2280">
        <v>80306.539999999994</v>
      </c>
      <c r="I2280" t="s">
        <v>25</v>
      </c>
      <c r="J2280" t="s">
        <v>41</v>
      </c>
      <c r="K2280" t="s">
        <v>26</v>
      </c>
      <c r="L2280">
        <v>9</v>
      </c>
      <c r="M2280">
        <v>0.3</v>
      </c>
      <c r="N2280" t="s">
        <v>20</v>
      </c>
    </row>
    <row r="2281" spans="1:14" x14ac:dyDescent="0.25">
      <c r="A2281">
        <v>2280</v>
      </c>
      <c r="B2281" t="s">
        <v>29</v>
      </c>
      <c r="C2281">
        <v>2004</v>
      </c>
      <c r="D2281">
        <v>2.2999999999999998</v>
      </c>
      <c r="E2281" t="s">
        <v>15</v>
      </c>
      <c r="F2281">
        <v>100459</v>
      </c>
      <c r="G2281" t="s">
        <v>16</v>
      </c>
      <c r="H2281">
        <v>27138.14</v>
      </c>
      <c r="I2281" t="s">
        <v>38</v>
      </c>
      <c r="J2281" t="s">
        <v>18</v>
      </c>
      <c r="K2281" t="s">
        <v>19</v>
      </c>
      <c r="L2281">
        <v>22</v>
      </c>
      <c r="M2281">
        <v>0.27</v>
      </c>
      <c r="N2281" t="s">
        <v>33</v>
      </c>
    </row>
    <row r="2282" spans="1:14" x14ac:dyDescent="0.25">
      <c r="A2282">
        <v>2281</v>
      </c>
      <c r="B2282" t="s">
        <v>29</v>
      </c>
      <c r="C2282">
        <v>2015</v>
      </c>
      <c r="D2282">
        <v>3.2</v>
      </c>
      <c r="E2282" t="s">
        <v>27</v>
      </c>
      <c r="F2282">
        <v>185922</v>
      </c>
      <c r="G2282" t="s">
        <v>16</v>
      </c>
      <c r="H2282">
        <v>93331.1</v>
      </c>
      <c r="I2282" t="s">
        <v>31</v>
      </c>
      <c r="J2282" t="s">
        <v>46</v>
      </c>
      <c r="K2282" t="s">
        <v>26</v>
      </c>
      <c r="L2282">
        <v>11</v>
      </c>
      <c r="M2282">
        <v>0.5</v>
      </c>
      <c r="N2282" t="s">
        <v>33</v>
      </c>
    </row>
    <row r="2283" spans="1:14" x14ac:dyDescent="0.25">
      <c r="A2283">
        <v>2282</v>
      </c>
      <c r="B2283" t="s">
        <v>43</v>
      </c>
      <c r="C2283">
        <v>2018</v>
      </c>
      <c r="D2283">
        <v>4.5</v>
      </c>
      <c r="E2283" t="s">
        <v>15</v>
      </c>
      <c r="F2283">
        <v>137901</v>
      </c>
      <c r="G2283" t="s">
        <v>16</v>
      </c>
      <c r="H2283">
        <v>87405.2</v>
      </c>
      <c r="I2283" t="s">
        <v>49</v>
      </c>
      <c r="J2283" t="s">
        <v>46</v>
      </c>
      <c r="K2283" t="s">
        <v>19</v>
      </c>
      <c r="L2283">
        <v>8</v>
      </c>
      <c r="M2283">
        <v>0.63</v>
      </c>
      <c r="N2283" t="s">
        <v>20</v>
      </c>
    </row>
    <row r="2284" spans="1:14" x14ac:dyDescent="0.25">
      <c r="A2284">
        <v>2283</v>
      </c>
      <c r="B2284" t="s">
        <v>52</v>
      </c>
      <c r="C2284">
        <v>2013</v>
      </c>
      <c r="D2284">
        <v>4.7</v>
      </c>
      <c r="E2284" t="s">
        <v>27</v>
      </c>
      <c r="F2284">
        <v>123225</v>
      </c>
      <c r="G2284" t="s">
        <v>16</v>
      </c>
      <c r="H2284">
        <v>6729.5</v>
      </c>
      <c r="I2284" t="s">
        <v>61</v>
      </c>
      <c r="J2284" t="s">
        <v>46</v>
      </c>
      <c r="K2284" t="s">
        <v>19</v>
      </c>
      <c r="L2284">
        <v>13</v>
      </c>
      <c r="M2284">
        <v>0.05</v>
      </c>
      <c r="N2284" t="s">
        <v>33</v>
      </c>
    </row>
    <row r="2285" spans="1:14" x14ac:dyDescent="0.25">
      <c r="A2285">
        <v>2284</v>
      </c>
      <c r="B2285" t="s">
        <v>43</v>
      </c>
      <c r="C2285">
        <v>2015</v>
      </c>
      <c r="D2285">
        <v>6</v>
      </c>
      <c r="E2285" t="s">
        <v>27</v>
      </c>
      <c r="F2285">
        <v>235847</v>
      </c>
      <c r="G2285" t="s">
        <v>30</v>
      </c>
      <c r="H2285">
        <v>17213.97</v>
      </c>
      <c r="I2285" t="s">
        <v>44</v>
      </c>
      <c r="J2285" t="s">
        <v>41</v>
      </c>
      <c r="K2285" t="s">
        <v>26</v>
      </c>
      <c r="L2285">
        <v>11</v>
      </c>
      <c r="M2285">
        <v>7.0000000000000007E-2</v>
      </c>
      <c r="N2285" t="s">
        <v>20</v>
      </c>
    </row>
    <row r="2286" spans="1:14" x14ac:dyDescent="0.25">
      <c r="A2286">
        <v>2285</v>
      </c>
      <c r="B2286" t="s">
        <v>52</v>
      </c>
      <c r="C2286">
        <v>2014</v>
      </c>
      <c r="D2286">
        <v>2.4</v>
      </c>
      <c r="E2286" t="s">
        <v>15</v>
      </c>
      <c r="F2286">
        <v>221738</v>
      </c>
      <c r="G2286" t="s">
        <v>16</v>
      </c>
      <c r="H2286">
        <v>52129.23</v>
      </c>
      <c r="I2286" t="s">
        <v>56</v>
      </c>
      <c r="J2286" t="s">
        <v>46</v>
      </c>
      <c r="K2286" t="s">
        <v>26</v>
      </c>
      <c r="L2286">
        <v>12</v>
      </c>
      <c r="M2286">
        <v>0.24</v>
      </c>
      <c r="N2286" t="s">
        <v>33</v>
      </c>
    </row>
    <row r="2287" spans="1:14" x14ac:dyDescent="0.25">
      <c r="A2287">
        <v>2286</v>
      </c>
      <c r="B2287" t="s">
        <v>14</v>
      </c>
      <c r="C2287">
        <v>2021</v>
      </c>
      <c r="D2287">
        <v>3.7</v>
      </c>
      <c r="E2287" t="s">
        <v>27</v>
      </c>
      <c r="F2287">
        <v>110893</v>
      </c>
      <c r="G2287" t="s">
        <v>16</v>
      </c>
      <c r="H2287">
        <v>48790.77</v>
      </c>
      <c r="I2287" t="s">
        <v>58</v>
      </c>
      <c r="J2287" t="s">
        <v>18</v>
      </c>
      <c r="K2287" t="s">
        <v>19</v>
      </c>
      <c r="L2287">
        <v>5</v>
      </c>
      <c r="M2287">
        <v>0.44</v>
      </c>
      <c r="N2287" t="s">
        <v>20</v>
      </c>
    </row>
    <row r="2288" spans="1:14" x14ac:dyDescent="0.25">
      <c r="A2288">
        <v>2287</v>
      </c>
      <c r="B2288" t="s">
        <v>14</v>
      </c>
      <c r="C2288">
        <v>2003</v>
      </c>
      <c r="D2288">
        <v>3.7</v>
      </c>
      <c r="E2288" t="s">
        <v>15</v>
      </c>
      <c r="F2288">
        <v>242726</v>
      </c>
      <c r="G2288" t="s">
        <v>22</v>
      </c>
      <c r="H2288">
        <v>72297.13</v>
      </c>
      <c r="I2288" t="s">
        <v>17</v>
      </c>
      <c r="J2288" t="s">
        <v>18</v>
      </c>
      <c r="K2288" t="s">
        <v>26</v>
      </c>
      <c r="L2288">
        <v>23</v>
      </c>
      <c r="M2288">
        <v>0.3</v>
      </c>
      <c r="N2288" t="s">
        <v>20</v>
      </c>
    </row>
    <row r="2289" spans="1:14" x14ac:dyDescent="0.25">
      <c r="A2289">
        <v>2288</v>
      </c>
      <c r="B2289" t="s">
        <v>52</v>
      </c>
      <c r="C2289">
        <v>2006</v>
      </c>
      <c r="D2289">
        <v>3</v>
      </c>
      <c r="E2289" t="s">
        <v>27</v>
      </c>
      <c r="F2289">
        <v>196914</v>
      </c>
      <c r="G2289" t="s">
        <v>22</v>
      </c>
      <c r="H2289">
        <v>13522.58</v>
      </c>
      <c r="I2289" t="s">
        <v>53</v>
      </c>
      <c r="J2289" t="s">
        <v>46</v>
      </c>
      <c r="K2289" t="s">
        <v>26</v>
      </c>
      <c r="L2289">
        <v>20</v>
      </c>
      <c r="M2289">
        <v>7.0000000000000007E-2</v>
      </c>
      <c r="N2289" t="s">
        <v>33</v>
      </c>
    </row>
    <row r="2290" spans="1:14" x14ac:dyDescent="0.25">
      <c r="A2290">
        <v>2289</v>
      </c>
      <c r="B2290" t="s">
        <v>36</v>
      </c>
      <c r="C2290">
        <v>2015</v>
      </c>
      <c r="D2290">
        <v>1.8</v>
      </c>
      <c r="E2290" t="s">
        <v>27</v>
      </c>
      <c r="F2290">
        <v>181880</v>
      </c>
      <c r="G2290" t="s">
        <v>30</v>
      </c>
      <c r="H2290">
        <v>66261.25</v>
      </c>
      <c r="I2290" t="s">
        <v>37</v>
      </c>
      <c r="J2290" t="s">
        <v>32</v>
      </c>
      <c r="K2290" t="s">
        <v>26</v>
      </c>
      <c r="L2290">
        <v>11</v>
      </c>
      <c r="M2290">
        <v>0.36</v>
      </c>
      <c r="N2290" t="s">
        <v>33</v>
      </c>
    </row>
    <row r="2291" spans="1:14" x14ac:dyDescent="0.25">
      <c r="A2291">
        <v>2290</v>
      </c>
      <c r="B2291" t="s">
        <v>21</v>
      </c>
      <c r="C2291">
        <v>2023</v>
      </c>
      <c r="D2291">
        <v>5.9</v>
      </c>
      <c r="E2291" t="s">
        <v>15</v>
      </c>
      <c r="F2291">
        <v>6611</v>
      </c>
      <c r="G2291" t="s">
        <v>30</v>
      </c>
      <c r="H2291">
        <v>63555.14</v>
      </c>
      <c r="I2291" t="s">
        <v>60</v>
      </c>
      <c r="J2291" t="s">
        <v>32</v>
      </c>
      <c r="K2291" t="s">
        <v>50</v>
      </c>
      <c r="L2291">
        <v>3</v>
      </c>
      <c r="M2291">
        <v>9.61</v>
      </c>
      <c r="N2291" t="s">
        <v>20</v>
      </c>
    </row>
    <row r="2292" spans="1:14" x14ac:dyDescent="0.25">
      <c r="A2292">
        <v>2291</v>
      </c>
      <c r="B2292" t="s">
        <v>36</v>
      </c>
      <c r="C2292">
        <v>2021</v>
      </c>
      <c r="D2292">
        <v>5.3</v>
      </c>
      <c r="E2292" t="s">
        <v>27</v>
      </c>
      <c r="F2292">
        <v>247524</v>
      </c>
      <c r="G2292" t="s">
        <v>22</v>
      </c>
      <c r="H2292">
        <v>27193.86</v>
      </c>
      <c r="I2292" t="s">
        <v>51</v>
      </c>
      <c r="J2292" t="s">
        <v>46</v>
      </c>
      <c r="K2292" t="s">
        <v>26</v>
      </c>
      <c r="L2292">
        <v>5</v>
      </c>
      <c r="M2292">
        <v>0.11</v>
      </c>
      <c r="N2292" t="s">
        <v>33</v>
      </c>
    </row>
    <row r="2293" spans="1:14" x14ac:dyDescent="0.25">
      <c r="A2293">
        <v>2292</v>
      </c>
      <c r="B2293" t="s">
        <v>21</v>
      </c>
      <c r="C2293">
        <v>2020</v>
      </c>
      <c r="D2293">
        <v>3.5</v>
      </c>
      <c r="E2293" t="s">
        <v>27</v>
      </c>
      <c r="F2293">
        <v>295187</v>
      </c>
      <c r="G2293" t="s">
        <v>22</v>
      </c>
      <c r="H2293">
        <v>56527.43</v>
      </c>
      <c r="I2293" t="s">
        <v>42</v>
      </c>
      <c r="J2293" t="s">
        <v>32</v>
      </c>
      <c r="K2293" t="s">
        <v>26</v>
      </c>
      <c r="L2293">
        <v>6</v>
      </c>
      <c r="M2293">
        <v>0.19</v>
      </c>
      <c r="N2293" t="s">
        <v>20</v>
      </c>
    </row>
    <row r="2294" spans="1:14" x14ac:dyDescent="0.25">
      <c r="A2294">
        <v>2293</v>
      </c>
      <c r="B2294" t="s">
        <v>43</v>
      </c>
      <c r="C2294">
        <v>2021</v>
      </c>
      <c r="D2294">
        <v>4</v>
      </c>
      <c r="E2294" t="s">
        <v>15</v>
      </c>
      <c r="F2294">
        <v>136343</v>
      </c>
      <c r="G2294" t="s">
        <v>16</v>
      </c>
      <c r="H2294">
        <v>26109.68</v>
      </c>
      <c r="I2294" t="s">
        <v>49</v>
      </c>
      <c r="J2294" t="s">
        <v>18</v>
      </c>
      <c r="K2294" t="s">
        <v>19</v>
      </c>
      <c r="L2294">
        <v>5</v>
      </c>
      <c r="M2294">
        <v>0.19</v>
      </c>
      <c r="N2294" t="s">
        <v>20</v>
      </c>
    </row>
    <row r="2295" spans="1:14" x14ac:dyDescent="0.25">
      <c r="A2295">
        <v>2294</v>
      </c>
      <c r="B2295" t="s">
        <v>21</v>
      </c>
      <c r="C2295">
        <v>2020</v>
      </c>
      <c r="D2295">
        <v>2.1</v>
      </c>
      <c r="E2295" t="s">
        <v>27</v>
      </c>
      <c r="F2295">
        <v>190191</v>
      </c>
      <c r="G2295" t="s">
        <v>16</v>
      </c>
      <c r="H2295">
        <v>18957.689999999999</v>
      </c>
      <c r="I2295" t="s">
        <v>42</v>
      </c>
      <c r="J2295" t="s">
        <v>18</v>
      </c>
      <c r="K2295" t="s">
        <v>26</v>
      </c>
      <c r="L2295">
        <v>6</v>
      </c>
      <c r="M2295">
        <v>0.1</v>
      </c>
      <c r="N2295" t="s">
        <v>20</v>
      </c>
    </row>
    <row r="2296" spans="1:14" x14ac:dyDescent="0.25">
      <c r="A2296">
        <v>2295</v>
      </c>
      <c r="B2296" t="s">
        <v>43</v>
      </c>
      <c r="C2296">
        <v>2007</v>
      </c>
      <c r="D2296">
        <v>3.7</v>
      </c>
      <c r="E2296" t="s">
        <v>15</v>
      </c>
      <c r="F2296">
        <v>142645</v>
      </c>
      <c r="G2296" t="s">
        <v>30</v>
      </c>
      <c r="H2296">
        <v>59447.82</v>
      </c>
      <c r="I2296" t="s">
        <v>44</v>
      </c>
      <c r="J2296" t="s">
        <v>41</v>
      </c>
      <c r="K2296" t="s">
        <v>19</v>
      </c>
      <c r="L2296">
        <v>19</v>
      </c>
      <c r="M2296">
        <v>0.42</v>
      </c>
      <c r="N2296" t="s">
        <v>20</v>
      </c>
    </row>
    <row r="2297" spans="1:14" x14ac:dyDescent="0.25">
      <c r="A2297">
        <v>2296</v>
      </c>
      <c r="B2297" t="s">
        <v>14</v>
      </c>
      <c r="C2297">
        <v>2016</v>
      </c>
      <c r="D2297">
        <v>4.5</v>
      </c>
      <c r="E2297" t="s">
        <v>15</v>
      </c>
      <c r="F2297">
        <v>152481</v>
      </c>
      <c r="G2297" t="s">
        <v>22</v>
      </c>
      <c r="H2297">
        <v>97860.06</v>
      </c>
      <c r="I2297" t="s">
        <v>28</v>
      </c>
      <c r="J2297" t="s">
        <v>18</v>
      </c>
      <c r="K2297" t="s">
        <v>26</v>
      </c>
      <c r="L2297">
        <v>10</v>
      </c>
      <c r="M2297">
        <v>0.64</v>
      </c>
      <c r="N2297" t="s">
        <v>20</v>
      </c>
    </row>
    <row r="2298" spans="1:14" x14ac:dyDescent="0.25">
      <c r="A2298">
        <v>2297</v>
      </c>
      <c r="B2298" t="s">
        <v>29</v>
      </c>
      <c r="C2298">
        <v>2015</v>
      </c>
      <c r="D2298">
        <v>3.6</v>
      </c>
      <c r="E2298" t="s">
        <v>15</v>
      </c>
      <c r="F2298">
        <v>286608</v>
      </c>
      <c r="G2298" t="s">
        <v>30</v>
      </c>
      <c r="H2298">
        <v>27508.67</v>
      </c>
      <c r="I2298" t="s">
        <v>31</v>
      </c>
      <c r="J2298" t="s">
        <v>18</v>
      </c>
      <c r="K2298" t="s">
        <v>26</v>
      </c>
      <c r="L2298">
        <v>11</v>
      </c>
      <c r="M2298">
        <v>0.1</v>
      </c>
      <c r="N2298" t="s">
        <v>33</v>
      </c>
    </row>
    <row r="2299" spans="1:14" x14ac:dyDescent="0.25">
      <c r="A2299">
        <v>2298</v>
      </c>
      <c r="B2299" t="s">
        <v>14</v>
      </c>
      <c r="C2299">
        <v>2022</v>
      </c>
      <c r="D2299">
        <v>6</v>
      </c>
      <c r="E2299" t="s">
        <v>27</v>
      </c>
      <c r="F2299">
        <v>249220</v>
      </c>
      <c r="G2299" t="s">
        <v>16</v>
      </c>
      <c r="H2299">
        <v>38756.93</v>
      </c>
      <c r="I2299" t="s">
        <v>39</v>
      </c>
      <c r="J2299" t="s">
        <v>18</v>
      </c>
      <c r="K2299" t="s">
        <v>26</v>
      </c>
      <c r="L2299">
        <v>4</v>
      </c>
      <c r="M2299">
        <v>0.16</v>
      </c>
      <c r="N2299" t="s">
        <v>20</v>
      </c>
    </row>
    <row r="2300" spans="1:14" x14ac:dyDescent="0.25">
      <c r="A2300">
        <v>2299</v>
      </c>
      <c r="B2300" t="s">
        <v>14</v>
      </c>
      <c r="C2300">
        <v>2009</v>
      </c>
      <c r="D2300">
        <v>4.0999999999999996</v>
      </c>
      <c r="E2300" t="s">
        <v>27</v>
      </c>
      <c r="F2300">
        <v>118523</v>
      </c>
      <c r="G2300" t="s">
        <v>30</v>
      </c>
      <c r="H2300">
        <v>29374.46</v>
      </c>
      <c r="I2300" t="s">
        <v>39</v>
      </c>
      <c r="J2300" t="s">
        <v>18</v>
      </c>
      <c r="K2300" t="s">
        <v>19</v>
      </c>
      <c r="L2300">
        <v>17</v>
      </c>
      <c r="M2300">
        <v>0.25</v>
      </c>
      <c r="N2300" t="s">
        <v>20</v>
      </c>
    </row>
    <row r="2301" spans="1:14" x14ac:dyDescent="0.25">
      <c r="A2301">
        <v>2300</v>
      </c>
      <c r="B2301" t="s">
        <v>29</v>
      </c>
      <c r="C2301">
        <v>2009</v>
      </c>
      <c r="D2301">
        <v>2.9</v>
      </c>
      <c r="E2301" t="s">
        <v>15</v>
      </c>
      <c r="F2301">
        <v>20662</v>
      </c>
      <c r="G2301" t="s">
        <v>30</v>
      </c>
      <c r="H2301">
        <v>30313.68</v>
      </c>
      <c r="I2301" t="s">
        <v>38</v>
      </c>
      <c r="J2301" t="s">
        <v>18</v>
      </c>
      <c r="K2301" t="s">
        <v>50</v>
      </c>
      <c r="L2301">
        <v>17</v>
      </c>
      <c r="M2301">
        <v>1.47</v>
      </c>
      <c r="N2301" t="s">
        <v>33</v>
      </c>
    </row>
    <row r="2302" spans="1:14" x14ac:dyDescent="0.25">
      <c r="A2302">
        <v>2301</v>
      </c>
      <c r="B2302" t="s">
        <v>21</v>
      </c>
      <c r="C2302">
        <v>2001</v>
      </c>
      <c r="D2302">
        <v>4.9000000000000004</v>
      </c>
      <c r="E2302" t="s">
        <v>27</v>
      </c>
      <c r="F2302">
        <v>280372</v>
      </c>
      <c r="G2302" t="s">
        <v>30</v>
      </c>
      <c r="H2302">
        <v>43398.25</v>
      </c>
      <c r="I2302" t="s">
        <v>42</v>
      </c>
      <c r="J2302" t="s">
        <v>18</v>
      </c>
      <c r="K2302" t="s">
        <v>26</v>
      </c>
      <c r="L2302">
        <v>25</v>
      </c>
      <c r="M2302">
        <v>0.15</v>
      </c>
      <c r="N2302" t="s">
        <v>20</v>
      </c>
    </row>
    <row r="2303" spans="1:14" x14ac:dyDescent="0.25">
      <c r="A2303">
        <v>2302</v>
      </c>
      <c r="B2303" t="s">
        <v>21</v>
      </c>
      <c r="C2303">
        <v>2008</v>
      </c>
      <c r="D2303">
        <v>1.9</v>
      </c>
      <c r="E2303" t="s">
        <v>15</v>
      </c>
      <c r="F2303">
        <v>60721</v>
      </c>
      <c r="G2303" t="s">
        <v>16</v>
      </c>
      <c r="H2303">
        <v>71676.27</v>
      </c>
      <c r="I2303" t="s">
        <v>60</v>
      </c>
      <c r="J2303" t="s">
        <v>46</v>
      </c>
      <c r="K2303" t="s">
        <v>19</v>
      </c>
      <c r="L2303">
        <v>18</v>
      </c>
      <c r="M2303">
        <v>1.18</v>
      </c>
      <c r="N2303" t="s">
        <v>20</v>
      </c>
    </row>
    <row r="2304" spans="1:14" x14ac:dyDescent="0.25">
      <c r="A2304">
        <v>2303</v>
      </c>
      <c r="B2304" t="s">
        <v>43</v>
      </c>
      <c r="C2304">
        <v>2016</v>
      </c>
      <c r="D2304">
        <v>2.9</v>
      </c>
      <c r="E2304" t="s">
        <v>27</v>
      </c>
      <c r="F2304">
        <v>138458</v>
      </c>
      <c r="G2304" t="s">
        <v>30</v>
      </c>
      <c r="H2304">
        <v>8686.43</v>
      </c>
      <c r="I2304" t="s">
        <v>55</v>
      </c>
      <c r="J2304" t="s">
        <v>41</v>
      </c>
      <c r="K2304" t="s">
        <v>19</v>
      </c>
      <c r="L2304">
        <v>10</v>
      </c>
      <c r="M2304">
        <v>0.06</v>
      </c>
      <c r="N2304" t="s">
        <v>20</v>
      </c>
    </row>
    <row r="2305" spans="1:14" x14ac:dyDescent="0.25">
      <c r="A2305">
        <v>2304</v>
      </c>
      <c r="B2305" t="s">
        <v>36</v>
      </c>
      <c r="C2305">
        <v>2010</v>
      </c>
      <c r="D2305">
        <v>2.7</v>
      </c>
      <c r="E2305" t="s">
        <v>15</v>
      </c>
      <c r="F2305">
        <v>269006</v>
      </c>
      <c r="G2305" t="s">
        <v>16</v>
      </c>
      <c r="H2305">
        <v>95926.8</v>
      </c>
      <c r="I2305" t="s">
        <v>57</v>
      </c>
      <c r="J2305" t="s">
        <v>46</v>
      </c>
      <c r="K2305" t="s">
        <v>26</v>
      </c>
      <c r="L2305">
        <v>16</v>
      </c>
      <c r="M2305">
        <v>0.36</v>
      </c>
      <c r="N2305" t="s">
        <v>33</v>
      </c>
    </row>
    <row r="2306" spans="1:14" x14ac:dyDescent="0.25">
      <c r="A2306">
        <v>2305</v>
      </c>
      <c r="B2306" t="s">
        <v>43</v>
      </c>
      <c r="C2306">
        <v>2009</v>
      </c>
      <c r="D2306">
        <v>3.2</v>
      </c>
      <c r="E2306" t="s">
        <v>15</v>
      </c>
      <c r="F2306">
        <v>40108</v>
      </c>
      <c r="G2306" t="s">
        <v>22</v>
      </c>
      <c r="H2306">
        <v>9396.59</v>
      </c>
      <c r="I2306" t="s">
        <v>48</v>
      </c>
      <c r="J2306" t="s">
        <v>41</v>
      </c>
      <c r="K2306" t="s">
        <v>50</v>
      </c>
      <c r="L2306">
        <v>17</v>
      </c>
      <c r="M2306">
        <v>0.23</v>
      </c>
      <c r="N2306" t="s">
        <v>20</v>
      </c>
    </row>
    <row r="2307" spans="1:14" x14ac:dyDescent="0.25">
      <c r="A2307">
        <v>2306</v>
      </c>
      <c r="B2307" t="s">
        <v>36</v>
      </c>
      <c r="C2307">
        <v>2021</v>
      </c>
      <c r="D2307">
        <v>4.9000000000000004</v>
      </c>
      <c r="E2307" t="s">
        <v>27</v>
      </c>
      <c r="F2307">
        <v>91788</v>
      </c>
      <c r="G2307" t="s">
        <v>30</v>
      </c>
      <c r="H2307">
        <v>88719.05</v>
      </c>
      <c r="I2307" t="s">
        <v>37</v>
      </c>
      <c r="J2307" t="s">
        <v>18</v>
      </c>
      <c r="K2307" t="s">
        <v>19</v>
      </c>
      <c r="L2307">
        <v>5</v>
      </c>
      <c r="M2307">
        <v>0.97</v>
      </c>
      <c r="N2307" t="s">
        <v>33</v>
      </c>
    </row>
    <row r="2308" spans="1:14" x14ac:dyDescent="0.25">
      <c r="A2308">
        <v>2307</v>
      </c>
      <c r="B2308" t="s">
        <v>14</v>
      </c>
      <c r="C2308">
        <v>2016</v>
      </c>
      <c r="D2308">
        <v>3.4</v>
      </c>
      <c r="E2308" t="s">
        <v>15</v>
      </c>
      <c r="F2308">
        <v>244437</v>
      </c>
      <c r="G2308" t="s">
        <v>30</v>
      </c>
      <c r="H2308">
        <v>89965.92</v>
      </c>
      <c r="I2308" t="s">
        <v>28</v>
      </c>
      <c r="J2308" t="s">
        <v>18</v>
      </c>
      <c r="K2308" t="s">
        <v>26</v>
      </c>
      <c r="L2308">
        <v>10</v>
      </c>
      <c r="M2308">
        <v>0.37</v>
      </c>
      <c r="N2308" t="s">
        <v>20</v>
      </c>
    </row>
    <row r="2309" spans="1:14" x14ac:dyDescent="0.25">
      <c r="A2309">
        <v>2308</v>
      </c>
      <c r="B2309" t="s">
        <v>29</v>
      </c>
      <c r="C2309">
        <v>2003</v>
      </c>
      <c r="D2309">
        <v>5</v>
      </c>
      <c r="E2309" t="s">
        <v>15</v>
      </c>
      <c r="F2309">
        <v>237011</v>
      </c>
      <c r="G2309" t="s">
        <v>16</v>
      </c>
      <c r="H2309">
        <v>54826.47</v>
      </c>
      <c r="I2309" t="s">
        <v>62</v>
      </c>
      <c r="J2309" t="s">
        <v>18</v>
      </c>
      <c r="K2309" t="s">
        <v>26</v>
      </c>
      <c r="L2309">
        <v>23</v>
      </c>
      <c r="M2309">
        <v>0.23</v>
      </c>
      <c r="N2309" t="s">
        <v>33</v>
      </c>
    </row>
    <row r="2310" spans="1:14" x14ac:dyDescent="0.25">
      <c r="A2310">
        <v>2309</v>
      </c>
      <c r="B2310" t="s">
        <v>14</v>
      </c>
      <c r="C2310">
        <v>2015</v>
      </c>
      <c r="D2310">
        <v>3.9</v>
      </c>
      <c r="E2310" t="s">
        <v>27</v>
      </c>
      <c r="F2310">
        <v>158273</v>
      </c>
      <c r="G2310" t="s">
        <v>30</v>
      </c>
      <c r="H2310">
        <v>18014.7</v>
      </c>
      <c r="I2310" t="s">
        <v>58</v>
      </c>
      <c r="J2310" t="s">
        <v>18</v>
      </c>
      <c r="K2310" t="s">
        <v>26</v>
      </c>
      <c r="L2310">
        <v>11</v>
      </c>
      <c r="M2310">
        <v>0.11</v>
      </c>
      <c r="N2310" t="s">
        <v>20</v>
      </c>
    </row>
    <row r="2311" spans="1:14" x14ac:dyDescent="0.25">
      <c r="A2311">
        <v>2310</v>
      </c>
      <c r="B2311" t="s">
        <v>52</v>
      </c>
      <c r="C2311">
        <v>2019</v>
      </c>
      <c r="D2311">
        <v>2.7</v>
      </c>
      <c r="E2311" t="s">
        <v>15</v>
      </c>
      <c r="F2311">
        <v>49966</v>
      </c>
      <c r="G2311" t="s">
        <v>16</v>
      </c>
      <c r="H2311">
        <v>58688.87</v>
      </c>
      <c r="I2311" t="s">
        <v>53</v>
      </c>
      <c r="J2311" t="s">
        <v>32</v>
      </c>
      <c r="K2311" t="s">
        <v>50</v>
      </c>
      <c r="L2311">
        <v>7</v>
      </c>
      <c r="M2311">
        <v>1.17</v>
      </c>
      <c r="N2311" t="s">
        <v>33</v>
      </c>
    </row>
    <row r="2312" spans="1:14" x14ac:dyDescent="0.25">
      <c r="A2312">
        <v>2311</v>
      </c>
      <c r="B2312" t="s">
        <v>21</v>
      </c>
      <c r="C2312">
        <v>2014</v>
      </c>
      <c r="D2312">
        <v>5</v>
      </c>
      <c r="E2312" t="s">
        <v>15</v>
      </c>
      <c r="F2312">
        <v>185846</v>
      </c>
      <c r="G2312" t="s">
        <v>30</v>
      </c>
      <c r="H2312">
        <v>64720.06</v>
      </c>
      <c r="I2312" t="s">
        <v>60</v>
      </c>
      <c r="J2312" t="s">
        <v>41</v>
      </c>
      <c r="K2312" t="s">
        <v>26</v>
      </c>
      <c r="L2312">
        <v>12</v>
      </c>
      <c r="M2312">
        <v>0.35</v>
      </c>
      <c r="N2312" t="s">
        <v>20</v>
      </c>
    </row>
    <row r="2313" spans="1:14" x14ac:dyDescent="0.25">
      <c r="A2313">
        <v>2312</v>
      </c>
      <c r="B2313" t="s">
        <v>36</v>
      </c>
      <c r="C2313">
        <v>2020</v>
      </c>
      <c r="D2313">
        <v>2.2000000000000002</v>
      </c>
      <c r="E2313" t="s">
        <v>27</v>
      </c>
      <c r="F2313">
        <v>272530</v>
      </c>
      <c r="G2313" t="s">
        <v>22</v>
      </c>
      <c r="H2313">
        <v>86487.1</v>
      </c>
      <c r="I2313" t="s">
        <v>54</v>
      </c>
      <c r="J2313" t="s">
        <v>41</v>
      </c>
      <c r="K2313" t="s">
        <v>26</v>
      </c>
      <c r="L2313">
        <v>6</v>
      </c>
      <c r="M2313">
        <v>0.32</v>
      </c>
      <c r="N2313" t="s">
        <v>33</v>
      </c>
    </row>
    <row r="2314" spans="1:14" x14ac:dyDescent="0.25">
      <c r="A2314">
        <v>2313</v>
      </c>
      <c r="B2314" t="s">
        <v>43</v>
      </c>
      <c r="C2314">
        <v>2004</v>
      </c>
      <c r="D2314">
        <v>2.1</v>
      </c>
      <c r="E2314" t="s">
        <v>15</v>
      </c>
      <c r="F2314">
        <v>77228</v>
      </c>
      <c r="G2314" t="s">
        <v>22</v>
      </c>
      <c r="H2314">
        <v>57335.06</v>
      </c>
      <c r="I2314" t="s">
        <v>48</v>
      </c>
      <c r="J2314" t="s">
        <v>41</v>
      </c>
      <c r="K2314" t="s">
        <v>19</v>
      </c>
      <c r="L2314">
        <v>22</v>
      </c>
      <c r="M2314">
        <v>0.74</v>
      </c>
      <c r="N2314" t="s">
        <v>20</v>
      </c>
    </row>
    <row r="2315" spans="1:14" x14ac:dyDescent="0.25">
      <c r="A2315">
        <v>2314</v>
      </c>
      <c r="B2315" t="s">
        <v>29</v>
      </c>
      <c r="C2315">
        <v>2005</v>
      </c>
      <c r="D2315">
        <v>3.5</v>
      </c>
      <c r="E2315" t="s">
        <v>15</v>
      </c>
      <c r="F2315">
        <v>146297</v>
      </c>
      <c r="G2315" t="s">
        <v>22</v>
      </c>
      <c r="H2315">
        <v>44017.39</v>
      </c>
      <c r="I2315" t="s">
        <v>62</v>
      </c>
      <c r="J2315" t="s">
        <v>46</v>
      </c>
      <c r="K2315" t="s">
        <v>19</v>
      </c>
      <c r="L2315">
        <v>21</v>
      </c>
      <c r="M2315">
        <v>0.3</v>
      </c>
      <c r="N2315" t="s">
        <v>33</v>
      </c>
    </row>
    <row r="2316" spans="1:14" x14ac:dyDescent="0.25">
      <c r="A2316">
        <v>2315</v>
      </c>
      <c r="B2316" t="s">
        <v>36</v>
      </c>
      <c r="C2316">
        <v>2016</v>
      </c>
      <c r="D2316">
        <v>2.2999999999999998</v>
      </c>
      <c r="E2316" t="s">
        <v>15</v>
      </c>
      <c r="F2316">
        <v>43021</v>
      </c>
      <c r="G2316" t="s">
        <v>30</v>
      </c>
      <c r="H2316">
        <v>84637.66</v>
      </c>
      <c r="I2316" t="s">
        <v>57</v>
      </c>
      <c r="J2316" t="s">
        <v>32</v>
      </c>
      <c r="K2316" t="s">
        <v>50</v>
      </c>
      <c r="L2316">
        <v>10</v>
      </c>
      <c r="M2316">
        <v>1.97</v>
      </c>
      <c r="N2316" t="s">
        <v>33</v>
      </c>
    </row>
    <row r="2317" spans="1:14" x14ac:dyDescent="0.25">
      <c r="A2317">
        <v>2316</v>
      </c>
      <c r="B2317" t="s">
        <v>43</v>
      </c>
      <c r="C2317">
        <v>2000</v>
      </c>
      <c r="D2317">
        <v>1</v>
      </c>
      <c r="E2317" t="s">
        <v>15</v>
      </c>
      <c r="F2317">
        <v>149333</v>
      </c>
      <c r="G2317" t="s">
        <v>30</v>
      </c>
      <c r="H2317">
        <v>98190.42</v>
      </c>
      <c r="I2317" t="s">
        <v>49</v>
      </c>
      <c r="J2317" t="s">
        <v>32</v>
      </c>
      <c r="K2317" t="s">
        <v>19</v>
      </c>
      <c r="L2317">
        <v>26</v>
      </c>
      <c r="M2317">
        <v>0.66</v>
      </c>
      <c r="N2317" t="s">
        <v>20</v>
      </c>
    </row>
    <row r="2318" spans="1:14" x14ac:dyDescent="0.25">
      <c r="A2318">
        <v>2317</v>
      </c>
      <c r="B2318" t="s">
        <v>21</v>
      </c>
      <c r="C2318">
        <v>2018</v>
      </c>
      <c r="D2318">
        <v>4.2</v>
      </c>
      <c r="E2318" t="s">
        <v>15</v>
      </c>
      <c r="F2318">
        <v>252646</v>
      </c>
      <c r="G2318" t="s">
        <v>22</v>
      </c>
      <c r="H2318">
        <v>66284.800000000003</v>
      </c>
      <c r="I2318" t="s">
        <v>47</v>
      </c>
      <c r="J2318" t="s">
        <v>32</v>
      </c>
      <c r="K2318" t="s">
        <v>26</v>
      </c>
      <c r="L2318">
        <v>8</v>
      </c>
      <c r="M2318">
        <v>0.26</v>
      </c>
      <c r="N2318" t="s">
        <v>20</v>
      </c>
    </row>
    <row r="2319" spans="1:14" x14ac:dyDescent="0.25">
      <c r="A2319">
        <v>2318</v>
      </c>
      <c r="B2319" t="s">
        <v>14</v>
      </c>
      <c r="C2319">
        <v>2003</v>
      </c>
      <c r="D2319">
        <v>3.6</v>
      </c>
      <c r="E2319" t="s">
        <v>15</v>
      </c>
      <c r="F2319">
        <v>86755</v>
      </c>
      <c r="G2319" t="s">
        <v>22</v>
      </c>
      <c r="H2319">
        <v>88066.77</v>
      </c>
      <c r="I2319" t="s">
        <v>28</v>
      </c>
      <c r="J2319" t="s">
        <v>18</v>
      </c>
      <c r="K2319" t="s">
        <v>19</v>
      </c>
      <c r="L2319">
        <v>23</v>
      </c>
      <c r="M2319">
        <v>1.02</v>
      </c>
      <c r="N2319" t="s">
        <v>20</v>
      </c>
    </row>
    <row r="2320" spans="1:14" x14ac:dyDescent="0.25">
      <c r="A2320">
        <v>2319</v>
      </c>
      <c r="B2320" t="s">
        <v>21</v>
      </c>
      <c r="C2320">
        <v>2016</v>
      </c>
      <c r="D2320">
        <v>3.2</v>
      </c>
      <c r="E2320" t="s">
        <v>15</v>
      </c>
      <c r="F2320">
        <v>66330</v>
      </c>
      <c r="G2320" t="s">
        <v>16</v>
      </c>
      <c r="H2320">
        <v>61879.839999999997</v>
      </c>
      <c r="I2320" t="s">
        <v>60</v>
      </c>
      <c r="J2320" t="s">
        <v>41</v>
      </c>
      <c r="K2320" t="s">
        <v>19</v>
      </c>
      <c r="L2320">
        <v>10</v>
      </c>
      <c r="M2320">
        <v>0.93</v>
      </c>
      <c r="N2320" t="s">
        <v>20</v>
      </c>
    </row>
    <row r="2321" spans="1:14" x14ac:dyDescent="0.25">
      <c r="A2321">
        <v>2320</v>
      </c>
      <c r="B2321" t="s">
        <v>24</v>
      </c>
      <c r="C2321">
        <v>2008</v>
      </c>
      <c r="D2321">
        <v>5.8</v>
      </c>
      <c r="E2321" t="s">
        <v>15</v>
      </c>
      <c r="F2321">
        <v>178438</v>
      </c>
      <c r="G2321" t="s">
        <v>16</v>
      </c>
      <c r="H2321">
        <v>70529.86</v>
      </c>
      <c r="I2321" t="s">
        <v>45</v>
      </c>
      <c r="J2321" t="s">
        <v>41</v>
      </c>
      <c r="K2321" t="s">
        <v>26</v>
      </c>
      <c r="L2321">
        <v>18</v>
      </c>
      <c r="M2321">
        <v>0.4</v>
      </c>
      <c r="N2321" t="s">
        <v>20</v>
      </c>
    </row>
    <row r="2322" spans="1:14" x14ac:dyDescent="0.25">
      <c r="A2322">
        <v>2321</v>
      </c>
      <c r="B2322" t="s">
        <v>52</v>
      </c>
      <c r="C2322">
        <v>2023</v>
      </c>
      <c r="D2322">
        <v>3.9</v>
      </c>
      <c r="E2322" t="s">
        <v>27</v>
      </c>
      <c r="F2322">
        <v>45313</v>
      </c>
      <c r="G2322" t="s">
        <v>22</v>
      </c>
      <c r="H2322">
        <v>70375.88</v>
      </c>
      <c r="I2322" t="s">
        <v>59</v>
      </c>
      <c r="J2322" t="s">
        <v>41</v>
      </c>
      <c r="K2322" t="s">
        <v>50</v>
      </c>
      <c r="L2322">
        <v>3</v>
      </c>
      <c r="M2322">
        <v>1.55</v>
      </c>
      <c r="N2322" t="s">
        <v>33</v>
      </c>
    </row>
    <row r="2323" spans="1:14" x14ac:dyDescent="0.25">
      <c r="A2323">
        <v>2322</v>
      </c>
      <c r="B2323" t="s">
        <v>24</v>
      </c>
      <c r="C2323">
        <v>2001</v>
      </c>
      <c r="D2323">
        <v>5.3</v>
      </c>
      <c r="E2323" t="s">
        <v>15</v>
      </c>
      <c r="F2323">
        <v>234729</v>
      </c>
      <c r="G2323" t="s">
        <v>22</v>
      </c>
      <c r="H2323">
        <v>71954.759999999995</v>
      </c>
      <c r="I2323" t="s">
        <v>35</v>
      </c>
      <c r="J2323" t="s">
        <v>32</v>
      </c>
      <c r="K2323" t="s">
        <v>26</v>
      </c>
      <c r="L2323">
        <v>25</v>
      </c>
      <c r="M2323">
        <v>0.31</v>
      </c>
      <c r="N2323" t="s">
        <v>20</v>
      </c>
    </row>
    <row r="2324" spans="1:14" x14ac:dyDescent="0.25">
      <c r="A2324">
        <v>2323</v>
      </c>
      <c r="B2324" t="s">
        <v>29</v>
      </c>
      <c r="C2324">
        <v>2007</v>
      </c>
      <c r="D2324">
        <v>1.7</v>
      </c>
      <c r="E2324" t="s">
        <v>15</v>
      </c>
      <c r="F2324">
        <v>232783</v>
      </c>
      <c r="G2324" t="s">
        <v>30</v>
      </c>
      <c r="H2324">
        <v>35496.28</v>
      </c>
      <c r="I2324" t="s">
        <v>62</v>
      </c>
      <c r="J2324" t="s">
        <v>32</v>
      </c>
      <c r="K2324" t="s">
        <v>26</v>
      </c>
      <c r="L2324">
        <v>19</v>
      </c>
      <c r="M2324">
        <v>0.15</v>
      </c>
      <c r="N2324" t="s">
        <v>33</v>
      </c>
    </row>
    <row r="2325" spans="1:14" x14ac:dyDescent="0.25">
      <c r="A2325">
        <v>2324</v>
      </c>
      <c r="B2325" t="s">
        <v>36</v>
      </c>
      <c r="C2325">
        <v>2014</v>
      </c>
      <c r="D2325">
        <v>3.8</v>
      </c>
      <c r="E2325" t="s">
        <v>27</v>
      </c>
      <c r="F2325">
        <v>289176</v>
      </c>
      <c r="G2325" t="s">
        <v>22</v>
      </c>
      <c r="H2325">
        <v>59687.83</v>
      </c>
      <c r="I2325" t="s">
        <v>37</v>
      </c>
      <c r="J2325" t="s">
        <v>18</v>
      </c>
      <c r="K2325" t="s">
        <v>26</v>
      </c>
      <c r="L2325">
        <v>12</v>
      </c>
      <c r="M2325">
        <v>0.21</v>
      </c>
      <c r="N2325" t="s">
        <v>33</v>
      </c>
    </row>
    <row r="2326" spans="1:14" x14ac:dyDescent="0.25">
      <c r="A2326">
        <v>2325</v>
      </c>
      <c r="B2326" t="s">
        <v>29</v>
      </c>
      <c r="C2326">
        <v>2006</v>
      </c>
      <c r="D2326">
        <v>5.3</v>
      </c>
      <c r="E2326" t="s">
        <v>15</v>
      </c>
      <c r="F2326">
        <v>148430</v>
      </c>
      <c r="G2326" t="s">
        <v>16</v>
      </c>
      <c r="H2326">
        <v>61442.879999999997</v>
      </c>
      <c r="I2326" t="s">
        <v>62</v>
      </c>
      <c r="J2326" t="s">
        <v>46</v>
      </c>
      <c r="K2326" t="s">
        <v>19</v>
      </c>
      <c r="L2326">
        <v>20</v>
      </c>
      <c r="M2326">
        <v>0.41</v>
      </c>
      <c r="N2326" t="s">
        <v>33</v>
      </c>
    </row>
    <row r="2327" spans="1:14" x14ac:dyDescent="0.25">
      <c r="A2327">
        <v>2326</v>
      </c>
      <c r="B2327" t="s">
        <v>14</v>
      </c>
      <c r="C2327">
        <v>2005</v>
      </c>
      <c r="D2327">
        <v>3.9</v>
      </c>
      <c r="E2327" t="s">
        <v>15</v>
      </c>
      <c r="F2327">
        <v>28365</v>
      </c>
      <c r="G2327" t="s">
        <v>16</v>
      </c>
      <c r="H2327">
        <v>34931.800000000003</v>
      </c>
      <c r="I2327" t="s">
        <v>28</v>
      </c>
      <c r="J2327" t="s">
        <v>18</v>
      </c>
      <c r="K2327" t="s">
        <v>50</v>
      </c>
      <c r="L2327">
        <v>21</v>
      </c>
      <c r="M2327">
        <v>1.23</v>
      </c>
      <c r="N2327" t="s">
        <v>20</v>
      </c>
    </row>
    <row r="2328" spans="1:14" x14ac:dyDescent="0.25">
      <c r="A2328">
        <v>2327</v>
      </c>
      <c r="B2328" t="s">
        <v>43</v>
      </c>
      <c r="C2328">
        <v>2000</v>
      </c>
      <c r="D2328">
        <v>4.5999999999999996</v>
      </c>
      <c r="E2328" t="s">
        <v>15</v>
      </c>
      <c r="F2328">
        <v>275333</v>
      </c>
      <c r="G2328" t="s">
        <v>16</v>
      </c>
      <c r="H2328">
        <v>38235.97</v>
      </c>
      <c r="I2328" t="s">
        <v>55</v>
      </c>
      <c r="J2328" t="s">
        <v>32</v>
      </c>
      <c r="K2328" t="s">
        <v>26</v>
      </c>
      <c r="L2328">
        <v>26</v>
      </c>
      <c r="M2328">
        <v>0.14000000000000001</v>
      </c>
      <c r="N2328" t="s">
        <v>20</v>
      </c>
    </row>
    <row r="2329" spans="1:14" x14ac:dyDescent="0.25">
      <c r="A2329">
        <v>2328</v>
      </c>
      <c r="B2329" t="s">
        <v>21</v>
      </c>
      <c r="C2329">
        <v>2014</v>
      </c>
      <c r="D2329">
        <v>2.9</v>
      </c>
      <c r="E2329" t="s">
        <v>15</v>
      </c>
      <c r="F2329">
        <v>7248</v>
      </c>
      <c r="G2329" t="s">
        <v>16</v>
      </c>
      <c r="H2329">
        <v>77413.440000000002</v>
      </c>
      <c r="I2329" t="s">
        <v>60</v>
      </c>
      <c r="J2329" t="s">
        <v>18</v>
      </c>
      <c r="K2329" t="s">
        <v>50</v>
      </c>
      <c r="L2329">
        <v>12</v>
      </c>
      <c r="M2329">
        <v>10.68</v>
      </c>
      <c r="N2329" t="s">
        <v>20</v>
      </c>
    </row>
    <row r="2330" spans="1:14" x14ac:dyDescent="0.25">
      <c r="A2330">
        <v>2329</v>
      </c>
      <c r="B2330" t="s">
        <v>24</v>
      </c>
      <c r="C2330">
        <v>2022</v>
      </c>
      <c r="D2330">
        <v>1.5</v>
      </c>
      <c r="E2330" t="s">
        <v>15</v>
      </c>
      <c r="F2330">
        <v>4369</v>
      </c>
      <c r="G2330" t="s">
        <v>16</v>
      </c>
      <c r="H2330">
        <v>60358.76</v>
      </c>
      <c r="I2330" t="s">
        <v>34</v>
      </c>
      <c r="J2330" t="s">
        <v>41</v>
      </c>
      <c r="K2330" t="s">
        <v>50</v>
      </c>
      <c r="L2330">
        <v>4</v>
      </c>
      <c r="M2330">
        <v>13.82</v>
      </c>
      <c r="N2330" t="s">
        <v>20</v>
      </c>
    </row>
    <row r="2331" spans="1:14" x14ac:dyDescent="0.25">
      <c r="A2331">
        <v>2330</v>
      </c>
      <c r="B2331" t="s">
        <v>24</v>
      </c>
      <c r="C2331">
        <v>2006</v>
      </c>
      <c r="D2331">
        <v>3.3</v>
      </c>
      <c r="E2331" t="s">
        <v>15</v>
      </c>
      <c r="F2331">
        <v>290749</v>
      </c>
      <c r="G2331" t="s">
        <v>16</v>
      </c>
      <c r="H2331">
        <v>19175.060000000001</v>
      </c>
      <c r="I2331" t="s">
        <v>45</v>
      </c>
      <c r="J2331" t="s">
        <v>32</v>
      </c>
      <c r="K2331" t="s">
        <v>26</v>
      </c>
      <c r="L2331">
        <v>20</v>
      </c>
      <c r="M2331">
        <v>7.0000000000000007E-2</v>
      </c>
      <c r="N2331" t="s">
        <v>20</v>
      </c>
    </row>
    <row r="2332" spans="1:14" x14ac:dyDescent="0.25">
      <c r="A2332">
        <v>2331</v>
      </c>
      <c r="B2332" t="s">
        <v>14</v>
      </c>
      <c r="C2332">
        <v>2016</v>
      </c>
      <c r="D2332">
        <v>3</v>
      </c>
      <c r="E2332" t="s">
        <v>27</v>
      </c>
      <c r="F2332">
        <v>171955</v>
      </c>
      <c r="G2332" t="s">
        <v>22</v>
      </c>
      <c r="H2332">
        <v>84575.51</v>
      </c>
      <c r="I2332" t="s">
        <v>17</v>
      </c>
      <c r="J2332" t="s">
        <v>18</v>
      </c>
      <c r="K2332" t="s">
        <v>26</v>
      </c>
      <c r="L2332">
        <v>10</v>
      </c>
      <c r="M2332">
        <v>0.49</v>
      </c>
      <c r="N2332" t="s">
        <v>20</v>
      </c>
    </row>
    <row r="2333" spans="1:14" x14ac:dyDescent="0.25">
      <c r="A2333">
        <v>2332</v>
      </c>
      <c r="B2333" t="s">
        <v>24</v>
      </c>
      <c r="C2333">
        <v>2001</v>
      </c>
      <c r="D2333">
        <v>5.3</v>
      </c>
      <c r="E2333" t="s">
        <v>27</v>
      </c>
      <c r="F2333">
        <v>33055</v>
      </c>
      <c r="G2333" t="s">
        <v>16</v>
      </c>
      <c r="H2333">
        <v>88895.86</v>
      </c>
      <c r="I2333" t="s">
        <v>35</v>
      </c>
      <c r="J2333" t="s">
        <v>46</v>
      </c>
      <c r="K2333" t="s">
        <v>50</v>
      </c>
      <c r="L2333">
        <v>25</v>
      </c>
      <c r="M2333">
        <v>2.69</v>
      </c>
      <c r="N2333" t="s">
        <v>20</v>
      </c>
    </row>
    <row r="2334" spans="1:14" x14ac:dyDescent="0.25">
      <c r="A2334">
        <v>2333</v>
      </c>
      <c r="B2334" t="s">
        <v>14</v>
      </c>
      <c r="C2334">
        <v>2008</v>
      </c>
      <c r="D2334">
        <v>2.2000000000000002</v>
      </c>
      <c r="E2334" t="s">
        <v>27</v>
      </c>
      <c r="F2334">
        <v>199803</v>
      </c>
      <c r="G2334" t="s">
        <v>16</v>
      </c>
      <c r="H2334">
        <v>49283.41</v>
      </c>
      <c r="I2334" t="s">
        <v>39</v>
      </c>
      <c r="J2334" t="s">
        <v>18</v>
      </c>
      <c r="K2334" t="s">
        <v>26</v>
      </c>
      <c r="L2334">
        <v>18</v>
      </c>
      <c r="M2334">
        <v>0.25</v>
      </c>
      <c r="N2334" t="s">
        <v>20</v>
      </c>
    </row>
    <row r="2335" spans="1:14" x14ac:dyDescent="0.25">
      <c r="A2335">
        <v>2334</v>
      </c>
      <c r="B2335" t="s">
        <v>29</v>
      </c>
      <c r="C2335">
        <v>2008</v>
      </c>
      <c r="D2335">
        <v>5.8</v>
      </c>
      <c r="E2335" t="s">
        <v>27</v>
      </c>
      <c r="F2335">
        <v>269594</v>
      </c>
      <c r="G2335" t="s">
        <v>16</v>
      </c>
      <c r="H2335">
        <v>24846.21</v>
      </c>
      <c r="I2335" t="s">
        <v>62</v>
      </c>
      <c r="J2335" t="s">
        <v>41</v>
      </c>
      <c r="K2335" t="s">
        <v>26</v>
      </c>
      <c r="L2335">
        <v>18</v>
      </c>
      <c r="M2335">
        <v>0.09</v>
      </c>
      <c r="N2335" t="s">
        <v>33</v>
      </c>
    </row>
    <row r="2336" spans="1:14" x14ac:dyDescent="0.25">
      <c r="A2336">
        <v>2335</v>
      </c>
      <c r="B2336" t="s">
        <v>21</v>
      </c>
      <c r="C2336">
        <v>2012</v>
      </c>
      <c r="D2336">
        <v>5.8</v>
      </c>
      <c r="E2336" t="s">
        <v>27</v>
      </c>
      <c r="F2336">
        <v>133997</v>
      </c>
      <c r="G2336" t="s">
        <v>16</v>
      </c>
      <c r="H2336">
        <v>95022.62</v>
      </c>
      <c r="I2336" t="s">
        <v>23</v>
      </c>
      <c r="J2336" t="s">
        <v>46</v>
      </c>
      <c r="K2336" t="s">
        <v>19</v>
      </c>
      <c r="L2336">
        <v>14</v>
      </c>
      <c r="M2336">
        <v>0.71</v>
      </c>
      <c r="N2336" t="s">
        <v>20</v>
      </c>
    </row>
    <row r="2337" spans="1:14" x14ac:dyDescent="0.25">
      <c r="A2337">
        <v>2336</v>
      </c>
      <c r="B2337" t="s">
        <v>36</v>
      </c>
      <c r="C2337">
        <v>2005</v>
      </c>
      <c r="D2337">
        <v>2.2000000000000002</v>
      </c>
      <c r="E2337" t="s">
        <v>15</v>
      </c>
      <c r="F2337">
        <v>50272</v>
      </c>
      <c r="G2337" t="s">
        <v>22</v>
      </c>
      <c r="H2337">
        <v>88815.61</v>
      </c>
      <c r="I2337" t="s">
        <v>37</v>
      </c>
      <c r="J2337" t="s">
        <v>41</v>
      </c>
      <c r="K2337" t="s">
        <v>19</v>
      </c>
      <c r="L2337">
        <v>21</v>
      </c>
      <c r="M2337">
        <v>1.77</v>
      </c>
      <c r="N2337" t="s">
        <v>33</v>
      </c>
    </row>
    <row r="2338" spans="1:14" x14ac:dyDescent="0.25">
      <c r="A2338">
        <v>2337</v>
      </c>
      <c r="B2338" t="s">
        <v>43</v>
      </c>
      <c r="C2338">
        <v>2005</v>
      </c>
      <c r="D2338">
        <v>2.7</v>
      </c>
      <c r="E2338" t="s">
        <v>15</v>
      </c>
      <c r="F2338">
        <v>5310</v>
      </c>
      <c r="G2338" t="s">
        <v>30</v>
      </c>
      <c r="H2338">
        <v>28216.27</v>
      </c>
      <c r="I2338" t="s">
        <v>44</v>
      </c>
      <c r="J2338" t="s">
        <v>41</v>
      </c>
      <c r="K2338" t="s">
        <v>50</v>
      </c>
      <c r="L2338">
        <v>21</v>
      </c>
      <c r="M2338">
        <v>5.31</v>
      </c>
      <c r="N2338" t="s">
        <v>20</v>
      </c>
    </row>
    <row r="2339" spans="1:14" x14ac:dyDescent="0.25">
      <c r="A2339">
        <v>2338</v>
      </c>
      <c r="B2339" t="s">
        <v>36</v>
      </c>
      <c r="C2339">
        <v>2019</v>
      </c>
      <c r="D2339">
        <v>5.5</v>
      </c>
      <c r="E2339" t="s">
        <v>15</v>
      </c>
      <c r="F2339">
        <v>31817</v>
      </c>
      <c r="G2339" t="s">
        <v>30</v>
      </c>
      <c r="H2339">
        <v>14081.4</v>
      </c>
      <c r="I2339" t="s">
        <v>57</v>
      </c>
      <c r="J2339" t="s">
        <v>41</v>
      </c>
      <c r="K2339" t="s">
        <v>50</v>
      </c>
      <c r="L2339">
        <v>7</v>
      </c>
      <c r="M2339">
        <v>0.44</v>
      </c>
      <c r="N2339" t="s">
        <v>33</v>
      </c>
    </row>
    <row r="2340" spans="1:14" x14ac:dyDescent="0.25">
      <c r="A2340">
        <v>2339</v>
      </c>
      <c r="B2340" t="s">
        <v>29</v>
      </c>
      <c r="C2340">
        <v>2019</v>
      </c>
      <c r="D2340">
        <v>5.8</v>
      </c>
      <c r="E2340" t="s">
        <v>15</v>
      </c>
      <c r="F2340">
        <v>215888</v>
      </c>
      <c r="G2340" t="s">
        <v>30</v>
      </c>
      <c r="H2340">
        <v>46862.09</v>
      </c>
      <c r="I2340" t="s">
        <v>31</v>
      </c>
      <c r="J2340" t="s">
        <v>32</v>
      </c>
      <c r="K2340" t="s">
        <v>26</v>
      </c>
      <c r="L2340">
        <v>7</v>
      </c>
      <c r="M2340">
        <v>0.22</v>
      </c>
      <c r="N2340" t="s">
        <v>33</v>
      </c>
    </row>
    <row r="2341" spans="1:14" x14ac:dyDescent="0.25">
      <c r="A2341">
        <v>2340</v>
      </c>
      <c r="B2341" t="s">
        <v>43</v>
      </c>
      <c r="C2341">
        <v>2020</v>
      </c>
      <c r="D2341">
        <v>3.2</v>
      </c>
      <c r="E2341" t="s">
        <v>15</v>
      </c>
      <c r="F2341">
        <v>82641</v>
      </c>
      <c r="G2341" t="s">
        <v>30</v>
      </c>
      <c r="H2341">
        <v>69257.710000000006</v>
      </c>
      <c r="I2341" t="s">
        <v>48</v>
      </c>
      <c r="J2341" t="s">
        <v>41</v>
      </c>
      <c r="K2341" t="s">
        <v>19</v>
      </c>
      <c r="L2341">
        <v>6</v>
      </c>
      <c r="M2341">
        <v>0.84</v>
      </c>
      <c r="N2341" t="s">
        <v>20</v>
      </c>
    </row>
    <row r="2342" spans="1:14" x14ac:dyDescent="0.25">
      <c r="A2342">
        <v>2341</v>
      </c>
      <c r="B2342" t="s">
        <v>24</v>
      </c>
      <c r="C2342">
        <v>2002</v>
      </c>
      <c r="D2342">
        <v>2.6</v>
      </c>
      <c r="E2342" t="s">
        <v>27</v>
      </c>
      <c r="F2342">
        <v>215155</v>
      </c>
      <c r="G2342" t="s">
        <v>16</v>
      </c>
      <c r="H2342">
        <v>21661.919999999998</v>
      </c>
      <c r="I2342" t="s">
        <v>34</v>
      </c>
      <c r="J2342" t="s">
        <v>18</v>
      </c>
      <c r="K2342" t="s">
        <v>26</v>
      </c>
      <c r="L2342">
        <v>24</v>
      </c>
      <c r="M2342">
        <v>0.1</v>
      </c>
      <c r="N2342" t="s">
        <v>20</v>
      </c>
    </row>
    <row r="2343" spans="1:14" x14ac:dyDescent="0.25">
      <c r="A2343">
        <v>2342</v>
      </c>
      <c r="B2343" t="s">
        <v>52</v>
      </c>
      <c r="C2343">
        <v>2016</v>
      </c>
      <c r="D2343">
        <v>3.6</v>
      </c>
      <c r="E2343" t="s">
        <v>27</v>
      </c>
      <c r="F2343">
        <v>207382</v>
      </c>
      <c r="G2343" t="s">
        <v>30</v>
      </c>
      <c r="H2343">
        <v>53755.199999999997</v>
      </c>
      <c r="I2343" t="s">
        <v>56</v>
      </c>
      <c r="J2343" t="s">
        <v>46</v>
      </c>
      <c r="K2343" t="s">
        <v>26</v>
      </c>
      <c r="L2343">
        <v>10</v>
      </c>
      <c r="M2343">
        <v>0.26</v>
      </c>
      <c r="N2343" t="s">
        <v>33</v>
      </c>
    </row>
    <row r="2344" spans="1:14" x14ac:dyDescent="0.25">
      <c r="A2344">
        <v>2343</v>
      </c>
      <c r="B2344" t="s">
        <v>29</v>
      </c>
      <c r="C2344">
        <v>2016</v>
      </c>
      <c r="D2344">
        <v>4.4000000000000004</v>
      </c>
      <c r="E2344" t="s">
        <v>15</v>
      </c>
      <c r="F2344">
        <v>15457</v>
      </c>
      <c r="G2344" t="s">
        <v>30</v>
      </c>
      <c r="H2344">
        <v>45414.47</v>
      </c>
      <c r="I2344" t="s">
        <v>38</v>
      </c>
      <c r="J2344" t="s">
        <v>32</v>
      </c>
      <c r="K2344" t="s">
        <v>50</v>
      </c>
      <c r="L2344">
        <v>10</v>
      </c>
      <c r="M2344">
        <v>2.94</v>
      </c>
      <c r="N2344" t="s">
        <v>33</v>
      </c>
    </row>
    <row r="2345" spans="1:14" x14ac:dyDescent="0.25">
      <c r="A2345">
        <v>2344</v>
      </c>
      <c r="B2345" t="s">
        <v>29</v>
      </c>
      <c r="C2345">
        <v>2011</v>
      </c>
      <c r="D2345">
        <v>2.4</v>
      </c>
      <c r="E2345" t="s">
        <v>15</v>
      </c>
      <c r="F2345">
        <v>42311</v>
      </c>
      <c r="G2345" t="s">
        <v>22</v>
      </c>
      <c r="H2345">
        <v>89602.36</v>
      </c>
      <c r="I2345" t="s">
        <v>31</v>
      </c>
      <c r="J2345" t="s">
        <v>46</v>
      </c>
      <c r="K2345" t="s">
        <v>50</v>
      </c>
      <c r="L2345">
        <v>15</v>
      </c>
      <c r="M2345">
        <v>2.12</v>
      </c>
      <c r="N2345" t="s">
        <v>33</v>
      </c>
    </row>
    <row r="2346" spans="1:14" x14ac:dyDescent="0.25">
      <c r="A2346">
        <v>2345</v>
      </c>
      <c r="B2346" t="s">
        <v>21</v>
      </c>
      <c r="C2346">
        <v>2015</v>
      </c>
      <c r="D2346">
        <v>4.7</v>
      </c>
      <c r="E2346" t="s">
        <v>15</v>
      </c>
      <c r="F2346">
        <v>151958</v>
      </c>
      <c r="G2346" t="s">
        <v>22</v>
      </c>
      <c r="H2346">
        <v>45808.83</v>
      </c>
      <c r="I2346" t="s">
        <v>47</v>
      </c>
      <c r="J2346" t="s">
        <v>41</v>
      </c>
      <c r="K2346" t="s">
        <v>26</v>
      </c>
      <c r="L2346">
        <v>11</v>
      </c>
      <c r="M2346">
        <v>0.3</v>
      </c>
      <c r="N2346" t="s">
        <v>20</v>
      </c>
    </row>
    <row r="2347" spans="1:14" x14ac:dyDescent="0.25">
      <c r="A2347">
        <v>2346</v>
      </c>
      <c r="B2347" t="s">
        <v>36</v>
      </c>
      <c r="C2347">
        <v>2014</v>
      </c>
      <c r="D2347">
        <v>1.3</v>
      </c>
      <c r="E2347" t="s">
        <v>27</v>
      </c>
      <c r="F2347">
        <v>123573</v>
      </c>
      <c r="G2347" t="s">
        <v>22</v>
      </c>
      <c r="H2347">
        <v>55708.76</v>
      </c>
      <c r="I2347" t="s">
        <v>54</v>
      </c>
      <c r="J2347" t="s">
        <v>32</v>
      </c>
      <c r="K2347" t="s">
        <v>19</v>
      </c>
      <c r="L2347">
        <v>12</v>
      </c>
      <c r="M2347">
        <v>0.45</v>
      </c>
      <c r="N2347" t="s">
        <v>33</v>
      </c>
    </row>
    <row r="2348" spans="1:14" x14ac:dyDescent="0.25">
      <c r="A2348">
        <v>2347</v>
      </c>
      <c r="B2348" t="s">
        <v>29</v>
      </c>
      <c r="C2348">
        <v>2012</v>
      </c>
      <c r="D2348">
        <v>1.2</v>
      </c>
      <c r="E2348" t="s">
        <v>27</v>
      </c>
      <c r="F2348">
        <v>298325</v>
      </c>
      <c r="G2348" t="s">
        <v>16</v>
      </c>
      <c r="H2348">
        <v>95752.19</v>
      </c>
      <c r="I2348" t="s">
        <v>40</v>
      </c>
      <c r="J2348" t="s">
        <v>18</v>
      </c>
      <c r="K2348" t="s">
        <v>26</v>
      </c>
      <c r="L2348">
        <v>14</v>
      </c>
      <c r="M2348">
        <v>0.32</v>
      </c>
      <c r="N2348" t="s">
        <v>33</v>
      </c>
    </row>
    <row r="2349" spans="1:14" x14ac:dyDescent="0.25">
      <c r="A2349">
        <v>2348</v>
      </c>
      <c r="B2349" t="s">
        <v>29</v>
      </c>
      <c r="C2349">
        <v>2022</v>
      </c>
      <c r="D2349">
        <v>2.9</v>
      </c>
      <c r="E2349" t="s">
        <v>15</v>
      </c>
      <c r="F2349">
        <v>164334</v>
      </c>
      <c r="G2349" t="s">
        <v>16</v>
      </c>
      <c r="H2349">
        <v>33470.720000000001</v>
      </c>
      <c r="I2349" t="s">
        <v>62</v>
      </c>
      <c r="J2349" t="s">
        <v>41</v>
      </c>
      <c r="K2349" t="s">
        <v>26</v>
      </c>
      <c r="L2349">
        <v>4</v>
      </c>
      <c r="M2349">
        <v>0.2</v>
      </c>
      <c r="N2349" t="s">
        <v>33</v>
      </c>
    </row>
    <row r="2350" spans="1:14" x14ac:dyDescent="0.25">
      <c r="A2350">
        <v>2349</v>
      </c>
      <c r="B2350" t="s">
        <v>24</v>
      </c>
      <c r="C2350">
        <v>2000</v>
      </c>
      <c r="D2350">
        <v>2.8</v>
      </c>
      <c r="E2350" t="s">
        <v>27</v>
      </c>
      <c r="F2350">
        <v>263272</v>
      </c>
      <c r="G2350" t="s">
        <v>16</v>
      </c>
      <c r="H2350">
        <v>32454.14</v>
      </c>
      <c r="I2350" t="s">
        <v>45</v>
      </c>
      <c r="J2350" t="s">
        <v>46</v>
      </c>
      <c r="K2350" t="s">
        <v>26</v>
      </c>
      <c r="L2350">
        <v>26</v>
      </c>
      <c r="M2350">
        <v>0.12</v>
      </c>
      <c r="N2350" t="s">
        <v>20</v>
      </c>
    </row>
    <row r="2351" spans="1:14" x14ac:dyDescent="0.25">
      <c r="A2351">
        <v>2350</v>
      </c>
      <c r="B2351" t="s">
        <v>24</v>
      </c>
      <c r="C2351">
        <v>2016</v>
      </c>
      <c r="D2351">
        <v>2.6</v>
      </c>
      <c r="E2351" t="s">
        <v>15</v>
      </c>
      <c r="F2351">
        <v>79522</v>
      </c>
      <c r="G2351" t="s">
        <v>22</v>
      </c>
      <c r="H2351">
        <v>80961.53</v>
      </c>
      <c r="I2351" t="s">
        <v>45</v>
      </c>
      <c r="J2351" t="s">
        <v>18</v>
      </c>
      <c r="K2351" t="s">
        <v>19</v>
      </c>
      <c r="L2351">
        <v>10</v>
      </c>
      <c r="M2351">
        <v>1.02</v>
      </c>
      <c r="N2351" t="s">
        <v>20</v>
      </c>
    </row>
    <row r="2352" spans="1:14" x14ac:dyDescent="0.25">
      <c r="A2352">
        <v>2351</v>
      </c>
      <c r="B2352" t="s">
        <v>43</v>
      </c>
      <c r="C2352">
        <v>2002</v>
      </c>
      <c r="D2352">
        <v>3.5</v>
      </c>
      <c r="E2352" t="s">
        <v>27</v>
      </c>
      <c r="F2352">
        <v>163394</v>
      </c>
      <c r="G2352" t="s">
        <v>30</v>
      </c>
      <c r="H2352">
        <v>31366.2</v>
      </c>
      <c r="I2352" t="s">
        <v>49</v>
      </c>
      <c r="J2352" t="s">
        <v>41</v>
      </c>
      <c r="K2352" t="s">
        <v>26</v>
      </c>
      <c r="L2352">
        <v>24</v>
      </c>
      <c r="M2352">
        <v>0.19</v>
      </c>
      <c r="N2352" t="s">
        <v>20</v>
      </c>
    </row>
    <row r="2353" spans="1:14" x14ac:dyDescent="0.25">
      <c r="A2353">
        <v>2352</v>
      </c>
      <c r="B2353" t="s">
        <v>14</v>
      </c>
      <c r="C2353">
        <v>2014</v>
      </c>
      <c r="D2353">
        <v>2.6</v>
      </c>
      <c r="E2353" t="s">
        <v>27</v>
      </c>
      <c r="F2353">
        <v>48929</v>
      </c>
      <c r="G2353" t="s">
        <v>22</v>
      </c>
      <c r="H2353">
        <v>84027.26</v>
      </c>
      <c r="I2353" t="s">
        <v>39</v>
      </c>
      <c r="J2353" t="s">
        <v>18</v>
      </c>
      <c r="K2353" t="s">
        <v>50</v>
      </c>
      <c r="L2353">
        <v>12</v>
      </c>
      <c r="M2353">
        <v>1.72</v>
      </c>
      <c r="N2353" t="s">
        <v>20</v>
      </c>
    </row>
    <row r="2354" spans="1:14" x14ac:dyDescent="0.25">
      <c r="A2354">
        <v>2353</v>
      </c>
      <c r="B2354" t="s">
        <v>14</v>
      </c>
      <c r="C2354">
        <v>2003</v>
      </c>
      <c r="D2354">
        <v>2</v>
      </c>
      <c r="E2354" t="s">
        <v>15</v>
      </c>
      <c r="F2354">
        <v>81696</v>
      </c>
      <c r="G2354" t="s">
        <v>16</v>
      </c>
      <c r="H2354">
        <v>14075.88</v>
      </c>
      <c r="I2354" t="s">
        <v>39</v>
      </c>
      <c r="J2354" t="s">
        <v>18</v>
      </c>
      <c r="K2354" t="s">
        <v>19</v>
      </c>
      <c r="L2354">
        <v>23</v>
      </c>
      <c r="M2354">
        <v>0.17</v>
      </c>
      <c r="N2354" t="s">
        <v>20</v>
      </c>
    </row>
    <row r="2355" spans="1:14" x14ac:dyDescent="0.25">
      <c r="A2355">
        <v>2354</v>
      </c>
      <c r="B2355" t="s">
        <v>52</v>
      </c>
      <c r="C2355">
        <v>2003</v>
      </c>
      <c r="D2355">
        <v>2.5</v>
      </c>
      <c r="E2355" t="s">
        <v>27</v>
      </c>
      <c r="F2355">
        <v>271952</v>
      </c>
      <c r="G2355" t="s">
        <v>22</v>
      </c>
      <c r="H2355">
        <v>15569.82</v>
      </c>
      <c r="I2355" t="s">
        <v>56</v>
      </c>
      <c r="J2355" t="s">
        <v>32</v>
      </c>
      <c r="K2355" t="s">
        <v>26</v>
      </c>
      <c r="L2355">
        <v>23</v>
      </c>
      <c r="M2355">
        <v>0.06</v>
      </c>
      <c r="N2355" t="s">
        <v>33</v>
      </c>
    </row>
    <row r="2356" spans="1:14" x14ac:dyDescent="0.25">
      <c r="A2356">
        <v>2355</v>
      </c>
      <c r="B2356" t="s">
        <v>14</v>
      </c>
      <c r="C2356">
        <v>2017</v>
      </c>
      <c r="D2356">
        <v>5.9</v>
      </c>
      <c r="E2356" t="s">
        <v>27</v>
      </c>
      <c r="F2356">
        <v>95148</v>
      </c>
      <c r="G2356" t="s">
        <v>30</v>
      </c>
      <c r="H2356">
        <v>90625.72</v>
      </c>
      <c r="I2356" t="s">
        <v>17</v>
      </c>
      <c r="J2356" t="s">
        <v>18</v>
      </c>
      <c r="K2356" t="s">
        <v>19</v>
      </c>
      <c r="L2356">
        <v>9</v>
      </c>
      <c r="M2356">
        <v>0.95</v>
      </c>
      <c r="N2356" t="s">
        <v>20</v>
      </c>
    </row>
    <row r="2357" spans="1:14" x14ac:dyDescent="0.25">
      <c r="A2357">
        <v>2356</v>
      </c>
      <c r="B2357" t="s">
        <v>21</v>
      </c>
      <c r="C2357">
        <v>2016</v>
      </c>
      <c r="D2357">
        <v>3.1</v>
      </c>
      <c r="E2357" t="s">
        <v>15</v>
      </c>
      <c r="F2357">
        <v>283869</v>
      </c>
      <c r="G2357" t="s">
        <v>16</v>
      </c>
      <c r="H2357">
        <v>56377.17</v>
      </c>
      <c r="I2357" t="s">
        <v>23</v>
      </c>
      <c r="J2357" t="s">
        <v>32</v>
      </c>
      <c r="K2357" t="s">
        <v>26</v>
      </c>
      <c r="L2357">
        <v>10</v>
      </c>
      <c r="M2357">
        <v>0.2</v>
      </c>
      <c r="N2357" t="s">
        <v>20</v>
      </c>
    </row>
    <row r="2358" spans="1:14" x14ac:dyDescent="0.25">
      <c r="A2358">
        <v>2357</v>
      </c>
      <c r="B2358" t="s">
        <v>52</v>
      </c>
      <c r="C2358">
        <v>2018</v>
      </c>
      <c r="D2358">
        <v>3.2</v>
      </c>
      <c r="E2358" t="s">
        <v>27</v>
      </c>
      <c r="F2358">
        <v>220026</v>
      </c>
      <c r="G2358" t="s">
        <v>30</v>
      </c>
      <c r="H2358">
        <v>73287.360000000001</v>
      </c>
      <c r="I2358" t="s">
        <v>53</v>
      </c>
      <c r="J2358" t="s">
        <v>41</v>
      </c>
      <c r="K2358" t="s">
        <v>26</v>
      </c>
      <c r="L2358">
        <v>8</v>
      </c>
      <c r="M2358">
        <v>0.33</v>
      </c>
      <c r="N2358" t="s">
        <v>33</v>
      </c>
    </row>
    <row r="2359" spans="1:14" x14ac:dyDescent="0.25">
      <c r="A2359">
        <v>2358</v>
      </c>
      <c r="B2359" t="s">
        <v>43</v>
      </c>
      <c r="C2359">
        <v>2010</v>
      </c>
      <c r="D2359">
        <v>3.9</v>
      </c>
      <c r="E2359" t="s">
        <v>15</v>
      </c>
      <c r="F2359">
        <v>83576</v>
      </c>
      <c r="G2359" t="s">
        <v>30</v>
      </c>
      <c r="H2359">
        <v>26402.44</v>
      </c>
      <c r="I2359" t="s">
        <v>48</v>
      </c>
      <c r="J2359" t="s">
        <v>41</v>
      </c>
      <c r="K2359" t="s">
        <v>19</v>
      </c>
      <c r="L2359">
        <v>16</v>
      </c>
      <c r="M2359">
        <v>0.32</v>
      </c>
      <c r="N2359" t="s">
        <v>20</v>
      </c>
    </row>
    <row r="2360" spans="1:14" x14ac:dyDescent="0.25">
      <c r="A2360">
        <v>2359</v>
      </c>
      <c r="B2360" t="s">
        <v>24</v>
      </c>
      <c r="C2360">
        <v>2019</v>
      </c>
      <c r="D2360">
        <v>5.9</v>
      </c>
      <c r="E2360" t="s">
        <v>27</v>
      </c>
      <c r="F2360">
        <v>20557</v>
      </c>
      <c r="G2360" t="s">
        <v>16</v>
      </c>
      <c r="H2360">
        <v>20796.060000000001</v>
      </c>
      <c r="I2360" t="s">
        <v>25</v>
      </c>
      <c r="J2360" t="s">
        <v>46</v>
      </c>
      <c r="K2360" t="s">
        <v>50</v>
      </c>
      <c r="L2360">
        <v>7</v>
      </c>
      <c r="M2360">
        <v>1.01</v>
      </c>
      <c r="N2360" t="s">
        <v>20</v>
      </c>
    </row>
    <row r="2361" spans="1:14" x14ac:dyDescent="0.25">
      <c r="A2361">
        <v>2360</v>
      </c>
      <c r="B2361" t="s">
        <v>14</v>
      </c>
      <c r="C2361">
        <v>2002</v>
      </c>
      <c r="D2361">
        <v>2.2000000000000002</v>
      </c>
      <c r="E2361" t="s">
        <v>15</v>
      </c>
      <c r="F2361">
        <v>21825</v>
      </c>
      <c r="G2361" t="s">
        <v>30</v>
      </c>
      <c r="H2361">
        <v>84320.65</v>
      </c>
      <c r="I2361" t="s">
        <v>28</v>
      </c>
      <c r="J2361" t="s">
        <v>18</v>
      </c>
      <c r="K2361" t="s">
        <v>50</v>
      </c>
      <c r="L2361">
        <v>24</v>
      </c>
      <c r="M2361">
        <v>3.86</v>
      </c>
      <c r="N2361" t="s">
        <v>20</v>
      </c>
    </row>
    <row r="2362" spans="1:14" x14ac:dyDescent="0.25">
      <c r="A2362">
        <v>2361</v>
      </c>
      <c r="B2362" t="s">
        <v>36</v>
      </c>
      <c r="C2362">
        <v>2007</v>
      </c>
      <c r="D2362">
        <v>4.4000000000000004</v>
      </c>
      <c r="E2362" t="s">
        <v>15</v>
      </c>
      <c r="F2362">
        <v>271142</v>
      </c>
      <c r="G2362" t="s">
        <v>22</v>
      </c>
      <c r="H2362">
        <v>39069.22</v>
      </c>
      <c r="I2362" t="s">
        <v>57</v>
      </c>
      <c r="J2362" t="s">
        <v>18</v>
      </c>
      <c r="K2362" t="s">
        <v>26</v>
      </c>
      <c r="L2362">
        <v>19</v>
      </c>
      <c r="M2362">
        <v>0.14000000000000001</v>
      </c>
      <c r="N2362" t="s">
        <v>33</v>
      </c>
    </row>
    <row r="2363" spans="1:14" x14ac:dyDescent="0.25">
      <c r="A2363">
        <v>2362</v>
      </c>
      <c r="B2363" t="s">
        <v>24</v>
      </c>
      <c r="C2363">
        <v>2013</v>
      </c>
      <c r="D2363">
        <v>4.5999999999999996</v>
      </c>
      <c r="E2363" t="s">
        <v>27</v>
      </c>
      <c r="F2363">
        <v>36080</v>
      </c>
      <c r="G2363" t="s">
        <v>30</v>
      </c>
      <c r="H2363">
        <v>48228.1</v>
      </c>
      <c r="I2363" t="s">
        <v>45</v>
      </c>
      <c r="J2363" t="s">
        <v>18</v>
      </c>
      <c r="K2363" t="s">
        <v>50</v>
      </c>
      <c r="L2363">
        <v>13</v>
      </c>
      <c r="M2363">
        <v>1.34</v>
      </c>
      <c r="N2363" t="s">
        <v>20</v>
      </c>
    </row>
    <row r="2364" spans="1:14" x14ac:dyDescent="0.25">
      <c r="A2364">
        <v>2363</v>
      </c>
      <c r="B2364" t="s">
        <v>21</v>
      </c>
      <c r="C2364">
        <v>2000</v>
      </c>
      <c r="D2364">
        <v>4</v>
      </c>
      <c r="E2364" t="s">
        <v>27</v>
      </c>
      <c r="F2364">
        <v>258815</v>
      </c>
      <c r="G2364" t="s">
        <v>30</v>
      </c>
      <c r="H2364">
        <v>7657.33</v>
      </c>
      <c r="I2364" t="s">
        <v>47</v>
      </c>
      <c r="J2364" t="s">
        <v>41</v>
      </c>
      <c r="K2364" t="s">
        <v>26</v>
      </c>
      <c r="L2364">
        <v>26</v>
      </c>
      <c r="M2364">
        <v>0.03</v>
      </c>
      <c r="N2364" t="s">
        <v>20</v>
      </c>
    </row>
    <row r="2365" spans="1:14" x14ac:dyDescent="0.25">
      <c r="A2365">
        <v>2364</v>
      </c>
      <c r="B2365" t="s">
        <v>24</v>
      </c>
      <c r="C2365">
        <v>2013</v>
      </c>
      <c r="D2365">
        <v>1.4</v>
      </c>
      <c r="E2365" t="s">
        <v>15</v>
      </c>
      <c r="F2365">
        <v>188869</v>
      </c>
      <c r="G2365" t="s">
        <v>30</v>
      </c>
      <c r="H2365">
        <v>41658.67</v>
      </c>
      <c r="I2365" t="s">
        <v>35</v>
      </c>
      <c r="J2365" t="s">
        <v>41</v>
      </c>
      <c r="K2365" t="s">
        <v>26</v>
      </c>
      <c r="L2365">
        <v>13</v>
      </c>
      <c r="M2365">
        <v>0.22</v>
      </c>
      <c r="N2365" t="s">
        <v>20</v>
      </c>
    </row>
    <row r="2366" spans="1:14" x14ac:dyDescent="0.25">
      <c r="A2366">
        <v>2365</v>
      </c>
      <c r="B2366" t="s">
        <v>21</v>
      </c>
      <c r="C2366">
        <v>2001</v>
      </c>
      <c r="D2366">
        <v>4.4000000000000004</v>
      </c>
      <c r="E2366" t="s">
        <v>27</v>
      </c>
      <c r="F2366">
        <v>146874</v>
      </c>
      <c r="G2366" t="s">
        <v>22</v>
      </c>
      <c r="H2366">
        <v>78191.59</v>
      </c>
      <c r="I2366" t="s">
        <v>23</v>
      </c>
      <c r="J2366" t="s">
        <v>41</v>
      </c>
      <c r="K2366" t="s">
        <v>19</v>
      </c>
      <c r="L2366">
        <v>25</v>
      </c>
      <c r="M2366">
        <v>0.53</v>
      </c>
      <c r="N2366" t="s">
        <v>20</v>
      </c>
    </row>
    <row r="2367" spans="1:14" x14ac:dyDescent="0.25">
      <c r="A2367">
        <v>2366</v>
      </c>
      <c r="B2367" t="s">
        <v>21</v>
      </c>
      <c r="C2367">
        <v>2022</v>
      </c>
      <c r="D2367">
        <v>1.3</v>
      </c>
      <c r="E2367" t="s">
        <v>27</v>
      </c>
      <c r="F2367">
        <v>42407</v>
      </c>
      <c r="G2367" t="s">
        <v>30</v>
      </c>
      <c r="H2367">
        <v>83021.14</v>
      </c>
      <c r="I2367" t="s">
        <v>60</v>
      </c>
      <c r="J2367" t="s">
        <v>32</v>
      </c>
      <c r="K2367" t="s">
        <v>50</v>
      </c>
      <c r="L2367">
        <v>4</v>
      </c>
      <c r="M2367">
        <v>1.96</v>
      </c>
      <c r="N2367" t="s">
        <v>20</v>
      </c>
    </row>
    <row r="2368" spans="1:14" x14ac:dyDescent="0.25">
      <c r="A2368">
        <v>2367</v>
      </c>
      <c r="B2368" t="s">
        <v>21</v>
      </c>
      <c r="C2368">
        <v>2003</v>
      </c>
      <c r="D2368">
        <v>4</v>
      </c>
      <c r="E2368" t="s">
        <v>27</v>
      </c>
      <c r="F2368">
        <v>120283</v>
      </c>
      <c r="G2368" t="s">
        <v>30</v>
      </c>
      <c r="H2368">
        <v>71381.7</v>
      </c>
      <c r="I2368" t="s">
        <v>47</v>
      </c>
      <c r="J2368" t="s">
        <v>32</v>
      </c>
      <c r="K2368" t="s">
        <v>19</v>
      </c>
      <c r="L2368">
        <v>23</v>
      </c>
      <c r="M2368">
        <v>0.59</v>
      </c>
      <c r="N2368" t="s">
        <v>20</v>
      </c>
    </row>
    <row r="2369" spans="1:14" x14ac:dyDescent="0.25">
      <c r="A2369">
        <v>2368</v>
      </c>
      <c r="B2369" t="s">
        <v>43</v>
      </c>
      <c r="C2369">
        <v>2023</v>
      </c>
      <c r="D2369">
        <v>4.7</v>
      </c>
      <c r="E2369" t="s">
        <v>15</v>
      </c>
      <c r="F2369">
        <v>13338</v>
      </c>
      <c r="G2369" t="s">
        <v>22</v>
      </c>
      <c r="H2369">
        <v>70757.070000000007</v>
      </c>
      <c r="I2369" t="s">
        <v>55</v>
      </c>
      <c r="J2369" t="s">
        <v>46</v>
      </c>
      <c r="K2369" t="s">
        <v>50</v>
      </c>
      <c r="L2369">
        <v>3</v>
      </c>
      <c r="M2369">
        <v>5.3</v>
      </c>
      <c r="N2369" t="s">
        <v>20</v>
      </c>
    </row>
    <row r="2370" spans="1:14" x14ac:dyDescent="0.25">
      <c r="A2370">
        <v>2369</v>
      </c>
      <c r="B2370" t="s">
        <v>21</v>
      </c>
      <c r="C2370">
        <v>2018</v>
      </c>
      <c r="D2370">
        <v>2.1</v>
      </c>
      <c r="E2370" t="s">
        <v>15</v>
      </c>
      <c r="F2370">
        <v>76289</v>
      </c>
      <c r="G2370" t="s">
        <v>16</v>
      </c>
      <c r="H2370">
        <v>53092.73</v>
      </c>
      <c r="I2370" t="s">
        <v>47</v>
      </c>
      <c r="J2370" t="s">
        <v>41</v>
      </c>
      <c r="K2370" t="s">
        <v>19</v>
      </c>
      <c r="L2370">
        <v>8</v>
      </c>
      <c r="M2370">
        <v>0.7</v>
      </c>
      <c r="N2370" t="s">
        <v>20</v>
      </c>
    </row>
    <row r="2371" spans="1:14" x14ac:dyDescent="0.25">
      <c r="A2371">
        <v>2370</v>
      </c>
      <c r="B2371" t="s">
        <v>21</v>
      </c>
      <c r="C2371">
        <v>2005</v>
      </c>
      <c r="D2371">
        <v>5.2</v>
      </c>
      <c r="E2371" t="s">
        <v>15</v>
      </c>
      <c r="F2371">
        <v>149967</v>
      </c>
      <c r="G2371" t="s">
        <v>16</v>
      </c>
      <c r="H2371">
        <v>56141.29</v>
      </c>
      <c r="I2371" t="s">
        <v>42</v>
      </c>
      <c r="J2371" t="s">
        <v>18</v>
      </c>
      <c r="K2371" t="s">
        <v>19</v>
      </c>
      <c r="L2371">
        <v>21</v>
      </c>
      <c r="M2371">
        <v>0.37</v>
      </c>
      <c r="N2371" t="s">
        <v>20</v>
      </c>
    </row>
    <row r="2372" spans="1:14" x14ac:dyDescent="0.25">
      <c r="A2372">
        <v>2371</v>
      </c>
      <c r="B2372" t="s">
        <v>36</v>
      </c>
      <c r="C2372">
        <v>2000</v>
      </c>
      <c r="D2372">
        <v>1.2</v>
      </c>
      <c r="E2372" t="s">
        <v>27</v>
      </c>
      <c r="F2372">
        <v>178982</v>
      </c>
      <c r="G2372" t="s">
        <v>16</v>
      </c>
      <c r="H2372">
        <v>75550.02</v>
      </c>
      <c r="I2372" t="s">
        <v>51</v>
      </c>
      <c r="J2372" t="s">
        <v>18</v>
      </c>
      <c r="K2372" t="s">
        <v>26</v>
      </c>
      <c r="L2372">
        <v>26</v>
      </c>
      <c r="M2372">
        <v>0.42</v>
      </c>
      <c r="N2372" t="s">
        <v>33</v>
      </c>
    </row>
    <row r="2373" spans="1:14" x14ac:dyDescent="0.25">
      <c r="A2373">
        <v>2372</v>
      </c>
      <c r="B2373" t="s">
        <v>52</v>
      </c>
      <c r="C2373">
        <v>2016</v>
      </c>
      <c r="D2373">
        <v>5.2</v>
      </c>
      <c r="E2373" t="s">
        <v>27</v>
      </c>
      <c r="F2373">
        <v>109367</v>
      </c>
      <c r="G2373" t="s">
        <v>30</v>
      </c>
      <c r="H2373">
        <v>28493.67</v>
      </c>
      <c r="I2373" t="s">
        <v>53</v>
      </c>
      <c r="J2373" t="s">
        <v>46</v>
      </c>
      <c r="K2373" t="s">
        <v>19</v>
      </c>
      <c r="L2373">
        <v>10</v>
      </c>
      <c r="M2373">
        <v>0.26</v>
      </c>
      <c r="N2373" t="s">
        <v>33</v>
      </c>
    </row>
    <row r="2374" spans="1:14" x14ac:dyDescent="0.25">
      <c r="A2374">
        <v>2373</v>
      </c>
      <c r="B2374" t="s">
        <v>29</v>
      </c>
      <c r="C2374">
        <v>2007</v>
      </c>
      <c r="D2374">
        <v>3.3</v>
      </c>
      <c r="E2374" t="s">
        <v>15</v>
      </c>
      <c r="F2374">
        <v>117486</v>
      </c>
      <c r="G2374" t="s">
        <v>16</v>
      </c>
      <c r="H2374">
        <v>26994.12</v>
      </c>
      <c r="I2374" t="s">
        <v>40</v>
      </c>
      <c r="J2374" t="s">
        <v>18</v>
      </c>
      <c r="K2374" t="s">
        <v>19</v>
      </c>
      <c r="L2374">
        <v>19</v>
      </c>
      <c r="M2374">
        <v>0.23</v>
      </c>
      <c r="N2374" t="s">
        <v>33</v>
      </c>
    </row>
    <row r="2375" spans="1:14" x14ac:dyDescent="0.25">
      <c r="A2375">
        <v>2374</v>
      </c>
      <c r="B2375" t="s">
        <v>52</v>
      </c>
      <c r="C2375">
        <v>2018</v>
      </c>
      <c r="D2375">
        <v>2.1</v>
      </c>
      <c r="E2375" t="s">
        <v>15</v>
      </c>
      <c r="F2375">
        <v>214209</v>
      </c>
      <c r="G2375" t="s">
        <v>22</v>
      </c>
      <c r="H2375">
        <v>95242.86</v>
      </c>
      <c r="I2375" t="s">
        <v>56</v>
      </c>
      <c r="J2375" t="s">
        <v>46</v>
      </c>
      <c r="K2375" t="s">
        <v>26</v>
      </c>
      <c r="L2375">
        <v>8</v>
      </c>
      <c r="M2375">
        <v>0.44</v>
      </c>
      <c r="N2375" t="s">
        <v>33</v>
      </c>
    </row>
    <row r="2376" spans="1:14" x14ac:dyDescent="0.25">
      <c r="A2376">
        <v>2375</v>
      </c>
      <c r="B2376" t="s">
        <v>21</v>
      </c>
      <c r="C2376">
        <v>2020</v>
      </c>
      <c r="D2376">
        <v>1.7</v>
      </c>
      <c r="E2376" t="s">
        <v>27</v>
      </c>
      <c r="F2376">
        <v>256055</v>
      </c>
      <c r="G2376" t="s">
        <v>30</v>
      </c>
      <c r="H2376">
        <v>7630.54</v>
      </c>
      <c r="I2376" t="s">
        <v>60</v>
      </c>
      <c r="J2376" t="s">
        <v>41</v>
      </c>
      <c r="K2376" t="s">
        <v>26</v>
      </c>
      <c r="L2376">
        <v>6</v>
      </c>
      <c r="M2376">
        <v>0.03</v>
      </c>
      <c r="N2376" t="s">
        <v>20</v>
      </c>
    </row>
    <row r="2377" spans="1:14" x14ac:dyDescent="0.25">
      <c r="A2377">
        <v>2376</v>
      </c>
      <c r="B2377" t="s">
        <v>36</v>
      </c>
      <c r="C2377">
        <v>2000</v>
      </c>
      <c r="D2377">
        <v>5.8</v>
      </c>
      <c r="E2377" t="s">
        <v>27</v>
      </c>
      <c r="F2377">
        <v>136421</v>
      </c>
      <c r="G2377" t="s">
        <v>30</v>
      </c>
      <c r="H2377">
        <v>18249.22</v>
      </c>
      <c r="I2377" t="s">
        <v>57</v>
      </c>
      <c r="J2377" t="s">
        <v>18</v>
      </c>
      <c r="K2377" t="s">
        <v>19</v>
      </c>
      <c r="L2377">
        <v>26</v>
      </c>
      <c r="M2377">
        <v>0.13</v>
      </c>
      <c r="N2377" t="s">
        <v>33</v>
      </c>
    </row>
    <row r="2378" spans="1:14" x14ac:dyDescent="0.25">
      <c r="A2378">
        <v>2377</v>
      </c>
      <c r="B2378" t="s">
        <v>24</v>
      </c>
      <c r="C2378">
        <v>2004</v>
      </c>
      <c r="D2378">
        <v>1.4</v>
      </c>
      <c r="E2378" t="s">
        <v>27</v>
      </c>
      <c r="F2378">
        <v>153535</v>
      </c>
      <c r="G2378" t="s">
        <v>30</v>
      </c>
      <c r="H2378">
        <v>59181.58</v>
      </c>
      <c r="I2378" t="s">
        <v>35</v>
      </c>
      <c r="J2378" t="s">
        <v>41</v>
      </c>
      <c r="K2378" t="s">
        <v>26</v>
      </c>
      <c r="L2378">
        <v>22</v>
      </c>
      <c r="M2378">
        <v>0.39</v>
      </c>
      <c r="N2378" t="s">
        <v>20</v>
      </c>
    </row>
    <row r="2379" spans="1:14" x14ac:dyDescent="0.25">
      <c r="A2379">
        <v>2378</v>
      </c>
      <c r="B2379" t="s">
        <v>36</v>
      </c>
      <c r="C2379">
        <v>2015</v>
      </c>
      <c r="D2379">
        <v>2</v>
      </c>
      <c r="E2379" t="s">
        <v>27</v>
      </c>
      <c r="F2379">
        <v>74935</v>
      </c>
      <c r="G2379" t="s">
        <v>16</v>
      </c>
      <c r="H2379">
        <v>75094.31</v>
      </c>
      <c r="I2379" t="s">
        <v>57</v>
      </c>
      <c r="J2379" t="s">
        <v>32</v>
      </c>
      <c r="K2379" t="s">
        <v>19</v>
      </c>
      <c r="L2379">
        <v>11</v>
      </c>
      <c r="M2379">
        <v>1</v>
      </c>
      <c r="N2379" t="s">
        <v>33</v>
      </c>
    </row>
    <row r="2380" spans="1:14" x14ac:dyDescent="0.25">
      <c r="A2380">
        <v>2379</v>
      </c>
      <c r="B2380" t="s">
        <v>21</v>
      </c>
      <c r="C2380">
        <v>2005</v>
      </c>
      <c r="D2380">
        <v>2.7</v>
      </c>
      <c r="E2380" t="s">
        <v>15</v>
      </c>
      <c r="F2380">
        <v>189864</v>
      </c>
      <c r="G2380" t="s">
        <v>16</v>
      </c>
      <c r="H2380">
        <v>56099.65</v>
      </c>
      <c r="I2380" t="s">
        <v>42</v>
      </c>
      <c r="J2380" t="s">
        <v>18</v>
      </c>
      <c r="K2380" t="s">
        <v>26</v>
      </c>
      <c r="L2380">
        <v>21</v>
      </c>
      <c r="M2380">
        <v>0.3</v>
      </c>
      <c r="N2380" t="s">
        <v>20</v>
      </c>
    </row>
    <row r="2381" spans="1:14" x14ac:dyDescent="0.25">
      <c r="A2381">
        <v>2380</v>
      </c>
      <c r="B2381" t="s">
        <v>36</v>
      </c>
      <c r="C2381">
        <v>2007</v>
      </c>
      <c r="D2381">
        <v>4.0999999999999996</v>
      </c>
      <c r="E2381" t="s">
        <v>27</v>
      </c>
      <c r="F2381">
        <v>275830</v>
      </c>
      <c r="G2381" t="s">
        <v>16</v>
      </c>
      <c r="H2381">
        <v>38731.08</v>
      </c>
      <c r="I2381" t="s">
        <v>37</v>
      </c>
      <c r="J2381" t="s">
        <v>32</v>
      </c>
      <c r="K2381" t="s">
        <v>26</v>
      </c>
      <c r="L2381">
        <v>19</v>
      </c>
      <c r="M2381">
        <v>0.14000000000000001</v>
      </c>
      <c r="N2381" t="s">
        <v>33</v>
      </c>
    </row>
    <row r="2382" spans="1:14" x14ac:dyDescent="0.25">
      <c r="A2382">
        <v>2381</v>
      </c>
      <c r="B2382" t="s">
        <v>14</v>
      </c>
      <c r="C2382">
        <v>2012</v>
      </c>
      <c r="D2382">
        <v>3.7</v>
      </c>
      <c r="E2382" t="s">
        <v>27</v>
      </c>
      <c r="F2382">
        <v>63528</v>
      </c>
      <c r="G2382" t="s">
        <v>30</v>
      </c>
      <c r="H2382">
        <v>97907.73</v>
      </c>
      <c r="I2382" t="s">
        <v>58</v>
      </c>
      <c r="J2382" t="s">
        <v>18</v>
      </c>
      <c r="K2382" t="s">
        <v>19</v>
      </c>
      <c r="L2382">
        <v>14</v>
      </c>
      <c r="M2382">
        <v>1.54</v>
      </c>
      <c r="N2382" t="s">
        <v>20</v>
      </c>
    </row>
    <row r="2383" spans="1:14" x14ac:dyDescent="0.25">
      <c r="A2383">
        <v>2382</v>
      </c>
      <c r="B2383" t="s">
        <v>36</v>
      </c>
      <c r="C2383">
        <v>2015</v>
      </c>
      <c r="D2383">
        <v>1.6</v>
      </c>
      <c r="E2383" t="s">
        <v>15</v>
      </c>
      <c r="F2383">
        <v>99811</v>
      </c>
      <c r="G2383" t="s">
        <v>22</v>
      </c>
      <c r="H2383">
        <v>71866.009999999995</v>
      </c>
      <c r="I2383" t="s">
        <v>57</v>
      </c>
      <c r="J2383" t="s">
        <v>41</v>
      </c>
      <c r="K2383" t="s">
        <v>19</v>
      </c>
      <c r="L2383">
        <v>11</v>
      </c>
      <c r="M2383">
        <v>0.72</v>
      </c>
      <c r="N2383" t="s">
        <v>33</v>
      </c>
    </row>
    <row r="2384" spans="1:14" x14ac:dyDescent="0.25">
      <c r="A2384">
        <v>2383</v>
      </c>
      <c r="B2384" t="s">
        <v>21</v>
      </c>
      <c r="C2384">
        <v>2002</v>
      </c>
      <c r="D2384">
        <v>2.4</v>
      </c>
      <c r="E2384" t="s">
        <v>15</v>
      </c>
      <c r="F2384">
        <v>284931</v>
      </c>
      <c r="G2384" t="s">
        <v>30</v>
      </c>
      <c r="H2384">
        <v>83982.13</v>
      </c>
      <c r="I2384" t="s">
        <v>60</v>
      </c>
      <c r="J2384" t="s">
        <v>46</v>
      </c>
      <c r="K2384" t="s">
        <v>26</v>
      </c>
      <c r="L2384">
        <v>24</v>
      </c>
      <c r="M2384">
        <v>0.28999999999999998</v>
      </c>
      <c r="N2384" t="s">
        <v>20</v>
      </c>
    </row>
    <row r="2385" spans="1:14" x14ac:dyDescent="0.25">
      <c r="A2385">
        <v>2384</v>
      </c>
      <c r="B2385" t="s">
        <v>43</v>
      </c>
      <c r="C2385">
        <v>2018</v>
      </c>
      <c r="D2385">
        <v>2.2000000000000002</v>
      </c>
      <c r="E2385" t="s">
        <v>27</v>
      </c>
      <c r="F2385">
        <v>188499</v>
      </c>
      <c r="G2385" t="s">
        <v>22</v>
      </c>
      <c r="H2385">
        <v>8823.4500000000007</v>
      </c>
      <c r="I2385" t="s">
        <v>49</v>
      </c>
      <c r="J2385" t="s">
        <v>41</v>
      </c>
      <c r="K2385" t="s">
        <v>26</v>
      </c>
      <c r="L2385">
        <v>8</v>
      </c>
      <c r="M2385">
        <v>0.05</v>
      </c>
      <c r="N2385" t="s">
        <v>20</v>
      </c>
    </row>
    <row r="2386" spans="1:14" x14ac:dyDescent="0.25">
      <c r="A2386">
        <v>2385</v>
      </c>
      <c r="B2386" t="s">
        <v>14</v>
      </c>
      <c r="C2386">
        <v>2011</v>
      </c>
      <c r="D2386">
        <v>2.1</v>
      </c>
      <c r="E2386" t="s">
        <v>15</v>
      </c>
      <c r="F2386">
        <v>260141</v>
      </c>
      <c r="G2386" t="s">
        <v>30</v>
      </c>
      <c r="H2386">
        <v>27412.41</v>
      </c>
      <c r="I2386" t="s">
        <v>58</v>
      </c>
      <c r="J2386" t="s">
        <v>18</v>
      </c>
      <c r="K2386" t="s">
        <v>26</v>
      </c>
      <c r="L2386">
        <v>15</v>
      </c>
      <c r="M2386">
        <v>0.11</v>
      </c>
      <c r="N2386" t="s">
        <v>20</v>
      </c>
    </row>
    <row r="2387" spans="1:14" x14ac:dyDescent="0.25">
      <c r="A2387">
        <v>2386</v>
      </c>
      <c r="B2387" t="s">
        <v>36</v>
      </c>
      <c r="C2387">
        <v>2015</v>
      </c>
      <c r="D2387">
        <v>3.1</v>
      </c>
      <c r="E2387" t="s">
        <v>27</v>
      </c>
      <c r="F2387">
        <v>104887</v>
      </c>
      <c r="G2387" t="s">
        <v>22</v>
      </c>
      <c r="H2387">
        <v>40546.25</v>
      </c>
      <c r="I2387" t="s">
        <v>54</v>
      </c>
      <c r="J2387" t="s">
        <v>41</v>
      </c>
      <c r="K2387" t="s">
        <v>19</v>
      </c>
      <c r="L2387">
        <v>11</v>
      </c>
      <c r="M2387">
        <v>0.39</v>
      </c>
      <c r="N2387" t="s">
        <v>33</v>
      </c>
    </row>
    <row r="2388" spans="1:14" x14ac:dyDescent="0.25">
      <c r="A2388">
        <v>2387</v>
      </c>
      <c r="B2388" t="s">
        <v>29</v>
      </c>
      <c r="C2388">
        <v>2010</v>
      </c>
      <c r="D2388">
        <v>4.5</v>
      </c>
      <c r="E2388" t="s">
        <v>27</v>
      </c>
      <c r="F2388">
        <v>61086</v>
      </c>
      <c r="G2388" t="s">
        <v>30</v>
      </c>
      <c r="H2388">
        <v>22347.13</v>
      </c>
      <c r="I2388" t="s">
        <v>31</v>
      </c>
      <c r="J2388" t="s">
        <v>18</v>
      </c>
      <c r="K2388" t="s">
        <v>19</v>
      </c>
      <c r="L2388">
        <v>16</v>
      </c>
      <c r="M2388">
        <v>0.37</v>
      </c>
      <c r="N2388" t="s">
        <v>33</v>
      </c>
    </row>
    <row r="2389" spans="1:14" x14ac:dyDescent="0.25">
      <c r="A2389">
        <v>2388</v>
      </c>
      <c r="B2389" t="s">
        <v>29</v>
      </c>
      <c r="C2389">
        <v>2009</v>
      </c>
      <c r="D2389">
        <v>2.1</v>
      </c>
      <c r="E2389" t="s">
        <v>15</v>
      </c>
      <c r="F2389">
        <v>255494</v>
      </c>
      <c r="G2389" t="s">
        <v>30</v>
      </c>
      <c r="H2389">
        <v>11925.43</v>
      </c>
      <c r="I2389" t="s">
        <v>62</v>
      </c>
      <c r="J2389" t="s">
        <v>46</v>
      </c>
      <c r="K2389" t="s">
        <v>26</v>
      </c>
      <c r="L2389">
        <v>17</v>
      </c>
      <c r="M2389">
        <v>0.05</v>
      </c>
      <c r="N2389" t="s">
        <v>33</v>
      </c>
    </row>
    <row r="2390" spans="1:14" x14ac:dyDescent="0.25">
      <c r="A2390">
        <v>2389</v>
      </c>
      <c r="B2390" t="s">
        <v>36</v>
      </c>
      <c r="C2390">
        <v>2019</v>
      </c>
      <c r="D2390">
        <v>2.8</v>
      </c>
      <c r="E2390" t="s">
        <v>15</v>
      </c>
      <c r="F2390">
        <v>63308</v>
      </c>
      <c r="G2390" t="s">
        <v>22</v>
      </c>
      <c r="H2390">
        <v>26383.71</v>
      </c>
      <c r="I2390" t="s">
        <v>51</v>
      </c>
      <c r="J2390" t="s">
        <v>32</v>
      </c>
      <c r="K2390" t="s">
        <v>19</v>
      </c>
      <c r="L2390">
        <v>7</v>
      </c>
      <c r="M2390">
        <v>0.42</v>
      </c>
      <c r="N2390" t="s">
        <v>33</v>
      </c>
    </row>
    <row r="2391" spans="1:14" x14ac:dyDescent="0.25">
      <c r="A2391">
        <v>2390</v>
      </c>
      <c r="B2391" t="s">
        <v>43</v>
      </c>
      <c r="C2391">
        <v>2003</v>
      </c>
      <c r="D2391">
        <v>3</v>
      </c>
      <c r="E2391" t="s">
        <v>27</v>
      </c>
      <c r="F2391">
        <v>277941</v>
      </c>
      <c r="G2391" t="s">
        <v>22</v>
      </c>
      <c r="H2391">
        <v>55695.38</v>
      </c>
      <c r="I2391" t="s">
        <v>49</v>
      </c>
      <c r="J2391" t="s">
        <v>41</v>
      </c>
      <c r="K2391" t="s">
        <v>26</v>
      </c>
      <c r="L2391">
        <v>23</v>
      </c>
      <c r="M2391">
        <v>0.2</v>
      </c>
      <c r="N2391" t="s">
        <v>20</v>
      </c>
    </row>
    <row r="2392" spans="1:14" x14ac:dyDescent="0.25">
      <c r="A2392">
        <v>2391</v>
      </c>
      <c r="B2392" t="s">
        <v>24</v>
      </c>
      <c r="C2392">
        <v>2011</v>
      </c>
      <c r="D2392">
        <v>5.9</v>
      </c>
      <c r="E2392" t="s">
        <v>15</v>
      </c>
      <c r="F2392">
        <v>267446</v>
      </c>
      <c r="G2392" t="s">
        <v>22</v>
      </c>
      <c r="H2392">
        <v>71095.8</v>
      </c>
      <c r="I2392" t="s">
        <v>34</v>
      </c>
      <c r="J2392" t="s">
        <v>18</v>
      </c>
      <c r="K2392" t="s">
        <v>26</v>
      </c>
      <c r="L2392">
        <v>15</v>
      </c>
      <c r="M2392">
        <v>0.27</v>
      </c>
      <c r="N2392" t="s">
        <v>20</v>
      </c>
    </row>
    <row r="2393" spans="1:14" x14ac:dyDescent="0.25">
      <c r="A2393">
        <v>2392</v>
      </c>
      <c r="B2393" t="s">
        <v>21</v>
      </c>
      <c r="C2393">
        <v>2022</v>
      </c>
      <c r="D2393">
        <v>5.8</v>
      </c>
      <c r="E2393" t="s">
        <v>27</v>
      </c>
      <c r="F2393">
        <v>38059</v>
      </c>
      <c r="G2393" t="s">
        <v>22</v>
      </c>
      <c r="H2393">
        <v>78531.990000000005</v>
      </c>
      <c r="I2393" t="s">
        <v>42</v>
      </c>
      <c r="J2393" t="s">
        <v>32</v>
      </c>
      <c r="K2393" t="s">
        <v>50</v>
      </c>
      <c r="L2393">
        <v>4</v>
      </c>
      <c r="M2393">
        <v>2.06</v>
      </c>
      <c r="N2393" t="s">
        <v>20</v>
      </c>
    </row>
    <row r="2394" spans="1:14" x14ac:dyDescent="0.25">
      <c r="A2394">
        <v>2393</v>
      </c>
      <c r="B2394" t="s">
        <v>29</v>
      </c>
      <c r="C2394">
        <v>2001</v>
      </c>
      <c r="D2394">
        <v>5</v>
      </c>
      <c r="E2394" t="s">
        <v>27</v>
      </c>
      <c r="F2394">
        <v>131980</v>
      </c>
      <c r="G2394" t="s">
        <v>22</v>
      </c>
      <c r="H2394">
        <v>9078.93</v>
      </c>
      <c r="I2394" t="s">
        <v>38</v>
      </c>
      <c r="J2394" t="s">
        <v>41</v>
      </c>
      <c r="K2394" t="s">
        <v>19</v>
      </c>
      <c r="L2394">
        <v>25</v>
      </c>
      <c r="M2394">
        <v>7.0000000000000007E-2</v>
      </c>
      <c r="N2394" t="s">
        <v>33</v>
      </c>
    </row>
    <row r="2395" spans="1:14" x14ac:dyDescent="0.25">
      <c r="A2395">
        <v>2394</v>
      </c>
      <c r="B2395" t="s">
        <v>24</v>
      </c>
      <c r="C2395">
        <v>2023</v>
      </c>
      <c r="D2395">
        <v>2.2000000000000002</v>
      </c>
      <c r="E2395" t="s">
        <v>27</v>
      </c>
      <c r="F2395">
        <v>191324</v>
      </c>
      <c r="G2395" t="s">
        <v>22</v>
      </c>
      <c r="H2395">
        <v>45658.69</v>
      </c>
      <c r="I2395" t="s">
        <v>34</v>
      </c>
      <c r="J2395" t="s">
        <v>32</v>
      </c>
      <c r="K2395" t="s">
        <v>26</v>
      </c>
      <c r="L2395">
        <v>3</v>
      </c>
      <c r="M2395">
        <v>0.24</v>
      </c>
      <c r="N2395" t="s">
        <v>20</v>
      </c>
    </row>
    <row r="2396" spans="1:14" x14ac:dyDescent="0.25">
      <c r="A2396">
        <v>2395</v>
      </c>
      <c r="B2396" t="s">
        <v>36</v>
      </c>
      <c r="C2396">
        <v>2021</v>
      </c>
      <c r="D2396">
        <v>1.3</v>
      </c>
      <c r="E2396" t="s">
        <v>15</v>
      </c>
      <c r="F2396">
        <v>143949</v>
      </c>
      <c r="G2396" t="s">
        <v>22</v>
      </c>
      <c r="H2396">
        <v>16610.099999999999</v>
      </c>
      <c r="I2396" t="s">
        <v>54</v>
      </c>
      <c r="J2396" t="s">
        <v>41</v>
      </c>
      <c r="K2396" t="s">
        <v>19</v>
      </c>
      <c r="L2396">
        <v>5</v>
      </c>
      <c r="M2396">
        <v>0.12</v>
      </c>
      <c r="N2396" t="s">
        <v>33</v>
      </c>
    </row>
    <row r="2397" spans="1:14" x14ac:dyDescent="0.25">
      <c r="A2397">
        <v>2396</v>
      </c>
      <c r="B2397" t="s">
        <v>24</v>
      </c>
      <c r="C2397">
        <v>2018</v>
      </c>
      <c r="D2397">
        <v>2.6</v>
      </c>
      <c r="E2397" t="s">
        <v>27</v>
      </c>
      <c r="F2397">
        <v>276383</v>
      </c>
      <c r="G2397" t="s">
        <v>22</v>
      </c>
      <c r="H2397">
        <v>45964.04</v>
      </c>
      <c r="I2397" t="s">
        <v>34</v>
      </c>
      <c r="J2397" t="s">
        <v>32</v>
      </c>
      <c r="K2397" t="s">
        <v>26</v>
      </c>
      <c r="L2397">
        <v>8</v>
      </c>
      <c r="M2397">
        <v>0.17</v>
      </c>
      <c r="N2397" t="s">
        <v>20</v>
      </c>
    </row>
    <row r="2398" spans="1:14" x14ac:dyDescent="0.25">
      <c r="A2398">
        <v>2397</v>
      </c>
      <c r="B2398" t="s">
        <v>14</v>
      </c>
      <c r="C2398">
        <v>2004</v>
      </c>
      <c r="D2398">
        <v>2.2999999999999998</v>
      </c>
      <c r="E2398" t="s">
        <v>27</v>
      </c>
      <c r="F2398">
        <v>27313</v>
      </c>
      <c r="G2398" t="s">
        <v>30</v>
      </c>
      <c r="H2398">
        <v>46227.71</v>
      </c>
      <c r="I2398" t="s">
        <v>28</v>
      </c>
      <c r="J2398" t="s">
        <v>18</v>
      </c>
      <c r="K2398" t="s">
        <v>50</v>
      </c>
      <c r="L2398">
        <v>22</v>
      </c>
      <c r="M2398">
        <v>1.69</v>
      </c>
      <c r="N2398" t="s">
        <v>20</v>
      </c>
    </row>
    <row r="2399" spans="1:14" x14ac:dyDescent="0.25">
      <c r="A2399">
        <v>2398</v>
      </c>
      <c r="B2399" t="s">
        <v>52</v>
      </c>
      <c r="C2399">
        <v>2007</v>
      </c>
      <c r="D2399">
        <v>3.5</v>
      </c>
      <c r="E2399" t="s">
        <v>27</v>
      </c>
      <c r="F2399">
        <v>42103</v>
      </c>
      <c r="G2399" t="s">
        <v>22</v>
      </c>
      <c r="H2399">
        <v>52330.11</v>
      </c>
      <c r="I2399" t="s">
        <v>61</v>
      </c>
      <c r="J2399" t="s">
        <v>46</v>
      </c>
      <c r="K2399" t="s">
        <v>50</v>
      </c>
      <c r="L2399">
        <v>19</v>
      </c>
      <c r="M2399">
        <v>1.24</v>
      </c>
      <c r="N2399" t="s">
        <v>33</v>
      </c>
    </row>
    <row r="2400" spans="1:14" x14ac:dyDescent="0.25">
      <c r="A2400">
        <v>2399</v>
      </c>
      <c r="B2400" t="s">
        <v>29</v>
      </c>
      <c r="C2400">
        <v>2006</v>
      </c>
      <c r="D2400">
        <v>4.9000000000000004</v>
      </c>
      <c r="E2400" t="s">
        <v>15</v>
      </c>
      <c r="F2400">
        <v>179480</v>
      </c>
      <c r="G2400" t="s">
        <v>22</v>
      </c>
      <c r="H2400">
        <v>89818.91</v>
      </c>
      <c r="I2400" t="s">
        <v>62</v>
      </c>
      <c r="J2400" t="s">
        <v>46</v>
      </c>
      <c r="K2400" t="s">
        <v>26</v>
      </c>
      <c r="L2400">
        <v>20</v>
      </c>
      <c r="M2400">
        <v>0.5</v>
      </c>
      <c r="N2400" t="s">
        <v>33</v>
      </c>
    </row>
    <row r="2401" spans="1:14" x14ac:dyDescent="0.25">
      <c r="A2401">
        <v>2400</v>
      </c>
      <c r="B2401" t="s">
        <v>36</v>
      </c>
      <c r="C2401">
        <v>2013</v>
      </c>
      <c r="D2401">
        <v>5.3</v>
      </c>
      <c r="E2401" t="s">
        <v>27</v>
      </c>
      <c r="F2401">
        <v>88771</v>
      </c>
      <c r="G2401" t="s">
        <v>30</v>
      </c>
      <c r="H2401">
        <v>81484.070000000007</v>
      </c>
      <c r="I2401" t="s">
        <v>51</v>
      </c>
      <c r="J2401" t="s">
        <v>41</v>
      </c>
      <c r="K2401" t="s">
        <v>19</v>
      </c>
      <c r="L2401">
        <v>13</v>
      </c>
      <c r="M2401">
        <v>0.92</v>
      </c>
      <c r="N2401" t="s">
        <v>33</v>
      </c>
    </row>
    <row r="2402" spans="1:14" x14ac:dyDescent="0.25">
      <c r="A2402">
        <v>2401</v>
      </c>
      <c r="B2402" t="s">
        <v>21</v>
      </c>
      <c r="C2402">
        <v>2023</v>
      </c>
      <c r="D2402">
        <v>5.2</v>
      </c>
      <c r="E2402" t="s">
        <v>27</v>
      </c>
      <c r="F2402">
        <v>126228</v>
      </c>
      <c r="G2402" t="s">
        <v>30</v>
      </c>
      <c r="H2402">
        <v>65488.480000000003</v>
      </c>
      <c r="I2402" t="s">
        <v>42</v>
      </c>
      <c r="J2402" t="s">
        <v>18</v>
      </c>
      <c r="K2402" t="s">
        <v>19</v>
      </c>
      <c r="L2402">
        <v>3</v>
      </c>
      <c r="M2402">
        <v>0.52</v>
      </c>
      <c r="N2402" t="s">
        <v>20</v>
      </c>
    </row>
    <row r="2403" spans="1:14" x14ac:dyDescent="0.25">
      <c r="A2403">
        <v>2402</v>
      </c>
      <c r="B2403" t="s">
        <v>43</v>
      </c>
      <c r="C2403">
        <v>2022</v>
      </c>
      <c r="D2403">
        <v>2.8</v>
      </c>
      <c r="E2403" t="s">
        <v>27</v>
      </c>
      <c r="F2403">
        <v>91665</v>
      </c>
      <c r="G2403" t="s">
        <v>16</v>
      </c>
      <c r="H2403">
        <v>89113.7</v>
      </c>
      <c r="I2403" t="s">
        <v>48</v>
      </c>
      <c r="J2403" t="s">
        <v>46</v>
      </c>
      <c r="K2403" t="s">
        <v>19</v>
      </c>
      <c r="L2403">
        <v>4</v>
      </c>
      <c r="M2403">
        <v>0.97</v>
      </c>
      <c r="N2403" t="s">
        <v>20</v>
      </c>
    </row>
    <row r="2404" spans="1:14" x14ac:dyDescent="0.25">
      <c r="A2404">
        <v>2403</v>
      </c>
      <c r="B2404" t="s">
        <v>14</v>
      </c>
      <c r="C2404">
        <v>2002</v>
      </c>
      <c r="D2404">
        <v>4.4000000000000004</v>
      </c>
      <c r="E2404" t="s">
        <v>15</v>
      </c>
      <c r="F2404">
        <v>272678</v>
      </c>
      <c r="G2404" t="s">
        <v>16</v>
      </c>
      <c r="H2404">
        <v>69454.52</v>
      </c>
      <c r="I2404" t="s">
        <v>17</v>
      </c>
      <c r="J2404" t="s">
        <v>18</v>
      </c>
      <c r="K2404" t="s">
        <v>26</v>
      </c>
      <c r="L2404">
        <v>24</v>
      </c>
      <c r="M2404">
        <v>0.25</v>
      </c>
      <c r="N2404" t="s">
        <v>20</v>
      </c>
    </row>
    <row r="2405" spans="1:14" x14ac:dyDescent="0.25">
      <c r="A2405">
        <v>2404</v>
      </c>
      <c r="B2405" t="s">
        <v>36</v>
      </c>
      <c r="C2405">
        <v>2017</v>
      </c>
      <c r="D2405">
        <v>2.6</v>
      </c>
      <c r="E2405" t="s">
        <v>27</v>
      </c>
      <c r="F2405">
        <v>279333</v>
      </c>
      <c r="G2405" t="s">
        <v>22</v>
      </c>
      <c r="H2405">
        <v>82791.22</v>
      </c>
      <c r="I2405" t="s">
        <v>51</v>
      </c>
      <c r="J2405" t="s">
        <v>46</v>
      </c>
      <c r="K2405" t="s">
        <v>26</v>
      </c>
      <c r="L2405">
        <v>9</v>
      </c>
      <c r="M2405">
        <v>0.3</v>
      </c>
      <c r="N2405" t="s">
        <v>33</v>
      </c>
    </row>
    <row r="2406" spans="1:14" x14ac:dyDescent="0.25">
      <c r="A2406">
        <v>2405</v>
      </c>
      <c r="B2406" t="s">
        <v>21</v>
      </c>
      <c r="C2406">
        <v>2015</v>
      </c>
      <c r="D2406">
        <v>1.3</v>
      </c>
      <c r="E2406" t="s">
        <v>27</v>
      </c>
      <c r="F2406">
        <v>86067</v>
      </c>
      <c r="G2406" t="s">
        <v>22</v>
      </c>
      <c r="H2406">
        <v>58558.94</v>
      </c>
      <c r="I2406" t="s">
        <v>23</v>
      </c>
      <c r="J2406" t="s">
        <v>46</v>
      </c>
      <c r="K2406" t="s">
        <v>19</v>
      </c>
      <c r="L2406">
        <v>11</v>
      </c>
      <c r="M2406">
        <v>0.68</v>
      </c>
      <c r="N2406" t="s">
        <v>20</v>
      </c>
    </row>
    <row r="2407" spans="1:14" x14ac:dyDescent="0.25">
      <c r="A2407">
        <v>2406</v>
      </c>
      <c r="B2407" t="s">
        <v>43</v>
      </c>
      <c r="C2407">
        <v>2022</v>
      </c>
      <c r="D2407">
        <v>4.5</v>
      </c>
      <c r="E2407" t="s">
        <v>15</v>
      </c>
      <c r="F2407">
        <v>273111</v>
      </c>
      <c r="G2407" t="s">
        <v>16</v>
      </c>
      <c r="H2407">
        <v>54895.73</v>
      </c>
      <c r="I2407" t="s">
        <v>48</v>
      </c>
      <c r="J2407" t="s">
        <v>41</v>
      </c>
      <c r="K2407" t="s">
        <v>26</v>
      </c>
      <c r="L2407">
        <v>4</v>
      </c>
      <c r="M2407">
        <v>0.2</v>
      </c>
      <c r="N2407" t="s">
        <v>20</v>
      </c>
    </row>
    <row r="2408" spans="1:14" x14ac:dyDescent="0.25">
      <c r="A2408">
        <v>2407</v>
      </c>
      <c r="B2408" t="s">
        <v>43</v>
      </c>
      <c r="C2408">
        <v>2018</v>
      </c>
      <c r="D2408">
        <v>1</v>
      </c>
      <c r="E2408" t="s">
        <v>15</v>
      </c>
      <c r="F2408">
        <v>213063</v>
      </c>
      <c r="G2408" t="s">
        <v>16</v>
      </c>
      <c r="H2408">
        <v>73789.240000000005</v>
      </c>
      <c r="I2408" t="s">
        <v>55</v>
      </c>
      <c r="J2408" t="s">
        <v>46</v>
      </c>
      <c r="K2408" t="s">
        <v>26</v>
      </c>
      <c r="L2408">
        <v>8</v>
      </c>
      <c r="M2408">
        <v>0.35</v>
      </c>
      <c r="N2408" t="s">
        <v>20</v>
      </c>
    </row>
    <row r="2409" spans="1:14" x14ac:dyDescent="0.25">
      <c r="A2409">
        <v>2408</v>
      </c>
      <c r="B2409" t="s">
        <v>36</v>
      </c>
      <c r="C2409">
        <v>2018</v>
      </c>
      <c r="D2409">
        <v>3</v>
      </c>
      <c r="E2409" t="s">
        <v>27</v>
      </c>
      <c r="F2409">
        <v>270804</v>
      </c>
      <c r="G2409" t="s">
        <v>22</v>
      </c>
      <c r="H2409">
        <v>6870.48</v>
      </c>
      <c r="I2409" t="s">
        <v>57</v>
      </c>
      <c r="J2409" t="s">
        <v>46</v>
      </c>
      <c r="K2409" t="s">
        <v>26</v>
      </c>
      <c r="L2409">
        <v>8</v>
      </c>
      <c r="M2409">
        <v>0.03</v>
      </c>
      <c r="N2409" t="s">
        <v>33</v>
      </c>
    </row>
    <row r="2410" spans="1:14" x14ac:dyDescent="0.25">
      <c r="A2410">
        <v>2409</v>
      </c>
      <c r="B2410" t="s">
        <v>14</v>
      </c>
      <c r="C2410">
        <v>2017</v>
      </c>
      <c r="D2410">
        <v>2.6</v>
      </c>
      <c r="E2410" t="s">
        <v>27</v>
      </c>
      <c r="F2410">
        <v>129909</v>
      </c>
      <c r="G2410" t="s">
        <v>16</v>
      </c>
      <c r="H2410">
        <v>70585.87</v>
      </c>
      <c r="I2410" t="s">
        <v>39</v>
      </c>
      <c r="J2410" t="s">
        <v>18</v>
      </c>
      <c r="K2410" t="s">
        <v>19</v>
      </c>
      <c r="L2410">
        <v>9</v>
      </c>
      <c r="M2410">
        <v>0.54</v>
      </c>
      <c r="N2410" t="s">
        <v>20</v>
      </c>
    </row>
    <row r="2411" spans="1:14" x14ac:dyDescent="0.25">
      <c r="A2411">
        <v>2410</v>
      </c>
      <c r="B2411" t="s">
        <v>24</v>
      </c>
      <c r="C2411">
        <v>2019</v>
      </c>
      <c r="D2411">
        <v>4.5</v>
      </c>
      <c r="E2411" t="s">
        <v>27</v>
      </c>
      <c r="F2411">
        <v>140688</v>
      </c>
      <c r="G2411" t="s">
        <v>22</v>
      </c>
      <c r="H2411">
        <v>93779.23</v>
      </c>
      <c r="I2411" t="s">
        <v>25</v>
      </c>
      <c r="J2411" t="s">
        <v>46</v>
      </c>
      <c r="K2411" t="s">
        <v>19</v>
      </c>
      <c r="L2411">
        <v>7</v>
      </c>
      <c r="M2411">
        <v>0.67</v>
      </c>
      <c r="N2411" t="s">
        <v>20</v>
      </c>
    </row>
    <row r="2412" spans="1:14" x14ac:dyDescent="0.25">
      <c r="A2412">
        <v>2411</v>
      </c>
      <c r="B2412" t="s">
        <v>24</v>
      </c>
      <c r="C2412">
        <v>2015</v>
      </c>
      <c r="D2412">
        <v>4.8</v>
      </c>
      <c r="E2412" t="s">
        <v>15</v>
      </c>
      <c r="F2412">
        <v>75976</v>
      </c>
      <c r="G2412" t="s">
        <v>30</v>
      </c>
      <c r="H2412">
        <v>72824.5</v>
      </c>
      <c r="I2412" t="s">
        <v>25</v>
      </c>
      <c r="J2412" t="s">
        <v>32</v>
      </c>
      <c r="K2412" t="s">
        <v>19</v>
      </c>
      <c r="L2412">
        <v>11</v>
      </c>
      <c r="M2412">
        <v>0.96</v>
      </c>
      <c r="N2412" t="s">
        <v>20</v>
      </c>
    </row>
    <row r="2413" spans="1:14" x14ac:dyDescent="0.25">
      <c r="A2413">
        <v>2412</v>
      </c>
      <c r="B2413" t="s">
        <v>43</v>
      </c>
      <c r="C2413">
        <v>2007</v>
      </c>
      <c r="D2413">
        <v>2.5</v>
      </c>
      <c r="E2413" t="s">
        <v>15</v>
      </c>
      <c r="F2413">
        <v>233208</v>
      </c>
      <c r="G2413" t="s">
        <v>30</v>
      </c>
      <c r="H2413">
        <v>8495.4</v>
      </c>
      <c r="I2413" t="s">
        <v>48</v>
      </c>
      <c r="J2413" t="s">
        <v>46</v>
      </c>
      <c r="K2413" t="s">
        <v>26</v>
      </c>
      <c r="L2413">
        <v>19</v>
      </c>
      <c r="M2413">
        <v>0.04</v>
      </c>
      <c r="N2413" t="s">
        <v>20</v>
      </c>
    </row>
    <row r="2414" spans="1:14" x14ac:dyDescent="0.25">
      <c r="A2414">
        <v>2413</v>
      </c>
      <c r="B2414" t="s">
        <v>24</v>
      </c>
      <c r="C2414">
        <v>2000</v>
      </c>
      <c r="D2414">
        <v>5.0999999999999996</v>
      </c>
      <c r="E2414" t="s">
        <v>27</v>
      </c>
      <c r="F2414">
        <v>179810</v>
      </c>
      <c r="G2414" t="s">
        <v>16</v>
      </c>
      <c r="H2414">
        <v>40899.14</v>
      </c>
      <c r="I2414" t="s">
        <v>45</v>
      </c>
      <c r="J2414" t="s">
        <v>46</v>
      </c>
      <c r="K2414" t="s">
        <v>26</v>
      </c>
      <c r="L2414">
        <v>26</v>
      </c>
      <c r="M2414">
        <v>0.23</v>
      </c>
      <c r="N2414" t="s">
        <v>20</v>
      </c>
    </row>
    <row r="2415" spans="1:14" x14ac:dyDescent="0.25">
      <c r="A2415">
        <v>2414</v>
      </c>
      <c r="B2415" t="s">
        <v>52</v>
      </c>
      <c r="C2415">
        <v>2016</v>
      </c>
      <c r="D2415">
        <v>2.5</v>
      </c>
      <c r="E2415" t="s">
        <v>15</v>
      </c>
      <c r="F2415">
        <v>275251</v>
      </c>
      <c r="G2415" t="s">
        <v>30</v>
      </c>
      <c r="H2415">
        <v>81910.22</v>
      </c>
      <c r="I2415" t="s">
        <v>56</v>
      </c>
      <c r="J2415" t="s">
        <v>18</v>
      </c>
      <c r="K2415" t="s">
        <v>26</v>
      </c>
      <c r="L2415">
        <v>10</v>
      </c>
      <c r="M2415">
        <v>0.3</v>
      </c>
      <c r="N2415" t="s">
        <v>33</v>
      </c>
    </row>
    <row r="2416" spans="1:14" x14ac:dyDescent="0.25">
      <c r="A2416">
        <v>2415</v>
      </c>
      <c r="B2416" t="s">
        <v>43</v>
      </c>
      <c r="C2416">
        <v>2011</v>
      </c>
      <c r="D2416">
        <v>3.2</v>
      </c>
      <c r="E2416" t="s">
        <v>27</v>
      </c>
      <c r="F2416">
        <v>192476</v>
      </c>
      <c r="G2416" t="s">
        <v>30</v>
      </c>
      <c r="H2416">
        <v>96067.81</v>
      </c>
      <c r="I2416" t="s">
        <v>49</v>
      </c>
      <c r="J2416" t="s">
        <v>46</v>
      </c>
      <c r="K2416" t="s">
        <v>26</v>
      </c>
      <c r="L2416">
        <v>15</v>
      </c>
      <c r="M2416">
        <v>0.5</v>
      </c>
      <c r="N2416" t="s">
        <v>20</v>
      </c>
    </row>
    <row r="2417" spans="1:14" x14ac:dyDescent="0.25">
      <c r="A2417">
        <v>2416</v>
      </c>
      <c r="B2417" t="s">
        <v>43</v>
      </c>
      <c r="C2417">
        <v>2020</v>
      </c>
      <c r="D2417">
        <v>4.5999999999999996</v>
      </c>
      <c r="E2417" t="s">
        <v>27</v>
      </c>
      <c r="F2417">
        <v>94182</v>
      </c>
      <c r="G2417" t="s">
        <v>30</v>
      </c>
      <c r="H2417">
        <v>40165.519999999997</v>
      </c>
      <c r="I2417" t="s">
        <v>48</v>
      </c>
      <c r="J2417" t="s">
        <v>32</v>
      </c>
      <c r="K2417" t="s">
        <v>19</v>
      </c>
      <c r="L2417">
        <v>6</v>
      </c>
      <c r="M2417">
        <v>0.43</v>
      </c>
      <c r="N2417" t="s">
        <v>20</v>
      </c>
    </row>
    <row r="2418" spans="1:14" x14ac:dyDescent="0.25">
      <c r="A2418">
        <v>2417</v>
      </c>
      <c r="B2418" t="s">
        <v>21</v>
      </c>
      <c r="C2418">
        <v>2010</v>
      </c>
      <c r="D2418">
        <v>4.5</v>
      </c>
      <c r="E2418" t="s">
        <v>15</v>
      </c>
      <c r="F2418">
        <v>243153</v>
      </c>
      <c r="G2418" t="s">
        <v>30</v>
      </c>
      <c r="H2418">
        <v>84913.44</v>
      </c>
      <c r="I2418" t="s">
        <v>23</v>
      </c>
      <c r="J2418" t="s">
        <v>32</v>
      </c>
      <c r="K2418" t="s">
        <v>26</v>
      </c>
      <c r="L2418">
        <v>16</v>
      </c>
      <c r="M2418">
        <v>0.35</v>
      </c>
      <c r="N2418" t="s">
        <v>20</v>
      </c>
    </row>
    <row r="2419" spans="1:14" x14ac:dyDescent="0.25">
      <c r="A2419">
        <v>2418</v>
      </c>
      <c r="B2419" t="s">
        <v>24</v>
      </c>
      <c r="C2419">
        <v>2004</v>
      </c>
      <c r="D2419">
        <v>5.9</v>
      </c>
      <c r="E2419" t="s">
        <v>27</v>
      </c>
      <c r="F2419">
        <v>278098</v>
      </c>
      <c r="G2419" t="s">
        <v>22</v>
      </c>
      <c r="H2419">
        <v>87061.94</v>
      </c>
      <c r="I2419" t="s">
        <v>35</v>
      </c>
      <c r="J2419" t="s">
        <v>41</v>
      </c>
      <c r="K2419" t="s">
        <v>26</v>
      </c>
      <c r="L2419">
        <v>22</v>
      </c>
      <c r="M2419">
        <v>0.31</v>
      </c>
      <c r="N2419" t="s">
        <v>20</v>
      </c>
    </row>
    <row r="2420" spans="1:14" x14ac:dyDescent="0.25">
      <c r="A2420">
        <v>2419</v>
      </c>
      <c r="B2420" t="s">
        <v>14</v>
      </c>
      <c r="C2420">
        <v>2011</v>
      </c>
      <c r="D2420">
        <v>2.1</v>
      </c>
      <c r="E2420" t="s">
        <v>15</v>
      </c>
      <c r="F2420">
        <v>279087</v>
      </c>
      <c r="G2420" t="s">
        <v>22</v>
      </c>
      <c r="H2420">
        <v>16712.21</v>
      </c>
      <c r="I2420" t="s">
        <v>17</v>
      </c>
      <c r="J2420" t="s">
        <v>18</v>
      </c>
      <c r="K2420" t="s">
        <v>26</v>
      </c>
      <c r="L2420">
        <v>15</v>
      </c>
      <c r="M2420">
        <v>0.06</v>
      </c>
      <c r="N2420" t="s">
        <v>20</v>
      </c>
    </row>
    <row r="2421" spans="1:14" x14ac:dyDescent="0.25">
      <c r="A2421">
        <v>2420</v>
      </c>
      <c r="B2421" t="s">
        <v>43</v>
      </c>
      <c r="C2421">
        <v>2016</v>
      </c>
      <c r="D2421">
        <v>4.3</v>
      </c>
      <c r="E2421" t="s">
        <v>15</v>
      </c>
      <c r="F2421">
        <v>40725</v>
      </c>
      <c r="G2421" t="s">
        <v>16</v>
      </c>
      <c r="H2421">
        <v>85349.9</v>
      </c>
      <c r="I2421" t="s">
        <v>48</v>
      </c>
      <c r="J2421" t="s">
        <v>18</v>
      </c>
      <c r="K2421" t="s">
        <v>50</v>
      </c>
      <c r="L2421">
        <v>10</v>
      </c>
      <c r="M2421">
        <v>2.1</v>
      </c>
      <c r="N2421" t="s">
        <v>20</v>
      </c>
    </row>
    <row r="2422" spans="1:14" x14ac:dyDescent="0.25">
      <c r="A2422">
        <v>2421</v>
      </c>
      <c r="B2422" t="s">
        <v>14</v>
      </c>
      <c r="C2422">
        <v>2005</v>
      </c>
      <c r="D2422">
        <v>4</v>
      </c>
      <c r="E2422" t="s">
        <v>27</v>
      </c>
      <c r="F2422">
        <v>10110</v>
      </c>
      <c r="G2422" t="s">
        <v>30</v>
      </c>
      <c r="H2422">
        <v>35803.74</v>
      </c>
      <c r="I2422" t="s">
        <v>17</v>
      </c>
      <c r="J2422" t="s">
        <v>18</v>
      </c>
      <c r="K2422" t="s">
        <v>50</v>
      </c>
      <c r="L2422">
        <v>21</v>
      </c>
      <c r="M2422">
        <v>3.54</v>
      </c>
      <c r="N2422" t="s">
        <v>20</v>
      </c>
    </row>
    <row r="2423" spans="1:14" x14ac:dyDescent="0.25">
      <c r="A2423">
        <v>2422</v>
      </c>
      <c r="B2423" t="s">
        <v>52</v>
      </c>
      <c r="C2423">
        <v>2000</v>
      </c>
      <c r="D2423">
        <v>5.6</v>
      </c>
      <c r="E2423" t="s">
        <v>15</v>
      </c>
      <c r="F2423">
        <v>278606</v>
      </c>
      <c r="G2423" t="s">
        <v>30</v>
      </c>
      <c r="H2423">
        <v>61357.58</v>
      </c>
      <c r="I2423" t="s">
        <v>56</v>
      </c>
      <c r="J2423" t="s">
        <v>32</v>
      </c>
      <c r="K2423" t="s">
        <v>26</v>
      </c>
      <c r="L2423">
        <v>26</v>
      </c>
      <c r="M2423">
        <v>0.22</v>
      </c>
      <c r="N2423" t="s">
        <v>33</v>
      </c>
    </row>
    <row r="2424" spans="1:14" x14ac:dyDescent="0.25">
      <c r="A2424">
        <v>2423</v>
      </c>
      <c r="B2424" t="s">
        <v>21</v>
      </c>
      <c r="C2424">
        <v>2004</v>
      </c>
      <c r="D2424">
        <v>1.8</v>
      </c>
      <c r="E2424" t="s">
        <v>27</v>
      </c>
      <c r="F2424">
        <v>185153</v>
      </c>
      <c r="G2424" t="s">
        <v>30</v>
      </c>
      <c r="H2424">
        <v>56201.4</v>
      </c>
      <c r="I2424" t="s">
        <v>47</v>
      </c>
      <c r="J2424" t="s">
        <v>32</v>
      </c>
      <c r="K2424" t="s">
        <v>26</v>
      </c>
      <c r="L2424">
        <v>22</v>
      </c>
      <c r="M2424">
        <v>0.3</v>
      </c>
      <c r="N2424" t="s">
        <v>20</v>
      </c>
    </row>
    <row r="2425" spans="1:14" x14ac:dyDescent="0.25">
      <c r="A2425">
        <v>2424</v>
      </c>
      <c r="B2425" t="s">
        <v>36</v>
      </c>
      <c r="C2425">
        <v>2013</v>
      </c>
      <c r="D2425">
        <v>4.8</v>
      </c>
      <c r="E2425" t="s">
        <v>15</v>
      </c>
      <c r="F2425">
        <v>66567</v>
      </c>
      <c r="G2425" t="s">
        <v>16</v>
      </c>
      <c r="H2425">
        <v>67990.12</v>
      </c>
      <c r="I2425" t="s">
        <v>51</v>
      </c>
      <c r="J2425" t="s">
        <v>18</v>
      </c>
      <c r="K2425" t="s">
        <v>19</v>
      </c>
      <c r="L2425">
        <v>13</v>
      </c>
      <c r="M2425">
        <v>1.02</v>
      </c>
      <c r="N2425" t="s">
        <v>33</v>
      </c>
    </row>
    <row r="2426" spans="1:14" x14ac:dyDescent="0.25">
      <c r="A2426">
        <v>2425</v>
      </c>
      <c r="B2426" t="s">
        <v>14</v>
      </c>
      <c r="C2426">
        <v>2004</v>
      </c>
      <c r="D2426">
        <v>3.8</v>
      </c>
      <c r="E2426" t="s">
        <v>27</v>
      </c>
      <c r="F2426">
        <v>182296</v>
      </c>
      <c r="G2426" t="s">
        <v>22</v>
      </c>
      <c r="H2426">
        <v>75344.14</v>
      </c>
      <c r="I2426" t="s">
        <v>39</v>
      </c>
      <c r="J2426" t="s">
        <v>18</v>
      </c>
      <c r="K2426" t="s">
        <v>26</v>
      </c>
      <c r="L2426">
        <v>22</v>
      </c>
      <c r="M2426">
        <v>0.41</v>
      </c>
      <c r="N2426" t="s">
        <v>20</v>
      </c>
    </row>
    <row r="2427" spans="1:14" x14ac:dyDescent="0.25">
      <c r="A2427">
        <v>2426</v>
      </c>
      <c r="B2427" t="s">
        <v>43</v>
      </c>
      <c r="C2427">
        <v>2021</v>
      </c>
      <c r="D2427">
        <v>2.4</v>
      </c>
      <c r="E2427" t="s">
        <v>27</v>
      </c>
      <c r="F2427">
        <v>113394</v>
      </c>
      <c r="G2427" t="s">
        <v>30</v>
      </c>
      <c r="H2427">
        <v>46883.7</v>
      </c>
      <c r="I2427" t="s">
        <v>49</v>
      </c>
      <c r="J2427" t="s">
        <v>41</v>
      </c>
      <c r="K2427" t="s">
        <v>19</v>
      </c>
      <c r="L2427">
        <v>5</v>
      </c>
      <c r="M2427">
        <v>0.41</v>
      </c>
      <c r="N2427" t="s">
        <v>20</v>
      </c>
    </row>
    <row r="2428" spans="1:14" x14ac:dyDescent="0.25">
      <c r="A2428">
        <v>2427</v>
      </c>
      <c r="B2428" t="s">
        <v>52</v>
      </c>
      <c r="C2428">
        <v>2023</v>
      </c>
      <c r="D2428">
        <v>3.4</v>
      </c>
      <c r="E2428" t="s">
        <v>27</v>
      </c>
      <c r="F2428">
        <v>148940</v>
      </c>
      <c r="G2428" t="s">
        <v>22</v>
      </c>
      <c r="H2428">
        <v>89389.53</v>
      </c>
      <c r="I2428" t="s">
        <v>61</v>
      </c>
      <c r="J2428" t="s">
        <v>18</v>
      </c>
      <c r="K2428" t="s">
        <v>19</v>
      </c>
      <c r="L2428">
        <v>3</v>
      </c>
      <c r="M2428">
        <v>0.6</v>
      </c>
      <c r="N2428" t="s">
        <v>33</v>
      </c>
    </row>
    <row r="2429" spans="1:14" x14ac:dyDescent="0.25">
      <c r="A2429">
        <v>2428</v>
      </c>
      <c r="B2429" t="s">
        <v>29</v>
      </c>
      <c r="C2429">
        <v>2000</v>
      </c>
      <c r="D2429">
        <v>2.7</v>
      </c>
      <c r="E2429" t="s">
        <v>15</v>
      </c>
      <c r="F2429">
        <v>22222</v>
      </c>
      <c r="G2429" t="s">
        <v>16</v>
      </c>
      <c r="H2429">
        <v>81902.350000000006</v>
      </c>
      <c r="I2429" t="s">
        <v>38</v>
      </c>
      <c r="J2429" t="s">
        <v>41</v>
      </c>
      <c r="K2429" t="s">
        <v>50</v>
      </c>
      <c r="L2429">
        <v>26</v>
      </c>
      <c r="M2429">
        <v>3.69</v>
      </c>
      <c r="N2429" t="s">
        <v>33</v>
      </c>
    </row>
    <row r="2430" spans="1:14" x14ac:dyDescent="0.25">
      <c r="A2430">
        <v>2429</v>
      </c>
      <c r="B2430" t="s">
        <v>52</v>
      </c>
      <c r="C2430">
        <v>2017</v>
      </c>
      <c r="D2430">
        <v>3.9</v>
      </c>
      <c r="E2430" t="s">
        <v>27</v>
      </c>
      <c r="F2430">
        <v>79794</v>
      </c>
      <c r="G2430" t="s">
        <v>22</v>
      </c>
      <c r="H2430">
        <v>79615</v>
      </c>
      <c r="I2430" t="s">
        <v>56</v>
      </c>
      <c r="J2430" t="s">
        <v>41</v>
      </c>
      <c r="K2430" t="s">
        <v>19</v>
      </c>
      <c r="L2430">
        <v>9</v>
      </c>
      <c r="M2430">
        <v>1</v>
      </c>
      <c r="N2430" t="s">
        <v>33</v>
      </c>
    </row>
    <row r="2431" spans="1:14" x14ac:dyDescent="0.25">
      <c r="A2431">
        <v>2430</v>
      </c>
      <c r="B2431" t="s">
        <v>52</v>
      </c>
      <c r="C2431">
        <v>2015</v>
      </c>
      <c r="D2431">
        <v>5.4</v>
      </c>
      <c r="E2431" t="s">
        <v>15</v>
      </c>
      <c r="F2431">
        <v>63924</v>
      </c>
      <c r="G2431" t="s">
        <v>30</v>
      </c>
      <c r="H2431">
        <v>48533.45</v>
      </c>
      <c r="I2431" t="s">
        <v>56</v>
      </c>
      <c r="J2431" t="s">
        <v>18</v>
      </c>
      <c r="K2431" t="s">
        <v>19</v>
      </c>
      <c r="L2431">
        <v>11</v>
      </c>
      <c r="M2431">
        <v>0.76</v>
      </c>
      <c r="N2431" t="s">
        <v>33</v>
      </c>
    </row>
    <row r="2432" spans="1:14" x14ac:dyDescent="0.25">
      <c r="A2432">
        <v>2431</v>
      </c>
      <c r="B2432" t="s">
        <v>21</v>
      </c>
      <c r="C2432">
        <v>2008</v>
      </c>
      <c r="D2432">
        <v>3.8</v>
      </c>
      <c r="E2432" t="s">
        <v>15</v>
      </c>
      <c r="F2432">
        <v>99854</v>
      </c>
      <c r="G2432" t="s">
        <v>22</v>
      </c>
      <c r="H2432">
        <v>8569.42</v>
      </c>
      <c r="I2432" t="s">
        <v>60</v>
      </c>
      <c r="J2432" t="s">
        <v>46</v>
      </c>
      <c r="K2432" t="s">
        <v>19</v>
      </c>
      <c r="L2432">
        <v>18</v>
      </c>
      <c r="M2432">
        <v>0.09</v>
      </c>
      <c r="N2432" t="s">
        <v>20</v>
      </c>
    </row>
    <row r="2433" spans="1:14" x14ac:dyDescent="0.25">
      <c r="A2433">
        <v>2432</v>
      </c>
      <c r="B2433" t="s">
        <v>36</v>
      </c>
      <c r="C2433">
        <v>2018</v>
      </c>
      <c r="D2433">
        <v>4.2</v>
      </c>
      <c r="E2433" t="s">
        <v>15</v>
      </c>
      <c r="F2433">
        <v>260038</v>
      </c>
      <c r="G2433" t="s">
        <v>22</v>
      </c>
      <c r="H2433">
        <v>51764.36</v>
      </c>
      <c r="I2433" t="s">
        <v>37</v>
      </c>
      <c r="J2433" t="s">
        <v>46</v>
      </c>
      <c r="K2433" t="s">
        <v>26</v>
      </c>
      <c r="L2433">
        <v>8</v>
      </c>
      <c r="M2433">
        <v>0.2</v>
      </c>
      <c r="N2433" t="s">
        <v>33</v>
      </c>
    </row>
    <row r="2434" spans="1:14" x14ac:dyDescent="0.25">
      <c r="A2434">
        <v>2433</v>
      </c>
      <c r="B2434" t="s">
        <v>29</v>
      </c>
      <c r="C2434">
        <v>2021</v>
      </c>
      <c r="D2434">
        <v>3.6</v>
      </c>
      <c r="E2434" t="s">
        <v>15</v>
      </c>
      <c r="F2434">
        <v>243815</v>
      </c>
      <c r="G2434" t="s">
        <v>16</v>
      </c>
      <c r="H2434">
        <v>90352.33</v>
      </c>
      <c r="I2434" t="s">
        <v>31</v>
      </c>
      <c r="J2434" t="s">
        <v>41</v>
      </c>
      <c r="K2434" t="s">
        <v>26</v>
      </c>
      <c r="L2434">
        <v>5</v>
      </c>
      <c r="M2434">
        <v>0.37</v>
      </c>
      <c r="N2434" t="s">
        <v>33</v>
      </c>
    </row>
    <row r="2435" spans="1:14" x14ac:dyDescent="0.25">
      <c r="A2435">
        <v>2434</v>
      </c>
      <c r="B2435" t="s">
        <v>24</v>
      </c>
      <c r="C2435">
        <v>2004</v>
      </c>
      <c r="D2435">
        <v>1.3</v>
      </c>
      <c r="E2435" t="s">
        <v>15</v>
      </c>
      <c r="F2435">
        <v>233127</v>
      </c>
      <c r="G2435" t="s">
        <v>16</v>
      </c>
      <c r="H2435">
        <v>23092.76</v>
      </c>
      <c r="I2435" t="s">
        <v>45</v>
      </c>
      <c r="J2435" t="s">
        <v>46</v>
      </c>
      <c r="K2435" t="s">
        <v>26</v>
      </c>
      <c r="L2435">
        <v>22</v>
      </c>
      <c r="M2435">
        <v>0.1</v>
      </c>
      <c r="N2435" t="s">
        <v>20</v>
      </c>
    </row>
    <row r="2436" spans="1:14" x14ac:dyDescent="0.25">
      <c r="A2436">
        <v>2435</v>
      </c>
      <c r="B2436" t="s">
        <v>24</v>
      </c>
      <c r="C2436">
        <v>2001</v>
      </c>
      <c r="D2436">
        <v>2.2000000000000002</v>
      </c>
      <c r="E2436" t="s">
        <v>27</v>
      </c>
      <c r="F2436">
        <v>141295</v>
      </c>
      <c r="G2436" t="s">
        <v>16</v>
      </c>
      <c r="H2436">
        <v>98346.28</v>
      </c>
      <c r="I2436" t="s">
        <v>34</v>
      </c>
      <c r="J2436" t="s">
        <v>32</v>
      </c>
      <c r="K2436" t="s">
        <v>19</v>
      </c>
      <c r="L2436">
        <v>25</v>
      </c>
      <c r="M2436">
        <v>0.7</v>
      </c>
      <c r="N2436" t="s">
        <v>20</v>
      </c>
    </row>
    <row r="2437" spans="1:14" x14ac:dyDescent="0.25">
      <c r="A2437">
        <v>2436</v>
      </c>
      <c r="B2437" t="s">
        <v>14</v>
      </c>
      <c r="C2437">
        <v>2014</v>
      </c>
      <c r="D2437">
        <v>3.5</v>
      </c>
      <c r="E2437" t="s">
        <v>15</v>
      </c>
      <c r="F2437">
        <v>179238</v>
      </c>
      <c r="G2437" t="s">
        <v>16</v>
      </c>
      <c r="H2437">
        <v>81730.61</v>
      </c>
      <c r="I2437" t="s">
        <v>28</v>
      </c>
      <c r="J2437" t="s">
        <v>18</v>
      </c>
      <c r="K2437" t="s">
        <v>26</v>
      </c>
      <c r="L2437">
        <v>12</v>
      </c>
      <c r="M2437">
        <v>0.46</v>
      </c>
      <c r="N2437" t="s">
        <v>20</v>
      </c>
    </row>
    <row r="2438" spans="1:14" x14ac:dyDescent="0.25">
      <c r="A2438">
        <v>2437</v>
      </c>
      <c r="B2438" t="s">
        <v>52</v>
      </c>
      <c r="C2438">
        <v>2006</v>
      </c>
      <c r="D2438">
        <v>2.6</v>
      </c>
      <c r="E2438" t="s">
        <v>27</v>
      </c>
      <c r="F2438">
        <v>39369</v>
      </c>
      <c r="G2438" t="s">
        <v>22</v>
      </c>
      <c r="H2438">
        <v>72433.83</v>
      </c>
      <c r="I2438" t="s">
        <v>53</v>
      </c>
      <c r="J2438" t="s">
        <v>41</v>
      </c>
      <c r="K2438" t="s">
        <v>50</v>
      </c>
      <c r="L2438">
        <v>20</v>
      </c>
      <c r="M2438">
        <v>1.84</v>
      </c>
      <c r="N2438" t="s">
        <v>33</v>
      </c>
    </row>
    <row r="2439" spans="1:14" x14ac:dyDescent="0.25">
      <c r="A2439">
        <v>2438</v>
      </c>
      <c r="B2439" t="s">
        <v>21</v>
      </c>
      <c r="C2439">
        <v>2003</v>
      </c>
      <c r="D2439">
        <v>1.9</v>
      </c>
      <c r="E2439" t="s">
        <v>27</v>
      </c>
      <c r="F2439">
        <v>274805</v>
      </c>
      <c r="G2439" t="s">
        <v>22</v>
      </c>
      <c r="H2439">
        <v>69330.2</v>
      </c>
      <c r="I2439" t="s">
        <v>60</v>
      </c>
      <c r="J2439" t="s">
        <v>32</v>
      </c>
      <c r="K2439" t="s">
        <v>26</v>
      </c>
      <c r="L2439">
        <v>23</v>
      </c>
      <c r="M2439">
        <v>0.25</v>
      </c>
      <c r="N2439" t="s">
        <v>20</v>
      </c>
    </row>
    <row r="2440" spans="1:14" x14ac:dyDescent="0.25">
      <c r="A2440">
        <v>2439</v>
      </c>
      <c r="B2440" t="s">
        <v>21</v>
      </c>
      <c r="C2440">
        <v>2000</v>
      </c>
      <c r="D2440">
        <v>3.5</v>
      </c>
      <c r="E2440" t="s">
        <v>15</v>
      </c>
      <c r="F2440">
        <v>146663</v>
      </c>
      <c r="G2440" t="s">
        <v>16</v>
      </c>
      <c r="H2440">
        <v>60767.46</v>
      </c>
      <c r="I2440" t="s">
        <v>47</v>
      </c>
      <c r="J2440" t="s">
        <v>46</v>
      </c>
      <c r="K2440" t="s">
        <v>19</v>
      </c>
      <c r="L2440">
        <v>26</v>
      </c>
      <c r="M2440">
        <v>0.41</v>
      </c>
      <c r="N2440" t="s">
        <v>20</v>
      </c>
    </row>
    <row r="2441" spans="1:14" x14ac:dyDescent="0.25">
      <c r="A2441">
        <v>2440</v>
      </c>
      <c r="B2441" t="s">
        <v>24</v>
      </c>
      <c r="C2441">
        <v>2012</v>
      </c>
      <c r="D2441">
        <v>2.6</v>
      </c>
      <c r="E2441" t="s">
        <v>27</v>
      </c>
      <c r="F2441">
        <v>186307</v>
      </c>
      <c r="G2441" t="s">
        <v>16</v>
      </c>
      <c r="H2441">
        <v>73463.679999999993</v>
      </c>
      <c r="I2441" t="s">
        <v>45</v>
      </c>
      <c r="J2441" t="s">
        <v>32</v>
      </c>
      <c r="K2441" t="s">
        <v>26</v>
      </c>
      <c r="L2441">
        <v>14</v>
      </c>
      <c r="M2441">
        <v>0.39</v>
      </c>
      <c r="N2441" t="s">
        <v>20</v>
      </c>
    </row>
    <row r="2442" spans="1:14" x14ac:dyDescent="0.25">
      <c r="A2442">
        <v>2441</v>
      </c>
      <c r="B2442" t="s">
        <v>14</v>
      </c>
      <c r="C2442">
        <v>2019</v>
      </c>
      <c r="D2442">
        <v>2.2999999999999998</v>
      </c>
      <c r="E2442" t="s">
        <v>27</v>
      </c>
      <c r="F2442">
        <v>270114</v>
      </c>
      <c r="G2442" t="s">
        <v>30</v>
      </c>
      <c r="H2442">
        <v>45081.03</v>
      </c>
      <c r="I2442" t="s">
        <v>17</v>
      </c>
      <c r="J2442" t="s">
        <v>18</v>
      </c>
      <c r="K2442" t="s">
        <v>26</v>
      </c>
      <c r="L2442">
        <v>7</v>
      </c>
      <c r="M2442">
        <v>0.17</v>
      </c>
      <c r="N2442" t="s">
        <v>20</v>
      </c>
    </row>
    <row r="2443" spans="1:14" x14ac:dyDescent="0.25">
      <c r="A2443">
        <v>2442</v>
      </c>
      <c r="B2443" t="s">
        <v>14</v>
      </c>
      <c r="C2443">
        <v>2021</v>
      </c>
      <c r="D2443">
        <v>3.3</v>
      </c>
      <c r="E2443" t="s">
        <v>15</v>
      </c>
      <c r="F2443">
        <v>47922</v>
      </c>
      <c r="G2443" t="s">
        <v>30</v>
      </c>
      <c r="H2443">
        <v>85302.37</v>
      </c>
      <c r="I2443" t="s">
        <v>28</v>
      </c>
      <c r="J2443" t="s">
        <v>18</v>
      </c>
      <c r="K2443" t="s">
        <v>50</v>
      </c>
      <c r="L2443">
        <v>5</v>
      </c>
      <c r="M2443">
        <v>1.78</v>
      </c>
      <c r="N2443" t="s">
        <v>20</v>
      </c>
    </row>
    <row r="2444" spans="1:14" x14ac:dyDescent="0.25">
      <c r="A2444">
        <v>2443</v>
      </c>
      <c r="B2444" t="s">
        <v>14</v>
      </c>
      <c r="C2444">
        <v>2006</v>
      </c>
      <c r="D2444">
        <v>1.7</v>
      </c>
      <c r="E2444" t="s">
        <v>27</v>
      </c>
      <c r="F2444">
        <v>292899</v>
      </c>
      <c r="G2444" t="s">
        <v>16</v>
      </c>
      <c r="H2444">
        <v>71152.87</v>
      </c>
      <c r="I2444" t="s">
        <v>58</v>
      </c>
      <c r="J2444" t="s">
        <v>18</v>
      </c>
      <c r="K2444" t="s">
        <v>26</v>
      </c>
      <c r="L2444">
        <v>20</v>
      </c>
      <c r="M2444">
        <v>0.24</v>
      </c>
      <c r="N2444" t="s">
        <v>20</v>
      </c>
    </row>
    <row r="2445" spans="1:14" x14ac:dyDescent="0.25">
      <c r="A2445">
        <v>2444</v>
      </c>
      <c r="B2445" t="s">
        <v>29</v>
      </c>
      <c r="C2445">
        <v>2014</v>
      </c>
      <c r="D2445">
        <v>5.6</v>
      </c>
      <c r="E2445" t="s">
        <v>15</v>
      </c>
      <c r="F2445">
        <v>120926</v>
      </c>
      <c r="G2445" t="s">
        <v>22</v>
      </c>
      <c r="H2445">
        <v>78269.05</v>
      </c>
      <c r="I2445" t="s">
        <v>38</v>
      </c>
      <c r="J2445" t="s">
        <v>18</v>
      </c>
      <c r="K2445" t="s">
        <v>19</v>
      </c>
      <c r="L2445">
        <v>12</v>
      </c>
      <c r="M2445">
        <v>0.65</v>
      </c>
      <c r="N2445" t="s">
        <v>33</v>
      </c>
    </row>
    <row r="2446" spans="1:14" x14ac:dyDescent="0.25">
      <c r="A2446">
        <v>2445</v>
      </c>
      <c r="B2446" t="s">
        <v>36</v>
      </c>
      <c r="C2446">
        <v>2022</v>
      </c>
      <c r="D2446">
        <v>5.3</v>
      </c>
      <c r="E2446" t="s">
        <v>15</v>
      </c>
      <c r="F2446">
        <v>19416</v>
      </c>
      <c r="G2446" t="s">
        <v>16</v>
      </c>
      <c r="H2446">
        <v>80286.31</v>
      </c>
      <c r="I2446" t="s">
        <v>37</v>
      </c>
      <c r="J2446" t="s">
        <v>41</v>
      </c>
      <c r="K2446" t="s">
        <v>50</v>
      </c>
      <c r="L2446">
        <v>4</v>
      </c>
      <c r="M2446">
        <v>4.1399999999999997</v>
      </c>
      <c r="N2446" t="s">
        <v>33</v>
      </c>
    </row>
    <row r="2447" spans="1:14" x14ac:dyDescent="0.25">
      <c r="A2447">
        <v>2446</v>
      </c>
      <c r="B2447" t="s">
        <v>29</v>
      </c>
      <c r="C2447">
        <v>2013</v>
      </c>
      <c r="D2447">
        <v>4.5</v>
      </c>
      <c r="E2447" t="s">
        <v>15</v>
      </c>
      <c r="F2447">
        <v>13672</v>
      </c>
      <c r="G2447" t="s">
        <v>22</v>
      </c>
      <c r="H2447">
        <v>13746.65</v>
      </c>
      <c r="I2447" t="s">
        <v>38</v>
      </c>
      <c r="J2447" t="s">
        <v>32</v>
      </c>
      <c r="K2447" t="s">
        <v>50</v>
      </c>
      <c r="L2447">
        <v>13</v>
      </c>
      <c r="M2447">
        <v>1.01</v>
      </c>
      <c r="N2447" t="s">
        <v>33</v>
      </c>
    </row>
    <row r="2448" spans="1:14" x14ac:dyDescent="0.25">
      <c r="A2448">
        <v>2447</v>
      </c>
      <c r="B2448" t="s">
        <v>43</v>
      </c>
      <c r="C2448">
        <v>2022</v>
      </c>
      <c r="D2448">
        <v>1.5</v>
      </c>
      <c r="E2448" t="s">
        <v>27</v>
      </c>
      <c r="F2448">
        <v>128145</v>
      </c>
      <c r="G2448" t="s">
        <v>22</v>
      </c>
      <c r="H2448">
        <v>10285.870000000001</v>
      </c>
      <c r="I2448" t="s">
        <v>44</v>
      </c>
      <c r="J2448" t="s">
        <v>32</v>
      </c>
      <c r="K2448" t="s">
        <v>19</v>
      </c>
      <c r="L2448">
        <v>4</v>
      </c>
      <c r="M2448">
        <v>0.08</v>
      </c>
      <c r="N2448" t="s">
        <v>20</v>
      </c>
    </row>
    <row r="2449" spans="1:14" x14ac:dyDescent="0.25">
      <c r="A2449">
        <v>2448</v>
      </c>
      <c r="B2449" t="s">
        <v>43</v>
      </c>
      <c r="C2449">
        <v>2018</v>
      </c>
      <c r="D2449">
        <v>4.9000000000000004</v>
      </c>
      <c r="E2449" t="s">
        <v>27</v>
      </c>
      <c r="F2449">
        <v>178068</v>
      </c>
      <c r="G2449" t="s">
        <v>30</v>
      </c>
      <c r="H2449">
        <v>81093.66</v>
      </c>
      <c r="I2449" t="s">
        <v>48</v>
      </c>
      <c r="J2449" t="s">
        <v>46</v>
      </c>
      <c r="K2449" t="s">
        <v>26</v>
      </c>
      <c r="L2449">
        <v>8</v>
      </c>
      <c r="M2449">
        <v>0.46</v>
      </c>
      <c r="N2449" t="s">
        <v>20</v>
      </c>
    </row>
    <row r="2450" spans="1:14" x14ac:dyDescent="0.25">
      <c r="A2450">
        <v>2449</v>
      </c>
      <c r="B2450" t="s">
        <v>36</v>
      </c>
      <c r="C2450">
        <v>2021</v>
      </c>
      <c r="D2450">
        <v>5</v>
      </c>
      <c r="E2450" t="s">
        <v>27</v>
      </c>
      <c r="F2450">
        <v>64</v>
      </c>
      <c r="G2450" t="s">
        <v>16</v>
      </c>
      <c r="H2450">
        <v>29641.48</v>
      </c>
      <c r="I2450" t="s">
        <v>54</v>
      </c>
      <c r="J2450" t="s">
        <v>41</v>
      </c>
      <c r="K2450" t="s">
        <v>50</v>
      </c>
      <c r="L2450">
        <v>5</v>
      </c>
      <c r="M2450">
        <v>463.15</v>
      </c>
      <c r="N2450" t="s">
        <v>33</v>
      </c>
    </row>
    <row r="2451" spans="1:14" x14ac:dyDescent="0.25">
      <c r="A2451">
        <v>2450</v>
      </c>
      <c r="B2451" t="s">
        <v>24</v>
      </c>
      <c r="C2451">
        <v>2023</v>
      </c>
      <c r="D2451">
        <v>4.8</v>
      </c>
      <c r="E2451" t="s">
        <v>27</v>
      </c>
      <c r="F2451">
        <v>68835</v>
      </c>
      <c r="G2451" t="s">
        <v>16</v>
      </c>
      <c r="H2451">
        <v>60287.13</v>
      </c>
      <c r="I2451" t="s">
        <v>45</v>
      </c>
      <c r="J2451" t="s">
        <v>41</v>
      </c>
      <c r="K2451" t="s">
        <v>19</v>
      </c>
      <c r="L2451">
        <v>3</v>
      </c>
      <c r="M2451">
        <v>0.88</v>
      </c>
      <c r="N2451" t="s">
        <v>20</v>
      </c>
    </row>
    <row r="2452" spans="1:14" x14ac:dyDescent="0.25">
      <c r="A2452">
        <v>2451</v>
      </c>
      <c r="B2452" t="s">
        <v>36</v>
      </c>
      <c r="C2452">
        <v>2019</v>
      </c>
      <c r="D2452">
        <v>1.6</v>
      </c>
      <c r="E2452" t="s">
        <v>15</v>
      </c>
      <c r="F2452">
        <v>201457</v>
      </c>
      <c r="G2452" t="s">
        <v>22</v>
      </c>
      <c r="H2452">
        <v>47152.53</v>
      </c>
      <c r="I2452" t="s">
        <v>51</v>
      </c>
      <c r="J2452" t="s">
        <v>41</v>
      </c>
      <c r="K2452" t="s">
        <v>26</v>
      </c>
      <c r="L2452">
        <v>7</v>
      </c>
      <c r="M2452">
        <v>0.23</v>
      </c>
      <c r="N2452" t="s">
        <v>33</v>
      </c>
    </row>
    <row r="2453" spans="1:14" x14ac:dyDescent="0.25">
      <c r="A2453">
        <v>2452</v>
      </c>
      <c r="B2453" t="s">
        <v>21</v>
      </c>
      <c r="C2453">
        <v>2023</v>
      </c>
      <c r="D2453">
        <v>4.2</v>
      </c>
      <c r="E2453" t="s">
        <v>15</v>
      </c>
      <c r="F2453">
        <v>247795</v>
      </c>
      <c r="G2453" t="s">
        <v>16</v>
      </c>
      <c r="H2453">
        <v>7093.72</v>
      </c>
      <c r="I2453" t="s">
        <v>42</v>
      </c>
      <c r="J2453" t="s">
        <v>41</v>
      </c>
      <c r="K2453" t="s">
        <v>26</v>
      </c>
      <c r="L2453">
        <v>3</v>
      </c>
      <c r="M2453">
        <v>0.03</v>
      </c>
      <c r="N2453" t="s">
        <v>20</v>
      </c>
    </row>
    <row r="2454" spans="1:14" x14ac:dyDescent="0.25">
      <c r="A2454">
        <v>2453</v>
      </c>
      <c r="B2454" t="s">
        <v>43</v>
      </c>
      <c r="C2454">
        <v>2017</v>
      </c>
      <c r="D2454">
        <v>5.2</v>
      </c>
      <c r="E2454" t="s">
        <v>27</v>
      </c>
      <c r="F2454">
        <v>116916</v>
      </c>
      <c r="G2454" t="s">
        <v>30</v>
      </c>
      <c r="H2454">
        <v>8826.7199999999993</v>
      </c>
      <c r="I2454" t="s">
        <v>48</v>
      </c>
      <c r="J2454" t="s">
        <v>46</v>
      </c>
      <c r="K2454" t="s">
        <v>19</v>
      </c>
      <c r="L2454">
        <v>9</v>
      </c>
      <c r="M2454">
        <v>0.08</v>
      </c>
      <c r="N2454" t="s">
        <v>20</v>
      </c>
    </row>
    <row r="2455" spans="1:14" x14ac:dyDescent="0.25">
      <c r="A2455">
        <v>2454</v>
      </c>
      <c r="B2455" t="s">
        <v>52</v>
      </c>
      <c r="C2455">
        <v>2009</v>
      </c>
      <c r="D2455">
        <v>3.9</v>
      </c>
      <c r="E2455" t="s">
        <v>15</v>
      </c>
      <c r="F2455">
        <v>195346</v>
      </c>
      <c r="G2455" t="s">
        <v>30</v>
      </c>
      <c r="H2455">
        <v>83576.899999999994</v>
      </c>
      <c r="I2455" t="s">
        <v>56</v>
      </c>
      <c r="J2455" t="s">
        <v>18</v>
      </c>
      <c r="K2455" t="s">
        <v>26</v>
      </c>
      <c r="L2455">
        <v>17</v>
      </c>
      <c r="M2455">
        <v>0.43</v>
      </c>
      <c r="N2455" t="s">
        <v>33</v>
      </c>
    </row>
    <row r="2456" spans="1:14" x14ac:dyDescent="0.25">
      <c r="A2456">
        <v>2455</v>
      </c>
      <c r="B2456" t="s">
        <v>52</v>
      </c>
      <c r="C2456">
        <v>2008</v>
      </c>
      <c r="D2456">
        <v>4.2</v>
      </c>
      <c r="E2456" t="s">
        <v>27</v>
      </c>
      <c r="F2456">
        <v>273010</v>
      </c>
      <c r="G2456" t="s">
        <v>16</v>
      </c>
      <c r="H2456">
        <v>62729.37</v>
      </c>
      <c r="I2456" t="s">
        <v>59</v>
      </c>
      <c r="J2456" t="s">
        <v>41</v>
      </c>
      <c r="K2456" t="s">
        <v>26</v>
      </c>
      <c r="L2456">
        <v>18</v>
      </c>
      <c r="M2456">
        <v>0.23</v>
      </c>
      <c r="N2456" t="s">
        <v>33</v>
      </c>
    </row>
    <row r="2457" spans="1:14" x14ac:dyDescent="0.25">
      <c r="A2457">
        <v>2456</v>
      </c>
      <c r="B2457" t="s">
        <v>24</v>
      </c>
      <c r="C2457">
        <v>2007</v>
      </c>
      <c r="D2457">
        <v>3.3</v>
      </c>
      <c r="E2457" t="s">
        <v>15</v>
      </c>
      <c r="F2457">
        <v>3889</v>
      </c>
      <c r="G2457" t="s">
        <v>16</v>
      </c>
      <c r="H2457">
        <v>54765.09</v>
      </c>
      <c r="I2457" t="s">
        <v>34</v>
      </c>
      <c r="J2457" t="s">
        <v>46</v>
      </c>
      <c r="K2457" t="s">
        <v>50</v>
      </c>
      <c r="L2457">
        <v>19</v>
      </c>
      <c r="M2457">
        <v>14.08</v>
      </c>
      <c r="N2457" t="s">
        <v>20</v>
      </c>
    </row>
    <row r="2458" spans="1:14" x14ac:dyDescent="0.25">
      <c r="A2458">
        <v>2457</v>
      </c>
      <c r="B2458" t="s">
        <v>21</v>
      </c>
      <c r="C2458">
        <v>2009</v>
      </c>
      <c r="D2458">
        <v>3.6</v>
      </c>
      <c r="E2458" t="s">
        <v>15</v>
      </c>
      <c r="F2458">
        <v>118194</v>
      </c>
      <c r="G2458" t="s">
        <v>30</v>
      </c>
      <c r="H2458">
        <v>94713.45</v>
      </c>
      <c r="I2458" t="s">
        <v>23</v>
      </c>
      <c r="J2458" t="s">
        <v>18</v>
      </c>
      <c r="K2458" t="s">
        <v>19</v>
      </c>
      <c r="L2458">
        <v>17</v>
      </c>
      <c r="M2458">
        <v>0.8</v>
      </c>
      <c r="N2458" t="s">
        <v>20</v>
      </c>
    </row>
    <row r="2459" spans="1:14" x14ac:dyDescent="0.25">
      <c r="A2459">
        <v>2458</v>
      </c>
      <c r="B2459" t="s">
        <v>29</v>
      </c>
      <c r="C2459">
        <v>2016</v>
      </c>
      <c r="D2459">
        <v>1.2</v>
      </c>
      <c r="E2459" t="s">
        <v>15</v>
      </c>
      <c r="F2459">
        <v>124714</v>
      </c>
      <c r="G2459" t="s">
        <v>16</v>
      </c>
      <c r="H2459">
        <v>21445.93</v>
      </c>
      <c r="I2459" t="s">
        <v>38</v>
      </c>
      <c r="J2459" t="s">
        <v>18</v>
      </c>
      <c r="K2459" t="s">
        <v>19</v>
      </c>
      <c r="L2459">
        <v>10</v>
      </c>
      <c r="M2459">
        <v>0.17</v>
      </c>
      <c r="N2459" t="s">
        <v>33</v>
      </c>
    </row>
    <row r="2460" spans="1:14" x14ac:dyDescent="0.25">
      <c r="A2460">
        <v>2459</v>
      </c>
      <c r="B2460" t="s">
        <v>21</v>
      </c>
      <c r="C2460">
        <v>2001</v>
      </c>
      <c r="D2460">
        <v>4.2</v>
      </c>
      <c r="E2460" t="s">
        <v>15</v>
      </c>
      <c r="F2460">
        <v>31335</v>
      </c>
      <c r="G2460" t="s">
        <v>22</v>
      </c>
      <c r="H2460">
        <v>29507.23</v>
      </c>
      <c r="I2460" t="s">
        <v>23</v>
      </c>
      <c r="J2460" t="s">
        <v>46</v>
      </c>
      <c r="K2460" t="s">
        <v>50</v>
      </c>
      <c r="L2460">
        <v>25</v>
      </c>
      <c r="M2460">
        <v>0.94</v>
      </c>
      <c r="N2460" t="s">
        <v>20</v>
      </c>
    </row>
    <row r="2461" spans="1:14" x14ac:dyDescent="0.25">
      <c r="A2461">
        <v>2460</v>
      </c>
      <c r="B2461" t="s">
        <v>52</v>
      </c>
      <c r="C2461">
        <v>2005</v>
      </c>
      <c r="D2461">
        <v>1.4</v>
      </c>
      <c r="E2461" t="s">
        <v>15</v>
      </c>
      <c r="F2461">
        <v>50547</v>
      </c>
      <c r="G2461" t="s">
        <v>16</v>
      </c>
      <c r="H2461">
        <v>76890.210000000006</v>
      </c>
      <c r="I2461" t="s">
        <v>56</v>
      </c>
      <c r="J2461" t="s">
        <v>41</v>
      </c>
      <c r="K2461" t="s">
        <v>19</v>
      </c>
      <c r="L2461">
        <v>21</v>
      </c>
      <c r="M2461">
        <v>1.52</v>
      </c>
      <c r="N2461" t="s">
        <v>33</v>
      </c>
    </row>
    <row r="2462" spans="1:14" x14ac:dyDescent="0.25">
      <c r="A2462">
        <v>2461</v>
      </c>
      <c r="B2462" t="s">
        <v>52</v>
      </c>
      <c r="C2462">
        <v>2004</v>
      </c>
      <c r="D2462">
        <v>3.2</v>
      </c>
      <c r="E2462" t="s">
        <v>27</v>
      </c>
      <c r="F2462">
        <v>157234</v>
      </c>
      <c r="G2462" t="s">
        <v>22</v>
      </c>
      <c r="H2462">
        <v>78647.350000000006</v>
      </c>
      <c r="I2462" t="s">
        <v>59</v>
      </c>
      <c r="J2462" t="s">
        <v>18</v>
      </c>
      <c r="K2462" t="s">
        <v>26</v>
      </c>
      <c r="L2462">
        <v>22</v>
      </c>
      <c r="M2462">
        <v>0.5</v>
      </c>
      <c r="N2462" t="s">
        <v>33</v>
      </c>
    </row>
    <row r="2463" spans="1:14" x14ac:dyDescent="0.25">
      <c r="A2463">
        <v>2462</v>
      </c>
      <c r="B2463" t="s">
        <v>43</v>
      </c>
      <c r="C2463">
        <v>2008</v>
      </c>
      <c r="D2463">
        <v>2.5</v>
      </c>
      <c r="E2463" t="s">
        <v>27</v>
      </c>
      <c r="F2463">
        <v>220521</v>
      </c>
      <c r="G2463" t="s">
        <v>16</v>
      </c>
      <c r="H2463">
        <v>43465.23</v>
      </c>
      <c r="I2463" t="s">
        <v>49</v>
      </c>
      <c r="J2463" t="s">
        <v>41</v>
      </c>
      <c r="K2463" t="s">
        <v>26</v>
      </c>
      <c r="L2463">
        <v>18</v>
      </c>
      <c r="M2463">
        <v>0.2</v>
      </c>
      <c r="N2463" t="s">
        <v>20</v>
      </c>
    </row>
    <row r="2464" spans="1:14" x14ac:dyDescent="0.25">
      <c r="A2464">
        <v>2463</v>
      </c>
      <c r="B2464" t="s">
        <v>21</v>
      </c>
      <c r="C2464">
        <v>2004</v>
      </c>
      <c r="D2464">
        <v>3.7</v>
      </c>
      <c r="E2464" t="s">
        <v>15</v>
      </c>
      <c r="F2464">
        <v>155759</v>
      </c>
      <c r="G2464" t="s">
        <v>16</v>
      </c>
      <c r="H2464">
        <v>95342.95</v>
      </c>
      <c r="I2464" t="s">
        <v>42</v>
      </c>
      <c r="J2464" t="s">
        <v>41</v>
      </c>
      <c r="K2464" t="s">
        <v>26</v>
      </c>
      <c r="L2464">
        <v>22</v>
      </c>
      <c r="M2464">
        <v>0.61</v>
      </c>
      <c r="N2464" t="s">
        <v>20</v>
      </c>
    </row>
    <row r="2465" spans="1:14" x14ac:dyDescent="0.25">
      <c r="A2465">
        <v>2464</v>
      </c>
      <c r="B2465" t="s">
        <v>21</v>
      </c>
      <c r="C2465">
        <v>2017</v>
      </c>
      <c r="D2465">
        <v>1.7</v>
      </c>
      <c r="E2465" t="s">
        <v>27</v>
      </c>
      <c r="F2465">
        <v>273139</v>
      </c>
      <c r="G2465" t="s">
        <v>30</v>
      </c>
      <c r="H2465">
        <v>94134.18</v>
      </c>
      <c r="I2465" t="s">
        <v>60</v>
      </c>
      <c r="J2465" t="s">
        <v>32</v>
      </c>
      <c r="K2465" t="s">
        <v>26</v>
      </c>
      <c r="L2465">
        <v>9</v>
      </c>
      <c r="M2465">
        <v>0.34</v>
      </c>
      <c r="N2465" t="s">
        <v>20</v>
      </c>
    </row>
    <row r="2466" spans="1:14" x14ac:dyDescent="0.25">
      <c r="A2466">
        <v>2465</v>
      </c>
      <c r="B2466" t="s">
        <v>52</v>
      </c>
      <c r="C2466">
        <v>2019</v>
      </c>
      <c r="D2466">
        <v>4.5</v>
      </c>
      <c r="E2466" t="s">
        <v>15</v>
      </c>
      <c r="F2466">
        <v>2631</v>
      </c>
      <c r="G2466" t="s">
        <v>22</v>
      </c>
      <c r="H2466">
        <v>6178.92</v>
      </c>
      <c r="I2466" t="s">
        <v>59</v>
      </c>
      <c r="J2466" t="s">
        <v>41</v>
      </c>
      <c r="K2466" t="s">
        <v>50</v>
      </c>
      <c r="L2466">
        <v>7</v>
      </c>
      <c r="M2466">
        <v>2.35</v>
      </c>
      <c r="N2466" t="s">
        <v>33</v>
      </c>
    </row>
    <row r="2467" spans="1:14" x14ac:dyDescent="0.25">
      <c r="A2467">
        <v>2466</v>
      </c>
      <c r="B2467" t="s">
        <v>29</v>
      </c>
      <c r="C2467">
        <v>2008</v>
      </c>
      <c r="D2467">
        <v>5</v>
      </c>
      <c r="E2467" t="s">
        <v>15</v>
      </c>
      <c r="F2467">
        <v>137039</v>
      </c>
      <c r="G2467" t="s">
        <v>30</v>
      </c>
      <c r="H2467">
        <v>21371.15</v>
      </c>
      <c r="I2467" t="s">
        <v>38</v>
      </c>
      <c r="J2467" t="s">
        <v>32</v>
      </c>
      <c r="K2467" t="s">
        <v>19</v>
      </c>
      <c r="L2467">
        <v>18</v>
      </c>
      <c r="M2467">
        <v>0.16</v>
      </c>
      <c r="N2467" t="s">
        <v>33</v>
      </c>
    </row>
    <row r="2468" spans="1:14" x14ac:dyDescent="0.25">
      <c r="A2468">
        <v>2467</v>
      </c>
      <c r="B2468" t="s">
        <v>24</v>
      </c>
      <c r="C2468">
        <v>2016</v>
      </c>
      <c r="D2468">
        <v>1.8</v>
      </c>
      <c r="E2468" t="s">
        <v>15</v>
      </c>
      <c r="F2468">
        <v>64471</v>
      </c>
      <c r="G2468" t="s">
        <v>16</v>
      </c>
      <c r="H2468">
        <v>82920.850000000006</v>
      </c>
      <c r="I2468" t="s">
        <v>34</v>
      </c>
      <c r="J2468" t="s">
        <v>18</v>
      </c>
      <c r="K2468" t="s">
        <v>19</v>
      </c>
      <c r="L2468">
        <v>10</v>
      </c>
      <c r="M2468">
        <v>1.29</v>
      </c>
      <c r="N2468" t="s">
        <v>20</v>
      </c>
    </row>
    <row r="2469" spans="1:14" x14ac:dyDescent="0.25">
      <c r="A2469">
        <v>2468</v>
      </c>
      <c r="B2469" t="s">
        <v>14</v>
      </c>
      <c r="C2469">
        <v>2016</v>
      </c>
      <c r="D2469">
        <v>1.5</v>
      </c>
      <c r="E2469" t="s">
        <v>15</v>
      </c>
      <c r="F2469">
        <v>299260</v>
      </c>
      <c r="G2469" t="s">
        <v>30</v>
      </c>
      <c r="H2469">
        <v>36845.589999999997</v>
      </c>
      <c r="I2469" t="s">
        <v>28</v>
      </c>
      <c r="J2469" t="s">
        <v>18</v>
      </c>
      <c r="K2469" t="s">
        <v>26</v>
      </c>
      <c r="L2469">
        <v>10</v>
      </c>
      <c r="M2469">
        <v>0.12</v>
      </c>
      <c r="N2469" t="s">
        <v>20</v>
      </c>
    </row>
    <row r="2470" spans="1:14" x14ac:dyDescent="0.25">
      <c r="A2470">
        <v>2469</v>
      </c>
      <c r="B2470" t="s">
        <v>24</v>
      </c>
      <c r="C2470">
        <v>2011</v>
      </c>
      <c r="D2470">
        <v>1.7</v>
      </c>
      <c r="E2470" t="s">
        <v>27</v>
      </c>
      <c r="F2470">
        <v>133014</v>
      </c>
      <c r="G2470" t="s">
        <v>16</v>
      </c>
      <c r="H2470">
        <v>14068.95</v>
      </c>
      <c r="I2470" t="s">
        <v>34</v>
      </c>
      <c r="J2470" t="s">
        <v>32</v>
      </c>
      <c r="K2470" t="s">
        <v>19</v>
      </c>
      <c r="L2470">
        <v>15</v>
      </c>
      <c r="M2470">
        <v>0.11</v>
      </c>
      <c r="N2470" t="s">
        <v>20</v>
      </c>
    </row>
    <row r="2471" spans="1:14" x14ac:dyDescent="0.25">
      <c r="A2471">
        <v>2470</v>
      </c>
      <c r="B2471" t="s">
        <v>21</v>
      </c>
      <c r="C2471">
        <v>2006</v>
      </c>
      <c r="D2471">
        <v>5.4</v>
      </c>
      <c r="E2471" t="s">
        <v>15</v>
      </c>
      <c r="F2471">
        <v>47664</v>
      </c>
      <c r="G2471" t="s">
        <v>16</v>
      </c>
      <c r="H2471">
        <v>79574.92</v>
      </c>
      <c r="I2471" t="s">
        <v>42</v>
      </c>
      <c r="J2471" t="s">
        <v>46</v>
      </c>
      <c r="K2471" t="s">
        <v>50</v>
      </c>
      <c r="L2471">
        <v>20</v>
      </c>
      <c r="M2471">
        <v>1.67</v>
      </c>
      <c r="N2471" t="s">
        <v>20</v>
      </c>
    </row>
    <row r="2472" spans="1:14" x14ac:dyDescent="0.25">
      <c r="A2472">
        <v>2471</v>
      </c>
      <c r="B2472" t="s">
        <v>24</v>
      </c>
      <c r="C2472">
        <v>2002</v>
      </c>
      <c r="D2472">
        <v>3.6</v>
      </c>
      <c r="E2472" t="s">
        <v>27</v>
      </c>
      <c r="F2472">
        <v>159141</v>
      </c>
      <c r="G2472" t="s">
        <v>16</v>
      </c>
      <c r="H2472">
        <v>48185.43</v>
      </c>
      <c r="I2472" t="s">
        <v>34</v>
      </c>
      <c r="J2472" t="s">
        <v>18</v>
      </c>
      <c r="K2472" t="s">
        <v>26</v>
      </c>
      <c r="L2472">
        <v>24</v>
      </c>
      <c r="M2472">
        <v>0.3</v>
      </c>
      <c r="N2472" t="s">
        <v>20</v>
      </c>
    </row>
    <row r="2473" spans="1:14" x14ac:dyDescent="0.25">
      <c r="A2473">
        <v>2472</v>
      </c>
      <c r="B2473" t="s">
        <v>52</v>
      </c>
      <c r="C2473">
        <v>2009</v>
      </c>
      <c r="D2473">
        <v>3.3</v>
      </c>
      <c r="E2473" t="s">
        <v>15</v>
      </c>
      <c r="F2473">
        <v>87342</v>
      </c>
      <c r="G2473" t="s">
        <v>22</v>
      </c>
      <c r="H2473">
        <v>51779.02</v>
      </c>
      <c r="I2473" t="s">
        <v>56</v>
      </c>
      <c r="J2473" t="s">
        <v>41</v>
      </c>
      <c r="K2473" t="s">
        <v>19</v>
      </c>
      <c r="L2473">
        <v>17</v>
      </c>
      <c r="M2473">
        <v>0.59</v>
      </c>
      <c r="N2473" t="s">
        <v>33</v>
      </c>
    </row>
    <row r="2474" spans="1:14" x14ac:dyDescent="0.25">
      <c r="A2474">
        <v>2473</v>
      </c>
      <c r="B2474" t="s">
        <v>52</v>
      </c>
      <c r="C2474">
        <v>2001</v>
      </c>
      <c r="D2474">
        <v>1.5</v>
      </c>
      <c r="E2474" t="s">
        <v>15</v>
      </c>
      <c r="F2474">
        <v>14407</v>
      </c>
      <c r="G2474" t="s">
        <v>22</v>
      </c>
      <c r="H2474">
        <v>22705.09</v>
      </c>
      <c r="I2474" t="s">
        <v>59</v>
      </c>
      <c r="J2474" t="s">
        <v>18</v>
      </c>
      <c r="K2474" t="s">
        <v>50</v>
      </c>
      <c r="L2474">
        <v>25</v>
      </c>
      <c r="M2474">
        <v>1.58</v>
      </c>
      <c r="N2474" t="s">
        <v>33</v>
      </c>
    </row>
    <row r="2475" spans="1:14" x14ac:dyDescent="0.25">
      <c r="A2475">
        <v>2474</v>
      </c>
      <c r="B2475" t="s">
        <v>21</v>
      </c>
      <c r="C2475">
        <v>2002</v>
      </c>
      <c r="D2475">
        <v>4.2</v>
      </c>
      <c r="E2475" t="s">
        <v>27</v>
      </c>
      <c r="F2475">
        <v>113926</v>
      </c>
      <c r="G2475" t="s">
        <v>22</v>
      </c>
      <c r="H2475">
        <v>67785.03</v>
      </c>
      <c r="I2475" t="s">
        <v>42</v>
      </c>
      <c r="J2475" t="s">
        <v>46</v>
      </c>
      <c r="K2475" t="s">
        <v>19</v>
      </c>
      <c r="L2475">
        <v>24</v>
      </c>
      <c r="M2475">
        <v>0.59</v>
      </c>
      <c r="N2475" t="s">
        <v>20</v>
      </c>
    </row>
    <row r="2476" spans="1:14" x14ac:dyDescent="0.25">
      <c r="A2476">
        <v>2475</v>
      </c>
      <c r="B2476" t="s">
        <v>21</v>
      </c>
      <c r="C2476">
        <v>2015</v>
      </c>
      <c r="D2476">
        <v>5.3</v>
      </c>
      <c r="E2476" t="s">
        <v>15</v>
      </c>
      <c r="F2476">
        <v>213053</v>
      </c>
      <c r="G2476" t="s">
        <v>30</v>
      </c>
      <c r="H2476">
        <v>57367.93</v>
      </c>
      <c r="I2476" t="s">
        <v>42</v>
      </c>
      <c r="J2476" t="s">
        <v>18</v>
      </c>
      <c r="K2476" t="s">
        <v>26</v>
      </c>
      <c r="L2476">
        <v>11</v>
      </c>
      <c r="M2476">
        <v>0.27</v>
      </c>
      <c r="N2476" t="s">
        <v>20</v>
      </c>
    </row>
    <row r="2477" spans="1:14" x14ac:dyDescent="0.25">
      <c r="A2477">
        <v>2476</v>
      </c>
      <c r="B2477" t="s">
        <v>14</v>
      </c>
      <c r="C2477">
        <v>2001</v>
      </c>
      <c r="D2477">
        <v>5.0999999999999996</v>
      </c>
      <c r="E2477" t="s">
        <v>15</v>
      </c>
      <c r="F2477">
        <v>17878</v>
      </c>
      <c r="G2477" t="s">
        <v>16</v>
      </c>
      <c r="H2477">
        <v>24633.93</v>
      </c>
      <c r="I2477" t="s">
        <v>17</v>
      </c>
      <c r="J2477" t="s">
        <v>18</v>
      </c>
      <c r="K2477" t="s">
        <v>50</v>
      </c>
      <c r="L2477">
        <v>25</v>
      </c>
      <c r="M2477">
        <v>1.38</v>
      </c>
      <c r="N2477" t="s">
        <v>20</v>
      </c>
    </row>
    <row r="2478" spans="1:14" x14ac:dyDescent="0.25">
      <c r="A2478">
        <v>2477</v>
      </c>
      <c r="B2478" t="s">
        <v>14</v>
      </c>
      <c r="C2478">
        <v>2023</v>
      </c>
      <c r="D2478">
        <v>4.0999999999999996</v>
      </c>
      <c r="E2478" t="s">
        <v>27</v>
      </c>
      <c r="F2478">
        <v>83100</v>
      </c>
      <c r="G2478" t="s">
        <v>30</v>
      </c>
      <c r="H2478">
        <v>37331.49</v>
      </c>
      <c r="I2478" t="s">
        <v>17</v>
      </c>
      <c r="J2478" t="s">
        <v>18</v>
      </c>
      <c r="K2478" t="s">
        <v>19</v>
      </c>
      <c r="L2478">
        <v>3</v>
      </c>
      <c r="M2478">
        <v>0.45</v>
      </c>
      <c r="N2478" t="s">
        <v>20</v>
      </c>
    </row>
    <row r="2479" spans="1:14" x14ac:dyDescent="0.25">
      <c r="A2479">
        <v>2478</v>
      </c>
      <c r="B2479" t="s">
        <v>43</v>
      </c>
      <c r="C2479">
        <v>2009</v>
      </c>
      <c r="D2479">
        <v>1.4</v>
      </c>
      <c r="E2479" t="s">
        <v>27</v>
      </c>
      <c r="F2479">
        <v>223059</v>
      </c>
      <c r="G2479" t="s">
        <v>30</v>
      </c>
      <c r="H2479">
        <v>61703.53</v>
      </c>
      <c r="I2479" t="s">
        <v>55</v>
      </c>
      <c r="J2479" t="s">
        <v>41</v>
      </c>
      <c r="K2479" t="s">
        <v>26</v>
      </c>
      <c r="L2479">
        <v>17</v>
      </c>
      <c r="M2479">
        <v>0.28000000000000003</v>
      </c>
      <c r="N2479" t="s">
        <v>20</v>
      </c>
    </row>
    <row r="2480" spans="1:14" x14ac:dyDescent="0.25">
      <c r="A2480">
        <v>2479</v>
      </c>
      <c r="B2480" t="s">
        <v>21</v>
      </c>
      <c r="C2480">
        <v>2005</v>
      </c>
      <c r="D2480">
        <v>1.6</v>
      </c>
      <c r="E2480" t="s">
        <v>27</v>
      </c>
      <c r="F2480">
        <v>43168</v>
      </c>
      <c r="G2480" t="s">
        <v>16</v>
      </c>
      <c r="H2480">
        <v>92862.86</v>
      </c>
      <c r="I2480" t="s">
        <v>42</v>
      </c>
      <c r="J2480" t="s">
        <v>32</v>
      </c>
      <c r="K2480" t="s">
        <v>50</v>
      </c>
      <c r="L2480">
        <v>21</v>
      </c>
      <c r="M2480">
        <v>2.15</v>
      </c>
      <c r="N2480" t="s">
        <v>20</v>
      </c>
    </row>
    <row r="2481" spans="1:14" x14ac:dyDescent="0.25">
      <c r="A2481">
        <v>2480</v>
      </c>
      <c r="B2481" t="s">
        <v>29</v>
      </c>
      <c r="C2481">
        <v>2021</v>
      </c>
      <c r="D2481">
        <v>1.2</v>
      </c>
      <c r="E2481" t="s">
        <v>15</v>
      </c>
      <c r="F2481">
        <v>250396</v>
      </c>
      <c r="G2481" t="s">
        <v>30</v>
      </c>
      <c r="H2481">
        <v>92435.75</v>
      </c>
      <c r="I2481" t="s">
        <v>62</v>
      </c>
      <c r="J2481" t="s">
        <v>46</v>
      </c>
      <c r="K2481" t="s">
        <v>26</v>
      </c>
      <c r="L2481">
        <v>5</v>
      </c>
      <c r="M2481">
        <v>0.37</v>
      </c>
      <c r="N2481" t="s">
        <v>33</v>
      </c>
    </row>
    <row r="2482" spans="1:14" x14ac:dyDescent="0.25">
      <c r="A2482">
        <v>2481</v>
      </c>
      <c r="B2482" t="s">
        <v>24</v>
      </c>
      <c r="C2482">
        <v>2010</v>
      </c>
      <c r="D2482">
        <v>2.2999999999999998</v>
      </c>
      <c r="E2482" t="s">
        <v>15</v>
      </c>
      <c r="F2482">
        <v>250481</v>
      </c>
      <c r="G2482" t="s">
        <v>16</v>
      </c>
      <c r="H2482">
        <v>32351.06</v>
      </c>
      <c r="I2482" t="s">
        <v>25</v>
      </c>
      <c r="J2482" t="s">
        <v>41</v>
      </c>
      <c r="K2482" t="s">
        <v>26</v>
      </c>
      <c r="L2482">
        <v>16</v>
      </c>
      <c r="M2482">
        <v>0.13</v>
      </c>
      <c r="N2482" t="s">
        <v>20</v>
      </c>
    </row>
    <row r="2483" spans="1:14" x14ac:dyDescent="0.25">
      <c r="A2483">
        <v>2482</v>
      </c>
      <c r="B2483" t="s">
        <v>21</v>
      </c>
      <c r="C2483">
        <v>2022</v>
      </c>
      <c r="D2483">
        <v>1.7</v>
      </c>
      <c r="E2483" t="s">
        <v>27</v>
      </c>
      <c r="F2483">
        <v>28004</v>
      </c>
      <c r="G2483" t="s">
        <v>16</v>
      </c>
      <c r="H2483">
        <v>74883.990000000005</v>
      </c>
      <c r="I2483" t="s">
        <v>60</v>
      </c>
      <c r="J2483" t="s">
        <v>41</v>
      </c>
      <c r="K2483" t="s">
        <v>50</v>
      </c>
      <c r="L2483">
        <v>4</v>
      </c>
      <c r="M2483">
        <v>2.67</v>
      </c>
      <c r="N2483" t="s">
        <v>20</v>
      </c>
    </row>
    <row r="2484" spans="1:14" x14ac:dyDescent="0.25">
      <c r="A2484">
        <v>2483</v>
      </c>
      <c r="B2484" t="s">
        <v>36</v>
      </c>
      <c r="C2484">
        <v>2006</v>
      </c>
      <c r="D2484">
        <v>2.2999999999999998</v>
      </c>
      <c r="E2484" t="s">
        <v>27</v>
      </c>
      <c r="F2484">
        <v>282615</v>
      </c>
      <c r="G2484" t="s">
        <v>16</v>
      </c>
      <c r="H2484">
        <v>78674.31</v>
      </c>
      <c r="I2484" t="s">
        <v>37</v>
      </c>
      <c r="J2484" t="s">
        <v>18</v>
      </c>
      <c r="K2484" t="s">
        <v>26</v>
      </c>
      <c r="L2484">
        <v>20</v>
      </c>
      <c r="M2484">
        <v>0.28000000000000003</v>
      </c>
      <c r="N2484" t="s">
        <v>33</v>
      </c>
    </row>
    <row r="2485" spans="1:14" x14ac:dyDescent="0.25">
      <c r="A2485">
        <v>2484</v>
      </c>
      <c r="B2485" t="s">
        <v>43</v>
      </c>
      <c r="C2485">
        <v>2014</v>
      </c>
      <c r="D2485">
        <v>2.9</v>
      </c>
      <c r="E2485" t="s">
        <v>15</v>
      </c>
      <c r="F2485">
        <v>91820</v>
      </c>
      <c r="G2485" t="s">
        <v>16</v>
      </c>
      <c r="H2485">
        <v>81838.19</v>
      </c>
      <c r="I2485" t="s">
        <v>44</v>
      </c>
      <c r="J2485" t="s">
        <v>32</v>
      </c>
      <c r="K2485" t="s">
        <v>19</v>
      </c>
      <c r="L2485">
        <v>12</v>
      </c>
      <c r="M2485">
        <v>0.89</v>
      </c>
      <c r="N2485" t="s">
        <v>20</v>
      </c>
    </row>
    <row r="2486" spans="1:14" x14ac:dyDescent="0.25">
      <c r="A2486">
        <v>2485</v>
      </c>
      <c r="B2486" t="s">
        <v>36</v>
      </c>
      <c r="C2486">
        <v>2005</v>
      </c>
      <c r="D2486">
        <v>5.7</v>
      </c>
      <c r="E2486" t="s">
        <v>15</v>
      </c>
      <c r="F2486">
        <v>191239</v>
      </c>
      <c r="G2486" t="s">
        <v>30</v>
      </c>
      <c r="H2486">
        <v>59222.42</v>
      </c>
      <c r="I2486" t="s">
        <v>37</v>
      </c>
      <c r="J2486" t="s">
        <v>41</v>
      </c>
      <c r="K2486" t="s">
        <v>26</v>
      </c>
      <c r="L2486">
        <v>21</v>
      </c>
      <c r="M2486">
        <v>0.31</v>
      </c>
      <c r="N2486" t="s">
        <v>33</v>
      </c>
    </row>
    <row r="2487" spans="1:14" x14ac:dyDescent="0.25">
      <c r="A2487">
        <v>2486</v>
      </c>
      <c r="B2487" t="s">
        <v>52</v>
      </c>
      <c r="C2487">
        <v>2019</v>
      </c>
      <c r="D2487">
        <v>4.0999999999999996</v>
      </c>
      <c r="E2487" t="s">
        <v>27</v>
      </c>
      <c r="F2487">
        <v>102229</v>
      </c>
      <c r="G2487" t="s">
        <v>30</v>
      </c>
      <c r="H2487">
        <v>5998.26</v>
      </c>
      <c r="I2487" t="s">
        <v>59</v>
      </c>
      <c r="J2487" t="s">
        <v>32</v>
      </c>
      <c r="K2487" t="s">
        <v>19</v>
      </c>
      <c r="L2487">
        <v>7</v>
      </c>
      <c r="M2487">
        <v>0.06</v>
      </c>
      <c r="N2487" t="s">
        <v>33</v>
      </c>
    </row>
    <row r="2488" spans="1:14" x14ac:dyDescent="0.25">
      <c r="A2488">
        <v>2487</v>
      </c>
      <c r="B2488" t="s">
        <v>14</v>
      </c>
      <c r="C2488">
        <v>2008</v>
      </c>
      <c r="D2488">
        <v>5.2</v>
      </c>
      <c r="E2488" t="s">
        <v>27</v>
      </c>
      <c r="F2488">
        <v>14568</v>
      </c>
      <c r="G2488" t="s">
        <v>30</v>
      </c>
      <c r="H2488">
        <v>77359.25</v>
      </c>
      <c r="I2488" t="s">
        <v>39</v>
      </c>
      <c r="J2488" t="s">
        <v>18</v>
      </c>
      <c r="K2488" t="s">
        <v>50</v>
      </c>
      <c r="L2488">
        <v>18</v>
      </c>
      <c r="M2488">
        <v>5.31</v>
      </c>
      <c r="N2488" t="s">
        <v>20</v>
      </c>
    </row>
    <row r="2489" spans="1:14" x14ac:dyDescent="0.25">
      <c r="A2489">
        <v>2488</v>
      </c>
      <c r="B2489" t="s">
        <v>24</v>
      </c>
      <c r="C2489">
        <v>2021</v>
      </c>
      <c r="D2489">
        <v>4.5999999999999996</v>
      </c>
      <c r="E2489" t="s">
        <v>27</v>
      </c>
      <c r="F2489">
        <v>9466</v>
      </c>
      <c r="G2489" t="s">
        <v>22</v>
      </c>
      <c r="H2489">
        <v>15126.76</v>
      </c>
      <c r="I2489" t="s">
        <v>45</v>
      </c>
      <c r="J2489" t="s">
        <v>18</v>
      </c>
      <c r="K2489" t="s">
        <v>50</v>
      </c>
      <c r="L2489">
        <v>5</v>
      </c>
      <c r="M2489">
        <v>1.6</v>
      </c>
      <c r="N2489" t="s">
        <v>20</v>
      </c>
    </row>
    <row r="2490" spans="1:14" x14ac:dyDescent="0.25">
      <c r="A2490">
        <v>2489</v>
      </c>
      <c r="B2490" t="s">
        <v>21</v>
      </c>
      <c r="C2490">
        <v>2019</v>
      </c>
      <c r="D2490">
        <v>1.6</v>
      </c>
      <c r="E2490" t="s">
        <v>27</v>
      </c>
      <c r="F2490">
        <v>222129</v>
      </c>
      <c r="G2490" t="s">
        <v>30</v>
      </c>
      <c r="H2490">
        <v>16102.78</v>
      </c>
      <c r="I2490" t="s">
        <v>42</v>
      </c>
      <c r="J2490" t="s">
        <v>41</v>
      </c>
      <c r="K2490" t="s">
        <v>26</v>
      </c>
      <c r="L2490">
        <v>7</v>
      </c>
      <c r="M2490">
        <v>7.0000000000000007E-2</v>
      </c>
      <c r="N2490" t="s">
        <v>20</v>
      </c>
    </row>
    <row r="2491" spans="1:14" x14ac:dyDescent="0.25">
      <c r="A2491">
        <v>2490</v>
      </c>
      <c r="B2491" t="s">
        <v>36</v>
      </c>
      <c r="C2491">
        <v>2011</v>
      </c>
      <c r="D2491">
        <v>4.7</v>
      </c>
      <c r="E2491" t="s">
        <v>15</v>
      </c>
      <c r="F2491">
        <v>57324</v>
      </c>
      <c r="G2491" t="s">
        <v>30</v>
      </c>
      <c r="H2491">
        <v>62534.36</v>
      </c>
      <c r="I2491" t="s">
        <v>57</v>
      </c>
      <c r="J2491" t="s">
        <v>18</v>
      </c>
      <c r="K2491" t="s">
        <v>19</v>
      </c>
      <c r="L2491">
        <v>15</v>
      </c>
      <c r="M2491">
        <v>1.0900000000000001</v>
      </c>
      <c r="N2491" t="s">
        <v>33</v>
      </c>
    </row>
    <row r="2492" spans="1:14" x14ac:dyDescent="0.25">
      <c r="A2492">
        <v>2491</v>
      </c>
      <c r="B2492" t="s">
        <v>24</v>
      </c>
      <c r="C2492">
        <v>2018</v>
      </c>
      <c r="D2492">
        <v>2.4</v>
      </c>
      <c r="E2492" t="s">
        <v>15</v>
      </c>
      <c r="F2492">
        <v>146539</v>
      </c>
      <c r="G2492" t="s">
        <v>22</v>
      </c>
      <c r="H2492">
        <v>98434.45</v>
      </c>
      <c r="I2492" t="s">
        <v>35</v>
      </c>
      <c r="J2492" t="s">
        <v>46</v>
      </c>
      <c r="K2492" t="s">
        <v>19</v>
      </c>
      <c r="L2492">
        <v>8</v>
      </c>
      <c r="M2492">
        <v>0.67</v>
      </c>
      <c r="N2492" t="s">
        <v>20</v>
      </c>
    </row>
    <row r="2493" spans="1:14" x14ac:dyDescent="0.25">
      <c r="A2493">
        <v>2492</v>
      </c>
      <c r="B2493" t="s">
        <v>52</v>
      </c>
      <c r="C2493">
        <v>2019</v>
      </c>
      <c r="D2493">
        <v>4.2</v>
      </c>
      <c r="E2493" t="s">
        <v>15</v>
      </c>
      <c r="F2493">
        <v>75955</v>
      </c>
      <c r="G2493" t="s">
        <v>16</v>
      </c>
      <c r="H2493">
        <v>28041.25</v>
      </c>
      <c r="I2493" t="s">
        <v>59</v>
      </c>
      <c r="J2493" t="s">
        <v>46</v>
      </c>
      <c r="K2493" t="s">
        <v>19</v>
      </c>
      <c r="L2493">
        <v>7</v>
      </c>
      <c r="M2493">
        <v>0.37</v>
      </c>
      <c r="N2493" t="s">
        <v>33</v>
      </c>
    </row>
    <row r="2494" spans="1:14" x14ac:dyDescent="0.25">
      <c r="A2494">
        <v>2493</v>
      </c>
      <c r="B2494" t="s">
        <v>14</v>
      </c>
      <c r="C2494">
        <v>2002</v>
      </c>
      <c r="D2494">
        <v>2.7</v>
      </c>
      <c r="E2494" t="s">
        <v>15</v>
      </c>
      <c r="F2494">
        <v>147748</v>
      </c>
      <c r="G2494" t="s">
        <v>16</v>
      </c>
      <c r="H2494">
        <v>66352.03</v>
      </c>
      <c r="I2494" t="s">
        <v>17</v>
      </c>
      <c r="J2494" t="s">
        <v>18</v>
      </c>
      <c r="K2494" t="s">
        <v>19</v>
      </c>
      <c r="L2494">
        <v>24</v>
      </c>
      <c r="M2494">
        <v>0.45</v>
      </c>
      <c r="N2494" t="s">
        <v>20</v>
      </c>
    </row>
    <row r="2495" spans="1:14" x14ac:dyDescent="0.25">
      <c r="A2495">
        <v>2494</v>
      </c>
      <c r="B2495" t="s">
        <v>29</v>
      </c>
      <c r="C2495">
        <v>2014</v>
      </c>
      <c r="D2495">
        <v>6</v>
      </c>
      <c r="E2495" t="s">
        <v>27</v>
      </c>
      <c r="F2495">
        <v>94791</v>
      </c>
      <c r="G2495" t="s">
        <v>16</v>
      </c>
      <c r="H2495">
        <v>33847.1</v>
      </c>
      <c r="I2495" t="s">
        <v>62</v>
      </c>
      <c r="J2495" t="s">
        <v>32</v>
      </c>
      <c r="K2495" t="s">
        <v>19</v>
      </c>
      <c r="L2495">
        <v>12</v>
      </c>
      <c r="M2495">
        <v>0.36</v>
      </c>
      <c r="N2495" t="s">
        <v>33</v>
      </c>
    </row>
    <row r="2496" spans="1:14" x14ac:dyDescent="0.25">
      <c r="A2496">
        <v>2495</v>
      </c>
      <c r="B2496" t="s">
        <v>43</v>
      </c>
      <c r="C2496">
        <v>2001</v>
      </c>
      <c r="D2496">
        <v>2.2999999999999998</v>
      </c>
      <c r="E2496" t="s">
        <v>15</v>
      </c>
      <c r="F2496">
        <v>162586</v>
      </c>
      <c r="G2496" t="s">
        <v>22</v>
      </c>
      <c r="H2496">
        <v>90378.98</v>
      </c>
      <c r="I2496" t="s">
        <v>49</v>
      </c>
      <c r="J2496" t="s">
        <v>41</v>
      </c>
      <c r="K2496" t="s">
        <v>26</v>
      </c>
      <c r="L2496">
        <v>25</v>
      </c>
      <c r="M2496">
        <v>0.56000000000000005</v>
      </c>
      <c r="N2496" t="s">
        <v>20</v>
      </c>
    </row>
    <row r="2497" spans="1:14" x14ac:dyDescent="0.25">
      <c r="A2497">
        <v>2496</v>
      </c>
      <c r="B2497" t="s">
        <v>24</v>
      </c>
      <c r="C2497">
        <v>2020</v>
      </c>
      <c r="D2497">
        <v>2.4</v>
      </c>
      <c r="E2497" t="s">
        <v>27</v>
      </c>
      <c r="F2497">
        <v>22650</v>
      </c>
      <c r="G2497" t="s">
        <v>30</v>
      </c>
      <c r="H2497">
        <v>61384.1</v>
      </c>
      <c r="I2497" t="s">
        <v>35</v>
      </c>
      <c r="J2497" t="s">
        <v>41</v>
      </c>
      <c r="K2497" t="s">
        <v>50</v>
      </c>
      <c r="L2497">
        <v>6</v>
      </c>
      <c r="M2497">
        <v>2.71</v>
      </c>
      <c r="N2497" t="s">
        <v>20</v>
      </c>
    </row>
    <row r="2498" spans="1:14" x14ac:dyDescent="0.25">
      <c r="A2498">
        <v>2497</v>
      </c>
      <c r="B2498" t="s">
        <v>24</v>
      </c>
      <c r="C2498">
        <v>2001</v>
      </c>
      <c r="D2498">
        <v>5.7</v>
      </c>
      <c r="E2498" t="s">
        <v>15</v>
      </c>
      <c r="F2498">
        <v>77701</v>
      </c>
      <c r="G2498" t="s">
        <v>30</v>
      </c>
      <c r="H2498">
        <v>24710.35</v>
      </c>
      <c r="I2498" t="s">
        <v>45</v>
      </c>
      <c r="J2498" t="s">
        <v>46</v>
      </c>
      <c r="K2498" t="s">
        <v>19</v>
      </c>
      <c r="L2498">
        <v>25</v>
      </c>
      <c r="M2498">
        <v>0.32</v>
      </c>
      <c r="N2498" t="s">
        <v>20</v>
      </c>
    </row>
    <row r="2499" spans="1:14" x14ac:dyDescent="0.25">
      <c r="A2499">
        <v>2498</v>
      </c>
      <c r="B2499" t="s">
        <v>29</v>
      </c>
      <c r="C2499">
        <v>2021</v>
      </c>
      <c r="D2499">
        <v>1.1000000000000001</v>
      </c>
      <c r="E2499" t="s">
        <v>15</v>
      </c>
      <c r="F2499">
        <v>272827</v>
      </c>
      <c r="G2499" t="s">
        <v>30</v>
      </c>
      <c r="H2499">
        <v>29902.45</v>
      </c>
      <c r="I2499" t="s">
        <v>40</v>
      </c>
      <c r="J2499" t="s">
        <v>46</v>
      </c>
      <c r="K2499" t="s">
        <v>26</v>
      </c>
      <c r="L2499">
        <v>5</v>
      </c>
      <c r="M2499">
        <v>0.11</v>
      </c>
      <c r="N2499" t="s">
        <v>33</v>
      </c>
    </row>
    <row r="2500" spans="1:14" x14ac:dyDescent="0.25">
      <c r="A2500">
        <v>2499</v>
      </c>
      <c r="B2500" t="s">
        <v>24</v>
      </c>
      <c r="C2500">
        <v>2002</v>
      </c>
      <c r="D2500">
        <v>4.5</v>
      </c>
      <c r="E2500" t="s">
        <v>15</v>
      </c>
      <c r="F2500">
        <v>229164</v>
      </c>
      <c r="G2500" t="s">
        <v>30</v>
      </c>
      <c r="H2500">
        <v>46085.67</v>
      </c>
      <c r="I2500" t="s">
        <v>35</v>
      </c>
      <c r="J2500" t="s">
        <v>32</v>
      </c>
      <c r="K2500" t="s">
        <v>26</v>
      </c>
      <c r="L2500">
        <v>24</v>
      </c>
      <c r="M2500">
        <v>0.2</v>
      </c>
      <c r="N2500" t="s">
        <v>20</v>
      </c>
    </row>
    <row r="2501" spans="1:14" x14ac:dyDescent="0.25">
      <c r="A2501">
        <v>2500</v>
      </c>
      <c r="B2501" t="s">
        <v>52</v>
      </c>
      <c r="C2501">
        <v>2005</v>
      </c>
      <c r="D2501">
        <v>4.5999999999999996</v>
      </c>
      <c r="E2501" t="s">
        <v>27</v>
      </c>
      <c r="F2501">
        <v>80978</v>
      </c>
      <c r="G2501" t="s">
        <v>22</v>
      </c>
      <c r="H2501">
        <v>16594.14</v>
      </c>
      <c r="I2501" t="s">
        <v>61</v>
      </c>
      <c r="J2501" t="s">
        <v>32</v>
      </c>
      <c r="K2501" t="s">
        <v>19</v>
      </c>
      <c r="L2501">
        <v>21</v>
      </c>
      <c r="M2501">
        <v>0.2</v>
      </c>
      <c r="N250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1A5C9C-D325-4A1F-BF7B-0A92D2F4BE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</vt:lpstr>
      <vt:lpstr>DashBoard</vt:lpstr>
      <vt:lpstr>car_price_prediction_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Ahanaf Taseen</cp:lastModifiedBy>
  <dcterms:created xsi:type="dcterms:W3CDTF">2015-06-05T18:17:20Z</dcterms:created>
  <dcterms:modified xsi:type="dcterms:W3CDTF">2026-02-10T19:39:47Z</dcterms:modified>
</cp:coreProperties>
</file>